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tkar\Desktop\Jobaaj\Excel\Hr Analytics\Excel\"/>
    </mc:Choice>
  </mc:AlternateContent>
  <xr:revisionPtr revIDLastSave="0" documentId="13_ncr:1_{D1907320-809A-4445-AB86-E4A86AEF07E8}" xr6:coauthVersionLast="47" xr6:coauthVersionMax="47" xr10:uidLastSave="{00000000-0000-0000-0000-000000000000}"/>
  <bookViews>
    <workbookView xWindow="-110" yWindow="-110" windowWidth="19420" windowHeight="10300" xr2:uid="{11D0D614-4E30-4786-9C82-335E5E8860E6}"/>
  </bookViews>
  <sheets>
    <sheet name="HR_Clean_Data" sheetId="2" r:id="rId1"/>
    <sheet name="Basic_Pivots" sheetId="3" r:id="rId2"/>
    <sheet name="Basic_Analysis" sheetId="4" r:id="rId3"/>
  </sheets>
  <definedNames>
    <definedName name="ExternalData_1" localSheetId="0" hidden="1">HR_Clean_Data!$B$1:$AH$1471</definedName>
  </definedNames>
  <calcPr calcId="191029"/>
  <pivotCaches>
    <pivotCache cacheId="6" r:id="rId4"/>
  </pivotCache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M2" i="2" l="1"/>
  <c r="AM3" i="2"/>
  <c r="AM4" i="2"/>
  <c r="AM5" i="2"/>
  <c r="AM6" i="2"/>
  <c r="AM7" i="2"/>
  <c r="AM8" i="2"/>
  <c r="AM9" i="2"/>
  <c r="AM10" i="2"/>
  <c r="AM11" i="2"/>
  <c r="AM12" i="2"/>
  <c r="AM13" i="2"/>
  <c r="AM14" i="2"/>
  <c r="AM15" i="2"/>
  <c r="AM16" i="2"/>
  <c r="AM17" i="2"/>
  <c r="AM18" i="2"/>
  <c r="AM19" i="2"/>
  <c r="AM20" i="2"/>
  <c r="AM21" i="2"/>
  <c r="AM22" i="2"/>
  <c r="AM23" i="2"/>
  <c r="AM24" i="2"/>
  <c r="AM25" i="2"/>
  <c r="AM26" i="2"/>
  <c r="AM27" i="2"/>
  <c r="AM28" i="2"/>
  <c r="AM29" i="2"/>
  <c r="AM30" i="2"/>
  <c r="AM31" i="2"/>
  <c r="AM32" i="2"/>
  <c r="AM33" i="2"/>
  <c r="AM34" i="2"/>
  <c r="AM35" i="2"/>
  <c r="AM36" i="2"/>
  <c r="AM37" i="2"/>
  <c r="AM38" i="2"/>
  <c r="AM39" i="2"/>
  <c r="AM40" i="2"/>
  <c r="AM41" i="2"/>
  <c r="AM42" i="2"/>
  <c r="AM43" i="2"/>
  <c r="AM44" i="2"/>
  <c r="AM45" i="2"/>
  <c r="AM46" i="2"/>
  <c r="AM47" i="2"/>
  <c r="AM48" i="2"/>
  <c r="AM49" i="2"/>
  <c r="AM50" i="2"/>
  <c r="AM51" i="2"/>
  <c r="AM52" i="2"/>
  <c r="AM53" i="2"/>
  <c r="AM54" i="2"/>
  <c r="AM55" i="2"/>
  <c r="AM56" i="2"/>
  <c r="AM57" i="2"/>
  <c r="AM58" i="2"/>
  <c r="AM59" i="2"/>
  <c r="AM60" i="2"/>
  <c r="AM61" i="2"/>
  <c r="AM62" i="2"/>
  <c r="AM63" i="2"/>
  <c r="AM64" i="2"/>
  <c r="AM65" i="2"/>
  <c r="AM66" i="2"/>
  <c r="AM67" i="2"/>
  <c r="AM68" i="2"/>
  <c r="AM69" i="2"/>
  <c r="AM70" i="2"/>
  <c r="AM71" i="2"/>
  <c r="AM72" i="2"/>
  <c r="AM73" i="2"/>
  <c r="AM74" i="2"/>
  <c r="AM75" i="2"/>
  <c r="AM76" i="2"/>
  <c r="AM77" i="2"/>
  <c r="AM78" i="2"/>
  <c r="AM79" i="2"/>
  <c r="AM80" i="2"/>
  <c r="AM81" i="2"/>
  <c r="AM82" i="2"/>
  <c r="AM83" i="2"/>
  <c r="AM84" i="2"/>
  <c r="AM85" i="2"/>
  <c r="AM86" i="2"/>
  <c r="AM87" i="2"/>
  <c r="AM88" i="2"/>
  <c r="AM89" i="2"/>
  <c r="AM90" i="2"/>
  <c r="AM91" i="2"/>
  <c r="AM92" i="2"/>
  <c r="AM93" i="2"/>
  <c r="AM94" i="2"/>
  <c r="AM95" i="2"/>
  <c r="AM96" i="2"/>
  <c r="AM97" i="2"/>
  <c r="AM98" i="2"/>
  <c r="AM99" i="2"/>
  <c r="AM100" i="2"/>
  <c r="AM101" i="2"/>
  <c r="AM102" i="2"/>
  <c r="AM103" i="2"/>
  <c r="AM104" i="2"/>
  <c r="AM105" i="2"/>
  <c r="AM106" i="2"/>
  <c r="AM107" i="2"/>
  <c r="AM108" i="2"/>
  <c r="AM109" i="2"/>
  <c r="AM110" i="2"/>
  <c r="AM111" i="2"/>
  <c r="AM112" i="2"/>
  <c r="AM113" i="2"/>
  <c r="AM114" i="2"/>
  <c r="AM115" i="2"/>
  <c r="AM116" i="2"/>
  <c r="AM117" i="2"/>
  <c r="AM118" i="2"/>
  <c r="AM119" i="2"/>
  <c r="AM120" i="2"/>
  <c r="AM121" i="2"/>
  <c r="AM122" i="2"/>
  <c r="AM123" i="2"/>
  <c r="AM124" i="2"/>
  <c r="AM125" i="2"/>
  <c r="AM126" i="2"/>
  <c r="AM127" i="2"/>
  <c r="AM128" i="2"/>
  <c r="AM129" i="2"/>
  <c r="AM130" i="2"/>
  <c r="AM131" i="2"/>
  <c r="AM132" i="2"/>
  <c r="AM133" i="2"/>
  <c r="AM134" i="2"/>
  <c r="AM135" i="2"/>
  <c r="AM136" i="2"/>
  <c r="AM137" i="2"/>
  <c r="AM138" i="2"/>
  <c r="AM139" i="2"/>
  <c r="AM140" i="2"/>
  <c r="AM141" i="2"/>
  <c r="AM142" i="2"/>
  <c r="AM143" i="2"/>
  <c r="AM144" i="2"/>
  <c r="AM145" i="2"/>
  <c r="AM146" i="2"/>
  <c r="AM147" i="2"/>
  <c r="AM148" i="2"/>
  <c r="AM149" i="2"/>
  <c r="AM150" i="2"/>
  <c r="AM151" i="2"/>
  <c r="AM152" i="2"/>
  <c r="AM153" i="2"/>
  <c r="AM154" i="2"/>
  <c r="AM155" i="2"/>
  <c r="AM156" i="2"/>
  <c r="AM157" i="2"/>
  <c r="AM158" i="2"/>
  <c r="AM159" i="2"/>
  <c r="AM160" i="2"/>
  <c r="AM161" i="2"/>
  <c r="AM162" i="2"/>
  <c r="AM163" i="2"/>
  <c r="AM164" i="2"/>
  <c r="AM165" i="2"/>
  <c r="AM166" i="2"/>
  <c r="AM167" i="2"/>
  <c r="AM168" i="2"/>
  <c r="AM169" i="2"/>
  <c r="AM170" i="2"/>
  <c r="AM171" i="2"/>
  <c r="AM172" i="2"/>
  <c r="AM173" i="2"/>
  <c r="AM174" i="2"/>
  <c r="AM175" i="2"/>
  <c r="AM176" i="2"/>
  <c r="AM177" i="2"/>
  <c r="AM178" i="2"/>
  <c r="AM179" i="2"/>
  <c r="AM180" i="2"/>
  <c r="AM181" i="2"/>
  <c r="AM182" i="2"/>
  <c r="AM183" i="2"/>
  <c r="AM184" i="2"/>
  <c r="AM185" i="2"/>
  <c r="AM186" i="2"/>
  <c r="AM187" i="2"/>
  <c r="AM188" i="2"/>
  <c r="AM189" i="2"/>
  <c r="AM190" i="2"/>
  <c r="AM191" i="2"/>
  <c r="AM192" i="2"/>
  <c r="AM193" i="2"/>
  <c r="AM194" i="2"/>
  <c r="AM195" i="2"/>
  <c r="AM196" i="2"/>
  <c r="AM197" i="2"/>
  <c r="AM198" i="2"/>
  <c r="AM199" i="2"/>
  <c r="AM200" i="2"/>
  <c r="AM201" i="2"/>
  <c r="AM202" i="2"/>
  <c r="AM203" i="2"/>
  <c r="AM204" i="2"/>
  <c r="AM205" i="2"/>
  <c r="AM206" i="2"/>
  <c r="AM207" i="2"/>
  <c r="AM208" i="2"/>
  <c r="AM209" i="2"/>
  <c r="AM210" i="2"/>
  <c r="AM211" i="2"/>
  <c r="AM212" i="2"/>
  <c r="AM213" i="2"/>
  <c r="AM214" i="2"/>
  <c r="AM215" i="2"/>
  <c r="AM216" i="2"/>
  <c r="AM217" i="2"/>
  <c r="AM218" i="2"/>
  <c r="AM219" i="2"/>
  <c r="AM220" i="2"/>
  <c r="AM221" i="2"/>
  <c r="AM222" i="2"/>
  <c r="AM223" i="2"/>
  <c r="AM224" i="2"/>
  <c r="AM225" i="2"/>
  <c r="AM226" i="2"/>
  <c r="AM227" i="2"/>
  <c r="AM228" i="2"/>
  <c r="AM229" i="2"/>
  <c r="AM230" i="2"/>
  <c r="AM231" i="2"/>
  <c r="AM232" i="2"/>
  <c r="AM233" i="2"/>
  <c r="AM234" i="2"/>
  <c r="AM235" i="2"/>
  <c r="AM236" i="2"/>
  <c r="AM237" i="2"/>
  <c r="AM238" i="2"/>
  <c r="AM239" i="2"/>
  <c r="AM240" i="2"/>
  <c r="AM241" i="2"/>
  <c r="AM242" i="2"/>
  <c r="AM243" i="2"/>
  <c r="AM244" i="2"/>
  <c r="AM245" i="2"/>
  <c r="AM246" i="2"/>
  <c r="AM247" i="2"/>
  <c r="AM248" i="2"/>
  <c r="AM249" i="2"/>
  <c r="AM250" i="2"/>
  <c r="AM251" i="2"/>
  <c r="AM252" i="2"/>
  <c r="AM253" i="2"/>
  <c r="AM254" i="2"/>
  <c r="AM255" i="2"/>
  <c r="AM256" i="2"/>
  <c r="AM257" i="2"/>
  <c r="AM258" i="2"/>
  <c r="AM259" i="2"/>
  <c r="AM260" i="2"/>
  <c r="AM261" i="2"/>
  <c r="AM262" i="2"/>
  <c r="AM263" i="2"/>
  <c r="AM264" i="2"/>
  <c r="AM265" i="2"/>
  <c r="AM266" i="2"/>
  <c r="AM267" i="2"/>
  <c r="AM268" i="2"/>
  <c r="AM269" i="2"/>
  <c r="AM270" i="2"/>
  <c r="AM271" i="2"/>
  <c r="AM272" i="2"/>
  <c r="AM273" i="2"/>
  <c r="AM274" i="2"/>
  <c r="AM275" i="2"/>
  <c r="AM276" i="2"/>
  <c r="AM277" i="2"/>
  <c r="AM278" i="2"/>
  <c r="AM279" i="2"/>
  <c r="AM280" i="2"/>
  <c r="AM281" i="2"/>
  <c r="AM282" i="2"/>
  <c r="AM283" i="2"/>
  <c r="AM284" i="2"/>
  <c r="AM285" i="2"/>
  <c r="AM286" i="2"/>
  <c r="AM287" i="2"/>
  <c r="AM288" i="2"/>
  <c r="AM289" i="2"/>
  <c r="AM290" i="2"/>
  <c r="AM291" i="2"/>
  <c r="AM292" i="2"/>
  <c r="AM293" i="2"/>
  <c r="AM294" i="2"/>
  <c r="AM295" i="2"/>
  <c r="AM296" i="2"/>
  <c r="AM297" i="2"/>
  <c r="AM298" i="2"/>
  <c r="AM299" i="2"/>
  <c r="AM300" i="2"/>
  <c r="AM301" i="2"/>
  <c r="AM302" i="2"/>
  <c r="AM303" i="2"/>
  <c r="AM304" i="2"/>
  <c r="AM305" i="2"/>
  <c r="AM306" i="2"/>
  <c r="AM307" i="2"/>
  <c r="AM308" i="2"/>
  <c r="AM309" i="2"/>
  <c r="AM310" i="2"/>
  <c r="AM311" i="2"/>
  <c r="AM312" i="2"/>
  <c r="AM313" i="2"/>
  <c r="AM314" i="2"/>
  <c r="AM315" i="2"/>
  <c r="AM316" i="2"/>
  <c r="AM317" i="2"/>
  <c r="AM318" i="2"/>
  <c r="AM319" i="2"/>
  <c r="AM320" i="2"/>
  <c r="AM321" i="2"/>
  <c r="AM322" i="2"/>
  <c r="AM323" i="2"/>
  <c r="AM324" i="2"/>
  <c r="AM325" i="2"/>
  <c r="AM326" i="2"/>
  <c r="AM327" i="2"/>
  <c r="AM328" i="2"/>
  <c r="AM329" i="2"/>
  <c r="AM330" i="2"/>
  <c r="AM331" i="2"/>
  <c r="AM332" i="2"/>
  <c r="AM333" i="2"/>
  <c r="AM334" i="2"/>
  <c r="AM335" i="2"/>
  <c r="AM336" i="2"/>
  <c r="AM337" i="2"/>
  <c r="AM338" i="2"/>
  <c r="AM339" i="2"/>
  <c r="AM340" i="2"/>
  <c r="AM341" i="2"/>
  <c r="AM342" i="2"/>
  <c r="AM343" i="2"/>
  <c r="AM344" i="2"/>
  <c r="AM345" i="2"/>
  <c r="AM346" i="2"/>
  <c r="AM347" i="2"/>
  <c r="AM348" i="2"/>
  <c r="AM349" i="2"/>
  <c r="AM350" i="2"/>
  <c r="AM351" i="2"/>
  <c r="AM352" i="2"/>
  <c r="AM353" i="2"/>
  <c r="AM354" i="2"/>
  <c r="AM355" i="2"/>
  <c r="AM356" i="2"/>
  <c r="AM357" i="2"/>
  <c r="AM358" i="2"/>
  <c r="AM359" i="2"/>
  <c r="AM360" i="2"/>
  <c r="AM361" i="2"/>
  <c r="AM362" i="2"/>
  <c r="AM363" i="2"/>
  <c r="AM364" i="2"/>
  <c r="AM365" i="2"/>
  <c r="AM366" i="2"/>
  <c r="AM367" i="2"/>
  <c r="AM368" i="2"/>
  <c r="AM369" i="2"/>
  <c r="AM370" i="2"/>
  <c r="AM371" i="2"/>
  <c r="AM372" i="2"/>
  <c r="AM373" i="2"/>
  <c r="AM374" i="2"/>
  <c r="AM375" i="2"/>
  <c r="AM376" i="2"/>
  <c r="AM377" i="2"/>
  <c r="AM378" i="2"/>
  <c r="AM379" i="2"/>
  <c r="AM380" i="2"/>
  <c r="AM381" i="2"/>
  <c r="AM382" i="2"/>
  <c r="AM383" i="2"/>
  <c r="AM384" i="2"/>
  <c r="AM385" i="2"/>
  <c r="AM386" i="2"/>
  <c r="AM387" i="2"/>
  <c r="AM388" i="2"/>
  <c r="AM389" i="2"/>
  <c r="AM390" i="2"/>
  <c r="AM391" i="2"/>
  <c r="AM392" i="2"/>
  <c r="AM393" i="2"/>
  <c r="AM394" i="2"/>
  <c r="AM395" i="2"/>
  <c r="AM396" i="2"/>
  <c r="AM397" i="2"/>
  <c r="AM398" i="2"/>
  <c r="AM399" i="2"/>
  <c r="AM400" i="2"/>
  <c r="AM401" i="2"/>
  <c r="AM402" i="2"/>
  <c r="AM403" i="2"/>
  <c r="AM404" i="2"/>
  <c r="AM405" i="2"/>
  <c r="AM406" i="2"/>
  <c r="AM407" i="2"/>
  <c r="AM408" i="2"/>
  <c r="AM409" i="2"/>
  <c r="AM410" i="2"/>
  <c r="AM411" i="2"/>
  <c r="AM412" i="2"/>
  <c r="AM413" i="2"/>
  <c r="AM414" i="2"/>
  <c r="AM415" i="2"/>
  <c r="AM416" i="2"/>
  <c r="AM417" i="2"/>
  <c r="AM418" i="2"/>
  <c r="AM419" i="2"/>
  <c r="AM420" i="2"/>
  <c r="AM421" i="2"/>
  <c r="AM422" i="2"/>
  <c r="AM423" i="2"/>
  <c r="AM424" i="2"/>
  <c r="AM425" i="2"/>
  <c r="AM426" i="2"/>
  <c r="AM427" i="2"/>
  <c r="AM428" i="2"/>
  <c r="AM429" i="2"/>
  <c r="AM430" i="2"/>
  <c r="AM431" i="2"/>
  <c r="AM432" i="2"/>
  <c r="AM433" i="2"/>
  <c r="AM434" i="2"/>
  <c r="AM435" i="2"/>
  <c r="AM436" i="2"/>
  <c r="AM437" i="2"/>
  <c r="AM438" i="2"/>
  <c r="AM439" i="2"/>
  <c r="AM440" i="2"/>
  <c r="AM441" i="2"/>
  <c r="AM442" i="2"/>
  <c r="AM443" i="2"/>
  <c r="AM444" i="2"/>
  <c r="AM445" i="2"/>
  <c r="AM446" i="2"/>
  <c r="AM447" i="2"/>
  <c r="AM448" i="2"/>
  <c r="AM449" i="2"/>
  <c r="AM450" i="2"/>
  <c r="AM451" i="2"/>
  <c r="AM452" i="2"/>
  <c r="AM453" i="2"/>
  <c r="AM454" i="2"/>
  <c r="AM455" i="2"/>
  <c r="AM456" i="2"/>
  <c r="AM457" i="2"/>
  <c r="AM458" i="2"/>
  <c r="AM459" i="2"/>
  <c r="AM460" i="2"/>
  <c r="AM461" i="2"/>
  <c r="AM462" i="2"/>
  <c r="AM463" i="2"/>
  <c r="AM464" i="2"/>
  <c r="AM465" i="2"/>
  <c r="AM466" i="2"/>
  <c r="AM467" i="2"/>
  <c r="AM468" i="2"/>
  <c r="AM469" i="2"/>
  <c r="AM470" i="2"/>
  <c r="AM471" i="2"/>
  <c r="AM472" i="2"/>
  <c r="AM473" i="2"/>
  <c r="AM474" i="2"/>
  <c r="AM475" i="2"/>
  <c r="AM476" i="2"/>
  <c r="AM477" i="2"/>
  <c r="AM478" i="2"/>
  <c r="AM479" i="2"/>
  <c r="AM480" i="2"/>
  <c r="AM481" i="2"/>
  <c r="AM482" i="2"/>
  <c r="AM483" i="2"/>
  <c r="AM484" i="2"/>
  <c r="AM485" i="2"/>
  <c r="AM486" i="2"/>
  <c r="AM487" i="2"/>
  <c r="AM488" i="2"/>
  <c r="AM489" i="2"/>
  <c r="AM490" i="2"/>
  <c r="AM491" i="2"/>
  <c r="AM492" i="2"/>
  <c r="AM493" i="2"/>
  <c r="AM494" i="2"/>
  <c r="AM495" i="2"/>
  <c r="AM496" i="2"/>
  <c r="AM497" i="2"/>
  <c r="AM498" i="2"/>
  <c r="AM499" i="2"/>
  <c r="AM500" i="2"/>
  <c r="AM501" i="2"/>
  <c r="AM502" i="2"/>
  <c r="AM503" i="2"/>
  <c r="AM504" i="2"/>
  <c r="AM505" i="2"/>
  <c r="AM506" i="2"/>
  <c r="AM507" i="2"/>
  <c r="AM508" i="2"/>
  <c r="AM509" i="2"/>
  <c r="AM510" i="2"/>
  <c r="AM511" i="2"/>
  <c r="AM512" i="2"/>
  <c r="AM513" i="2"/>
  <c r="AM514" i="2"/>
  <c r="AM515" i="2"/>
  <c r="AM516" i="2"/>
  <c r="AM517" i="2"/>
  <c r="AM518" i="2"/>
  <c r="AM519" i="2"/>
  <c r="AM520" i="2"/>
  <c r="AM521" i="2"/>
  <c r="AM522" i="2"/>
  <c r="AM523" i="2"/>
  <c r="AM524" i="2"/>
  <c r="AM525" i="2"/>
  <c r="AM526" i="2"/>
  <c r="AM527" i="2"/>
  <c r="AM528" i="2"/>
  <c r="AM529" i="2"/>
  <c r="AM530" i="2"/>
  <c r="AM531" i="2"/>
  <c r="AM532" i="2"/>
  <c r="AM533" i="2"/>
  <c r="AM534" i="2"/>
  <c r="AM535" i="2"/>
  <c r="AM536" i="2"/>
  <c r="AM537" i="2"/>
  <c r="AM538" i="2"/>
  <c r="AM539" i="2"/>
  <c r="AM540" i="2"/>
  <c r="AM541" i="2"/>
  <c r="AM542" i="2"/>
  <c r="AM543" i="2"/>
  <c r="AM544" i="2"/>
  <c r="AM545" i="2"/>
  <c r="AM546" i="2"/>
  <c r="AM547" i="2"/>
  <c r="AM548" i="2"/>
  <c r="AM549" i="2"/>
  <c r="AM550" i="2"/>
  <c r="AM551" i="2"/>
  <c r="AM552" i="2"/>
  <c r="AM553" i="2"/>
  <c r="AM554" i="2"/>
  <c r="AM555" i="2"/>
  <c r="AM556" i="2"/>
  <c r="AM557" i="2"/>
  <c r="AM558" i="2"/>
  <c r="AM559" i="2"/>
  <c r="AM560" i="2"/>
  <c r="AM561" i="2"/>
  <c r="AM562" i="2"/>
  <c r="AM563" i="2"/>
  <c r="AM564" i="2"/>
  <c r="AM565" i="2"/>
  <c r="AM566" i="2"/>
  <c r="AM567" i="2"/>
  <c r="AM568" i="2"/>
  <c r="AM569" i="2"/>
  <c r="AM570" i="2"/>
  <c r="AM571" i="2"/>
  <c r="AM572" i="2"/>
  <c r="AM573" i="2"/>
  <c r="AM574" i="2"/>
  <c r="AM575" i="2"/>
  <c r="AM576" i="2"/>
  <c r="AM577" i="2"/>
  <c r="AM578" i="2"/>
  <c r="AM579" i="2"/>
  <c r="AM580" i="2"/>
  <c r="AM581" i="2"/>
  <c r="AM582" i="2"/>
  <c r="AM583" i="2"/>
  <c r="AM584" i="2"/>
  <c r="AM585" i="2"/>
  <c r="AM586" i="2"/>
  <c r="AM587" i="2"/>
  <c r="AM588" i="2"/>
  <c r="AM589" i="2"/>
  <c r="AM590" i="2"/>
  <c r="AM591" i="2"/>
  <c r="AM592" i="2"/>
  <c r="AM593" i="2"/>
  <c r="AM594" i="2"/>
  <c r="AM595" i="2"/>
  <c r="AM596" i="2"/>
  <c r="AM597" i="2"/>
  <c r="AM598" i="2"/>
  <c r="AM599" i="2"/>
  <c r="AM600" i="2"/>
  <c r="AM601" i="2"/>
  <c r="AM602" i="2"/>
  <c r="AM603" i="2"/>
  <c r="AM604" i="2"/>
  <c r="AM605" i="2"/>
  <c r="AM606" i="2"/>
  <c r="AM607" i="2"/>
  <c r="AM608" i="2"/>
  <c r="AM609" i="2"/>
  <c r="AM610" i="2"/>
  <c r="AM611" i="2"/>
  <c r="AM612" i="2"/>
  <c r="AM613" i="2"/>
  <c r="AM614" i="2"/>
  <c r="AM615" i="2"/>
  <c r="AM616" i="2"/>
  <c r="AM617" i="2"/>
  <c r="AM618" i="2"/>
  <c r="AM619" i="2"/>
  <c r="AM620" i="2"/>
  <c r="AM621" i="2"/>
  <c r="AM622" i="2"/>
  <c r="AM623" i="2"/>
  <c r="AM624" i="2"/>
  <c r="AM625" i="2"/>
  <c r="AM626" i="2"/>
  <c r="AM627" i="2"/>
  <c r="AM628" i="2"/>
  <c r="AM629" i="2"/>
  <c r="AM630" i="2"/>
  <c r="AM631" i="2"/>
  <c r="AM632" i="2"/>
  <c r="AM633" i="2"/>
  <c r="AM634" i="2"/>
  <c r="AM635" i="2"/>
  <c r="AM636" i="2"/>
  <c r="AM637" i="2"/>
  <c r="AM638" i="2"/>
  <c r="AM639" i="2"/>
  <c r="AM640" i="2"/>
  <c r="AM641" i="2"/>
  <c r="AM642" i="2"/>
  <c r="AM643" i="2"/>
  <c r="AM644" i="2"/>
  <c r="AM645" i="2"/>
  <c r="AM646" i="2"/>
  <c r="AM647" i="2"/>
  <c r="AM648" i="2"/>
  <c r="AM649" i="2"/>
  <c r="AM650" i="2"/>
  <c r="AM651" i="2"/>
  <c r="AM652" i="2"/>
  <c r="AM653" i="2"/>
  <c r="AM654" i="2"/>
  <c r="AM655" i="2"/>
  <c r="AM656" i="2"/>
  <c r="AM657" i="2"/>
  <c r="AM658" i="2"/>
  <c r="AM659" i="2"/>
  <c r="AM660" i="2"/>
  <c r="AM661" i="2"/>
  <c r="AM662" i="2"/>
  <c r="AM663" i="2"/>
  <c r="AM664" i="2"/>
  <c r="AM665" i="2"/>
  <c r="AM666" i="2"/>
  <c r="AM667" i="2"/>
  <c r="AM668" i="2"/>
  <c r="AM669" i="2"/>
  <c r="AM670" i="2"/>
  <c r="AM671" i="2"/>
  <c r="AM672" i="2"/>
  <c r="AM673" i="2"/>
  <c r="AM674" i="2"/>
  <c r="AM675" i="2"/>
  <c r="AM676" i="2"/>
  <c r="AM677" i="2"/>
  <c r="AM678" i="2"/>
  <c r="AM679" i="2"/>
  <c r="AM680" i="2"/>
  <c r="AM681" i="2"/>
  <c r="AM682" i="2"/>
  <c r="AM683" i="2"/>
  <c r="AM684" i="2"/>
  <c r="AM685" i="2"/>
  <c r="AM686" i="2"/>
  <c r="AM687" i="2"/>
  <c r="AM688" i="2"/>
  <c r="AM689" i="2"/>
  <c r="AM690" i="2"/>
  <c r="AM691" i="2"/>
  <c r="AM692" i="2"/>
  <c r="AM693" i="2"/>
  <c r="AM694" i="2"/>
  <c r="AM695" i="2"/>
  <c r="AM696" i="2"/>
  <c r="AM697" i="2"/>
  <c r="AM698" i="2"/>
  <c r="AM699" i="2"/>
  <c r="AM700" i="2"/>
  <c r="AM701" i="2"/>
  <c r="AM702" i="2"/>
  <c r="AM703" i="2"/>
  <c r="AM704" i="2"/>
  <c r="AM705" i="2"/>
  <c r="AM706" i="2"/>
  <c r="AM707" i="2"/>
  <c r="AM708" i="2"/>
  <c r="AM709" i="2"/>
  <c r="AM710" i="2"/>
  <c r="AM711" i="2"/>
  <c r="AM712" i="2"/>
  <c r="AM713" i="2"/>
  <c r="AM714" i="2"/>
  <c r="AM715" i="2"/>
  <c r="AM716" i="2"/>
  <c r="AM717" i="2"/>
  <c r="AM718" i="2"/>
  <c r="AM719" i="2"/>
  <c r="AM720" i="2"/>
  <c r="AM721" i="2"/>
  <c r="AM722" i="2"/>
  <c r="AM723" i="2"/>
  <c r="AM724" i="2"/>
  <c r="AM725" i="2"/>
  <c r="AM726" i="2"/>
  <c r="AM727" i="2"/>
  <c r="AM728" i="2"/>
  <c r="AM729" i="2"/>
  <c r="AM730" i="2"/>
  <c r="AM731" i="2"/>
  <c r="AM732" i="2"/>
  <c r="AM733" i="2"/>
  <c r="AM734" i="2"/>
  <c r="AM735" i="2"/>
  <c r="AM736" i="2"/>
  <c r="AM737" i="2"/>
  <c r="AM738" i="2"/>
  <c r="AM739" i="2"/>
  <c r="AM740" i="2"/>
  <c r="AM741" i="2"/>
  <c r="AM742" i="2"/>
  <c r="AM743" i="2"/>
  <c r="AM744" i="2"/>
  <c r="AM745" i="2"/>
  <c r="AM746" i="2"/>
  <c r="AM747" i="2"/>
  <c r="AM748" i="2"/>
  <c r="AM749" i="2"/>
  <c r="AM750" i="2"/>
  <c r="AM751" i="2"/>
  <c r="AM752" i="2"/>
  <c r="AM753" i="2"/>
  <c r="AM754" i="2"/>
  <c r="AM755" i="2"/>
  <c r="AM756" i="2"/>
  <c r="AM757" i="2"/>
  <c r="AM758" i="2"/>
  <c r="AM759" i="2"/>
  <c r="AM760" i="2"/>
  <c r="AM761" i="2"/>
  <c r="AM762" i="2"/>
  <c r="AM763" i="2"/>
  <c r="AM764" i="2"/>
  <c r="AM765" i="2"/>
  <c r="AM766" i="2"/>
  <c r="AM767" i="2"/>
  <c r="AM768" i="2"/>
  <c r="AM769" i="2"/>
  <c r="AM770" i="2"/>
  <c r="AM771" i="2"/>
  <c r="AM772" i="2"/>
  <c r="AM773" i="2"/>
  <c r="AM774" i="2"/>
  <c r="AM775" i="2"/>
  <c r="AM776" i="2"/>
  <c r="AM777" i="2"/>
  <c r="AM778" i="2"/>
  <c r="AM779" i="2"/>
  <c r="AM780" i="2"/>
  <c r="AM781" i="2"/>
  <c r="AM782" i="2"/>
  <c r="AM783" i="2"/>
  <c r="AM784" i="2"/>
  <c r="AM785" i="2"/>
  <c r="AM786" i="2"/>
  <c r="AM787" i="2"/>
  <c r="AM788" i="2"/>
  <c r="AM789" i="2"/>
  <c r="AM790" i="2"/>
  <c r="AM791" i="2"/>
  <c r="AM792" i="2"/>
  <c r="AM793" i="2"/>
  <c r="AM794" i="2"/>
  <c r="AM795" i="2"/>
  <c r="AM796" i="2"/>
  <c r="AM797" i="2"/>
  <c r="AM798" i="2"/>
  <c r="AM799" i="2"/>
  <c r="AM800" i="2"/>
  <c r="AM801" i="2"/>
  <c r="AM802" i="2"/>
  <c r="AM803" i="2"/>
  <c r="AM804" i="2"/>
  <c r="AM805" i="2"/>
  <c r="AM806" i="2"/>
  <c r="AM807" i="2"/>
  <c r="AM808" i="2"/>
  <c r="AM809" i="2"/>
  <c r="AM810" i="2"/>
  <c r="AM811" i="2"/>
  <c r="AM812" i="2"/>
  <c r="AM813" i="2"/>
  <c r="AM814" i="2"/>
  <c r="AM815" i="2"/>
  <c r="AM816" i="2"/>
  <c r="AM817" i="2"/>
  <c r="AM818" i="2"/>
  <c r="AM819" i="2"/>
  <c r="AM820" i="2"/>
  <c r="AM821" i="2"/>
  <c r="AM822" i="2"/>
  <c r="AM823" i="2"/>
  <c r="AM824" i="2"/>
  <c r="AM825" i="2"/>
  <c r="AM826" i="2"/>
  <c r="AM827" i="2"/>
  <c r="AM828" i="2"/>
  <c r="AM829" i="2"/>
  <c r="AM830" i="2"/>
  <c r="AM831" i="2"/>
  <c r="AM832" i="2"/>
  <c r="AM833" i="2"/>
  <c r="AM834" i="2"/>
  <c r="AM835" i="2"/>
  <c r="AM836" i="2"/>
  <c r="AM837" i="2"/>
  <c r="AM838" i="2"/>
  <c r="AM839" i="2"/>
  <c r="AM840" i="2"/>
  <c r="AM841" i="2"/>
  <c r="AM842" i="2"/>
  <c r="AM843" i="2"/>
  <c r="AM844" i="2"/>
  <c r="AM845" i="2"/>
  <c r="AM846" i="2"/>
  <c r="AM847" i="2"/>
  <c r="AM848" i="2"/>
  <c r="AM849" i="2"/>
  <c r="AM850" i="2"/>
  <c r="AM851" i="2"/>
  <c r="AM852" i="2"/>
  <c r="AM853" i="2"/>
  <c r="AM854" i="2"/>
  <c r="AM855" i="2"/>
  <c r="AM856" i="2"/>
  <c r="AM857" i="2"/>
  <c r="AM858" i="2"/>
  <c r="AM859" i="2"/>
  <c r="AM860" i="2"/>
  <c r="AM861" i="2"/>
  <c r="AM862" i="2"/>
  <c r="AM863" i="2"/>
  <c r="AM864" i="2"/>
  <c r="AM865" i="2"/>
  <c r="AM866" i="2"/>
  <c r="AM867" i="2"/>
  <c r="AM868" i="2"/>
  <c r="AM869" i="2"/>
  <c r="AM870" i="2"/>
  <c r="AM871" i="2"/>
  <c r="AM872" i="2"/>
  <c r="AM873" i="2"/>
  <c r="AM874" i="2"/>
  <c r="AM875" i="2"/>
  <c r="AM876" i="2"/>
  <c r="AM877" i="2"/>
  <c r="AM878" i="2"/>
  <c r="AM879" i="2"/>
  <c r="AM880" i="2"/>
  <c r="AM881" i="2"/>
  <c r="AM882" i="2"/>
  <c r="AM883" i="2"/>
  <c r="AM884" i="2"/>
  <c r="AM885" i="2"/>
  <c r="AM886" i="2"/>
  <c r="AM887" i="2"/>
  <c r="AM888" i="2"/>
  <c r="AM889" i="2"/>
  <c r="AM890" i="2"/>
  <c r="AM891" i="2"/>
  <c r="AM892" i="2"/>
  <c r="AM893" i="2"/>
  <c r="AM894" i="2"/>
  <c r="AM895" i="2"/>
  <c r="AM896" i="2"/>
  <c r="AM897" i="2"/>
  <c r="AM898" i="2"/>
  <c r="AM899" i="2"/>
  <c r="AM900" i="2"/>
  <c r="AM901" i="2"/>
  <c r="AM902" i="2"/>
  <c r="AM903" i="2"/>
  <c r="AM904" i="2"/>
  <c r="AM905" i="2"/>
  <c r="AM906" i="2"/>
  <c r="AM907" i="2"/>
  <c r="AM908" i="2"/>
  <c r="AM909" i="2"/>
  <c r="AM910" i="2"/>
  <c r="AM911" i="2"/>
  <c r="AM912" i="2"/>
  <c r="AM913" i="2"/>
  <c r="AM914" i="2"/>
  <c r="AM915" i="2"/>
  <c r="AM916" i="2"/>
  <c r="AM917" i="2"/>
  <c r="AM918" i="2"/>
  <c r="AM919" i="2"/>
  <c r="AM920" i="2"/>
  <c r="AM921" i="2"/>
  <c r="AM922" i="2"/>
  <c r="AM923" i="2"/>
  <c r="AM924" i="2"/>
  <c r="AM925" i="2"/>
  <c r="AM926" i="2"/>
  <c r="AM927" i="2"/>
  <c r="AM928" i="2"/>
  <c r="AM929" i="2"/>
  <c r="AM930" i="2"/>
  <c r="AM931" i="2"/>
  <c r="AM932" i="2"/>
  <c r="AM933" i="2"/>
  <c r="AM934" i="2"/>
  <c r="AM935" i="2"/>
  <c r="AM936" i="2"/>
  <c r="AM937" i="2"/>
  <c r="AM938" i="2"/>
  <c r="AM939" i="2"/>
  <c r="AM940" i="2"/>
  <c r="AM941" i="2"/>
  <c r="AM942" i="2"/>
  <c r="AM943" i="2"/>
  <c r="AM944" i="2"/>
  <c r="AM945" i="2"/>
  <c r="AM946" i="2"/>
  <c r="AM947" i="2"/>
  <c r="AM948" i="2"/>
  <c r="AM949" i="2"/>
  <c r="AM950" i="2"/>
  <c r="AM951" i="2"/>
  <c r="AM952" i="2"/>
  <c r="AM953" i="2"/>
  <c r="AM954" i="2"/>
  <c r="AM955" i="2"/>
  <c r="AM956" i="2"/>
  <c r="AM957" i="2"/>
  <c r="AM958" i="2"/>
  <c r="AM959" i="2"/>
  <c r="AM960" i="2"/>
  <c r="AM961" i="2"/>
  <c r="AM962" i="2"/>
  <c r="AM963" i="2"/>
  <c r="AM964" i="2"/>
  <c r="AM965" i="2"/>
  <c r="AM966" i="2"/>
  <c r="AM967" i="2"/>
  <c r="AM968" i="2"/>
  <c r="AM969" i="2"/>
  <c r="AM970" i="2"/>
  <c r="AM971" i="2"/>
  <c r="AM972" i="2"/>
  <c r="AM973" i="2"/>
  <c r="AM974" i="2"/>
  <c r="AM975" i="2"/>
  <c r="AM976" i="2"/>
  <c r="AM977" i="2"/>
  <c r="AM978" i="2"/>
  <c r="AM979" i="2"/>
  <c r="AM980" i="2"/>
  <c r="AM981" i="2"/>
  <c r="AM982" i="2"/>
  <c r="AM983" i="2"/>
  <c r="AM984" i="2"/>
  <c r="AM985" i="2"/>
  <c r="AM986" i="2"/>
  <c r="AM987" i="2"/>
  <c r="AM988" i="2"/>
  <c r="AM989" i="2"/>
  <c r="AM990" i="2"/>
  <c r="AM991" i="2"/>
  <c r="AM992" i="2"/>
  <c r="AM993" i="2"/>
  <c r="AM994" i="2"/>
  <c r="AM995" i="2"/>
  <c r="AM996" i="2"/>
  <c r="AM997" i="2"/>
  <c r="AM998" i="2"/>
  <c r="AM999" i="2"/>
  <c r="AM1000" i="2"/>
  <c r="AM1001" i="2"/>
  <c r="AM1002" i="2"/>
  <c r="AM1003" i="2"/>
  <c r="AM1004" i="2"/>
  <c r="AM1005" i="2"/>
  <c r="AM1006" i="2"/>
  <c r="AM1007" i="2"/>
  <c r="AM1008" i="2"/>
  <c r="AM1009" i="2"/>
  <c r="AM1010" i="2"/>
  <c r="AM1011" i="2"/>
  <c r="AM1012" i="2"/>
  <c r="AM1013" i="2"/>
  <c r="AM1014" i="2"/>
  <c r="AM1015" i="2"/>
  <c r="AM1016" i="2"/>
  <c r="AM1017" i="2"/>
  <c r="AM1018" i="2"/>
  <c r="AM1019" i="2"/>
  <c r="AM1020" i="2"/>
  <c r="AM1021" i="2"/>
  <c r="AM1022" i="2"/>
  <c r="AM1023" i="2"/>
  <c r="AM1024" i="2"/>
  <c r="AM1025" i="2"/>
  <c r="AM1026" i="2"/>
  <c r="AM1027" i="2"/>
  <c r="AM1028" i="2"/>
  <c r="AM1029" i="2"/>
  <c r="AM1030" i="2"/>
  <c r="AM1031" i="2"/>
  <c r="AM1032" i="2"/>
  <c r="AM1033" i="2"/>
  <c r="AM1034" i="2"/>
  <c r="AM1035" i="2"/>
  <c r="AM1036" i="2"/>
  <c r="AM1037" i="2"/>
  <c r="AM1038" i="2"/>
  <c r="AM1039" i="2"/>
  <c r="AM1040" i="2"/>
  <c r="AM1041" i="2"/>
  <c r="AM1042" i="2"/>
  <c r="AM1043" i="2"/>
  <c r="AM1044" i="2"/>
  <c r="AM1045" i="2"/>
  <c r="AM1046" i="2"/>
  <c r="AM1047" i="2"/>
  <c r="AM1048" i="2"/>
  <c r="AM1049" i="2"/>
  <c r="AM1050" i="2"/>
  <c r="AM1051" i="2"/>
  <c r="AM1052" i="2"/>
  <c r="AM1053" i="2"/>
  <c r="AM1054" i="2"/>
  <c r="AM1055" i="2"/>
  <c r="AM1056" i="2"/>
  <c r="AM1057" i="2"/>
  <c r="AM1058" i="2"/>
  <c r="AM1059" i="2"/>
  <c r="AM1060" i="2"/>
  <c r="AM1061" i="2"/>
  <c r="AM1062" i="2"/>
  <c r="AM1063" i="2"/>
  <c r="AM1064" i="2"/>
  <c r="AM1065" i="2"/>
  <c r="AM1066" i="2"/>
  <c r="AM1067" i="2"/>
  <c r="AM1068" i="2"/>
  <c r="AM1069" i="2"/>
  <c r="AM1070" i="2"/>
  <c r="AM1071" i="2"/>
  <c r="AM1072" i="2"/>
  <c r="AM1073" i="2"/>
  <c r="AM1074" i="2"/>
  <c r="AM1075" i="2"/>
  <c r="AM1076" i="2"/>
  <c r="AM1077" i="2"/>
  <c r="AM1078" i="2"/>
  <c r="AM1079" i="2"/>
  <c r="AM1080" i="2"/>
  <c r="AM1081" i="2"/>
  <c r="AM1082" i="2"/>
  <c r="AM1083" i="2"/>
  <c r="AM1084" i="2"/>
  <c r="AM1085" i="2"/>
  <c r="AM1086" i="2"/>
  <c r="AM1087" i="2"/>
  <c r="AM1088" i="2"/>
  <c r="AM1089" i="2"/>
  <c r="AM1090" i="2"/>
  <c r="AM1091" i="2"/>
  <c r="AM1092" i="2"/>
  <c r="AM1093" i="2"/>
  <c r="AM1094" i="2"/>
  <c r="AM1095" i="2"/>
  <c r="AM1096" i="2"/>
  <c r="AM1097" i="2"/>
  <c r="AM1098" i="2"/>
  <c r="AM1099" i="2"/>
  <c r="AM1100" i="2"/>
  <c r="AM1101" i="2"/>
  <c r="AM1102" i="2"/>
  <c r="AM1103" i="2"/>
  <c r="AM1104" i="2"/>
  <c r="AM1105" i="2"/>
  <c r="AM1106" i="2"/>
  <c r="AM1107" i="2"/>
  <c r="AM1108" i="2"/>
  <c r="AM1109" i="2"/>
  <c r="AM1110" i="2"/>
  <c r="AM1111" i="2"/>
  <c r="AM1112" i="2"/>
  <c r="AM1113" i="2"/>
  <c r="AM1114" i="2"/>
  <c r="AM1115" i="2"/>
  <c r="AM1116" i="2"/>
  <c r="AM1117" i="2"/>
  <c r="AM1118" i="2"/>
  <c r="AM1119" i="2"/>
  <c r="AM1120" i="2"/>
  <c r="AM1121" i="2"/>
  <c r="AM1122" i="2"/>
  <c r="AM1123" i="2"/>
  <c r="AM1124" i="2"/>
  <c r="AM1125" i="2"/>
  <c r="AM1126" i="2"/>
  <c r="AM1127" i="2"/>
  <c r="AM1128" i="2"/>
  <c r="AM1129" i="2"/>
  <c r="AM1130" i="2"/>
  <c r="AM1131" i="2"/>
  <c r="AM1132" i="2"/>
  <c r="AM1133" i="2"/>
  <c r="AM1134" i="2"/>
  <c r="AM1135" i="2"/>
  <c r="AM1136" i="2"/>
  <c r="AM1137" i="2"/>
  <c r="AM1138" i="2"/>
  <c r="AM1139" i="2"/>
  <c r="AM1140" i="2"/>
  <c r="AM1141" i="2"/>
  <c r="AM1142" i="2"/>
  <c r="AM1143" i="2"/>
  <c r="AM1144" i="2"/>
  <c r="AM1145" i="2"/>
  <c r="AM1146" i="2"/>
  <c r="AM1147" i="2"/>
  <c r="AM1148" i="2"/>
  <c r="AM1149" i="2"/>
  <c r="AM1150" i="2"/>
  <c r="AM1151" i="2"/>
  <c r="AM1152" i="2"/>
  <c r="AM1153" i="2"/>
  <c r="AM1154" i="2"/>
  <c r="AM1155" i="2"/>
  <c r="AM1156" i="2"/>
  <c r="AM1157" i="2"/>
  <c r="AM1158" i="2"/>
  <c r="AM1159" i="2"/>
  <c r="AM1160" i="2"/>
  <c r="AM1161" i="2"/>
  <c r="AM1162" i="2"/>
  <c r="AM1163" i="2"/>
  <c r="AM1164" i="2"/>
  <c r="AM1165" i="2"/>
  <c r="AM1166" i="2"/>
  <c r="AM1167" i="2"/>
  <c r="AM1168" i="2"/>
  <c r="AM1169" i="2"/>
  <c r="AM1170" i="2"/>
  <c r="AM1171" i="2"/>
  <c r="AM1172" i="2"/>
  <c r="AM1173" i="2"/>
  <c r="AM1174" i="2"/>
  <c r="AM1175" i="2"/>
  <c r="AM1176" i="2"/>
  <c r="AM1177" i="2"/>
  <c r="AM1178" i="2"/>
  <c r="AM1179" i="2"/>
  <c r="AM1180" i="2"/>
  <c r="AM1181" i="2"/>
  <c r="AM1182" i="2"/>
  <c r="AM1183" i="2"/>
  <c r="AM1184" i="2"/>
  <c r="AM1185" i="2"/>
  <c r="AM1186" i="2"/>
  <c r="AM1187" i="2"/>
  <c r="AM1188" i="2"/>
  <c r="AM1189" i="2"/>
  <c r="AM1190" i="2"/>
  <c r="AM1191" i="2"/>
  <c r="AM1192" i="2"/>
  <c r="AM1193" i="2"/>
  <c r="AM1194" i="2"/>
  <c r="AM1195" i="2"/>
  <c r="AM1196" i="2"/>
  <c r="AM1197" i="2"/>
  <c r="AM1198" i="2"/>
  <c r="AM1199" i="2"/>
  <c r="AM1200" i="2"/>
  <c r="AM1201" i="2"/>
  <c r="AM1202" i="2"/>
  <c r="AM1203" i="2"/>
  <c r="AM1204" i="2"/>
  <c r="AM1205" i="2"/>
  <c r="AM1206" i="2"/>
  <c r="AM1207" i="2"/>
  <c r="AM1208" i="2"/>
  <c r="AM1209" i="2"/>
  <c r="AM1210" i="2"/>
  <c r="AM1211" i="2"/>
  <c r="AM1212" i="2"/>
  <c r="AM1213" i="2"/>
  <c r="AM1214" i="2"/>
  <c r="AM1215" i="2"/>
  <c r="AM1216" i="2"/>
  <c r="AM1217" i="2"/>
  <c r="AM1218" i="2"/>
  <c r="AM1219" i="2"/>
  <c r="AM1220" i="2"/>
  <c r="AM1221" i="2"/>
  <c r="AM1222" i="2"/>
  <c r="AM1223" i="2"/>
  <c r="AM1224" i="2"/>
  <c r="AM1225" i="2"/>
  <c r="AM1226" i="2"/>
  <c r="AM1227" i="2"/>
  <c r="AM1228" i="2"/>
  <c r="AM1229" i="2"/>
  <c r="AM1230" i="2"/>
  <c r="AM1231" i="2"/>
  <c r="AM1232" i="2"/>
  <c r="AM1233" i="2"/>
  <c r="AM1234" i="2"/>
  <c r="AM1235" i="2"/>
  <c r="AM1236" i="2"/>
  <c r="AM1237" i="2"/>
  <c r="AM1238" i="2"/>
  <c r="AM1239" i="2"/>
  <c r="AM1240" i="2"/>
  <c r="AM1241" i="2"/>
  <c r="AM1242" i="2"/>
  <c r="AM1243" i="2"/>
  <c r="AM1244" i="2"/>
  <c r="AM1245" i="2"/>
  <c r="AM1246" i="2"/>
  <c r="AM1247" i="2"/>
  <c r="AM1248" i="2"/>
  <c r="AM1249" i="2"/>
  <c r="AM1250" i="2"/>
  <c r="AM1251" i="2"/>
  <c r="AM1252" i="2"/>
  <c r="AM1253" i="2"/>
  <c r="AM1254" i="2"/>
  <c r="AM1255" i="2"/>
  <c r="AM1256" i="2"/>
  <c r="AM1257" i="2"/>
  <c r="AM1258" i="2"/>
  <c r="AM1259" i="2"/>
  <c r="AM1260" i="2"/>
  <c r="AM1261" i="2"/>
  <c r="AM1262" i="2"/>
  <c r="AM1263" i="2"/>
  <c r="AM1264" i="2"/>
  <c r="AM1265" i="2"/>
  <c r="AM1266" i="2"/>
  <c r="AM1267" i="2"/>
  <c r="AM1268" i="2"/>
  <c r="AM1269" i="2"/>
  <c r="AM1270" i="2"/>
  <c r="AM1271" i="2"/>
  <c r="AM1272" i="2"/>
  <c r="AM1273" i="2"/>
  <c r="AM1274" i="2"/>
  <c r="AM1275" i="2"/>
  <c r="AM1276" i="2"/>
  <c r="AM1277" i="2"/>
  <c r="AM1278" i="2"/>
  <c r="AM1279" i="2"/>
  <c r="AM1280" i="2"/>
  <c r="AM1281" i="2"/>
  <c r="AM1282" i="2"/>
  <c r="AM1283" i="2"/>
  <c r="AM1284" i="2"/>
  <c r="AM1285" i="2"/>
  <c r="AM1286" i="2"/>
  <c r="AM1287" i="2"/>
  <c r="AM1288" i="2"/>
  <c r="AM1289" i="2"/>
  <c r="AM1290" i="2"/>
  <c r="AM1291" i="2"/>
  <c r="AM1292" i="2"/>
  <c r="AM1293" i="2"/>
  <c r="AM1294" i="2"/>
  <c r="AM1295" i="2"/>
  <c r="AM1296" i="2"/>
  <c r="AM1297" i="2"/>
  <c r="AM1298" i="2"/>
  <c r="AM1299" i="2"/>
  <c r="AM1300" i="2"/>
  <c r="AM1301" i="2"/>
  <c r="AM1302" i="2"/>
  <c r="AM1303" i="2"/>
  <c r="AM1304" i="2"/>
  <c r="AM1305" i="2"/>
  <c r="AM1306" i="2"/>
  <c r="AM1307" i="2"/>
  <c r="AM1308" i="2"/>
  <c r="AM1309" i="2"/>
  <c r="AM1310" i="2"/>
  <c r="AM1311" i="2"/>
  <c r="AM1312" i="2"/>
  <c r="AM1313" i="2"/>
  <c r="AM1314" i="2"/>
  <c r="AM1315" i="2"/>
  <c r="AM1316" i="2"/>
  <c r="AM1317" i="2"/>
  <c r="AM1318" i="2"/>
  <c r="AM1319" i="2"/>
  <c r="AM1320" i="2"/>
  <c r="AM1321" i="2"/>
  <c r="AM1322" i="2"/>
  <c r="AM1323" i="2"/>
  <c r="AM1324" i="2"/>
  <c r="AM1325" i="2"/>
  <c r="AM1326" i="2"/>
  <c r="AM1327" i="2"/>
  <c r="AM1328" i="2"/>
  <c r="AM1329" i="2"/>
  <c r="AM1330" i="2"/>
  <c r="AM1331" i="2"/>
  <c r="AM1332" i="2"/>
  <c r="AM1333" i="2"/>
  <c r="AM1334" i="2"/>
  <c r="AM1335" i="2"/>
  <c r="AM1336" i="2"/>
  <c r="AM1337" i="2"/>
  <c r="AM1338" i="2"/>
  <c r="AM1339" i="2"/>
  <c r="AM1340" i="2"/>
  <c r="AM1341" i="2"/>
  <c r="AM1342" i="2"/>
  <c r="AM1343" i="2"/>
  <c r="AM1344" i="2"/>
  <c r="AM1345" i="2"/>
  <c r="AM1346" i="2"/>
  <c r="AM1347" i="2"/>
  <c r="AM1348" i="2"/>
  <c r="AM1349" i="2"/>
  <c r="AM1350" i="2"/>
  <c r="AM1351" i="2"/>
  <c r="AM1352" i="2"/>
  <c r="AM1353" i="2"/>
  <c r="AM1354" i="2"/>
  <c r="AM1355" i="2"/>
  <c r="AM1356" i="2"/>
  <c r="AM1357" i="2"/>
  <c r="AM1358" i="2"/>
  <c r="AM1359" i="2"/>
  <c r="AM1360" i="2"/>
  <c r="AM1361" i="2"/>
  <c r="AM1362" i="2"/>
  <c r="AM1363" i="2"/>
  <c r="AM1364" i="2"/>
  <c r="AM1365" i="2"/>
  <c r="AM1366" i="2"/>
  <c r="AM1367" i="2"/>
  <c r="AM1368" i="2"/>
  <c r="AM1369" i="2"/>
  <c r="AM1370" i="2"/>
  <c r="AM1371" i="2"/>
  <c r="AM1372" i="2"/>
  <c r="AM1373" i="2"/>
  <c r="AM1374" i="2"/>
  <c r="AM1375" i="2"/>
  <c r="AM1376" i="2"/>
  <c r="AM1377" i="2"/>
  <c r="AM1378" i="2"/>
  <c r="AM1379" i="2"/>
  <c r="AM1380" i="2"/>
  <c r="AM1381" i="2"/>
  <c r="AM1382" i="2"/>
  <c r="AM1383" i="2"/>
  <c r="AM1384" i="2"/>
  <c r="AM1385" i="2"/>
  <c r="AM1386" i="2"/>
  <c r="AM1387" i="2"/>
  <c r="AM1388" i="2"/>
  <c r="AM1389" i="2"/>
  <c r="AM1390" i="2"/>
  <c r="AM1391" i="2"/>
  <c r="AM1392" i="2"/>
  <c r="AM1393" i="2"/>
  <c r="AM1394" i="2"/>
  <c r="AM1395" i="2"/>
  <c r="AM1396" i="2"/>
  <c r="AM1397" i="2"/>
  <c r="AM1398" i="2"/>
  <c r="AM1399" i="2"/>
  <c r="AM1400" i="2"/>
  <c r="AM1401" i="2"/>
  <c r="AM1402" i="2"/>
  <c r="AM1403" i="2"/>
  <c r="AM1404" i="2"/>
  <c r="AM1405" i="2"/>
  <c r="AM1406" i="2"/>
  <c r="AM1407" i="2"/>
  <c r="AM1408" i="2"/>
  <c r="AM1409" i="2"/>
  <c r="AM1410" i="2"/>
  <c r="AM1411" i="2"/>
  <c r="AM1412" i="2"/>
  <c r="AM1413" i="2"/>
  <c r="AM1414" i="2"/>
  <c r="AM1415" i="2"/>
  <c r="AM1416" i="2"/>
  <c r="AM1417" i="2"/>
  <c r="AM1418" i="2"/>
  <c r="AM1419" i="2"/>
  <c r="AM1420" i="2"/>
  <c r="AM1421" i="2"/>
  <c r="AM1422" i="2"/>
  <c r="AM1423" i="2"/>
  <c r="AM1424" i="2"/>
  <c r="AM1425" i="2"/>
  <c r="AM1426" i="2"/>
  <c r="AM1427" i="2"/>
  <c r="AM1428" i="2"/>
  <c r="AM1429" i="2"/>
  <c r="AM1430" i="2"/>
  <c r="AM1431" i="2"/>
  <c r="AM1432" i="2"/>
  <c r="AM1433" i="2"/>
  <c r="AM1434" i="2"/>
  <c r="AM1435" i="2"/>
  <c r="AM1436" i="2"/>
  <c r="AM1437" i="2"/>
  <c r="AM1438" i="2"/>
  <c r="AM1439" i="2"/>
  <c r="AM1440" i="2"/>
  <c r="AM1441" i="2"/>
  <c r="AM1442" i="2"/>
  <c r="AM1443" i="2"/>
  <c r="AM1444" i="2"/>
  <c r="AM1445" i="2"/>
  <c r="AM1446" i="2"/>
  <c r="AM1447" i="2"/>
  <c r="AM1448" i="2"/>
  <c r="AM1449" i="2"/>
  <c r="AM1450" i="2"/>
  <c r="AM1451" i="2"/>
  <c r="AM1452" i="2"/>
  <c r="AM1453" i="2"/>
  <c r="AM1454" i="2"/>
  <c r="AM1455" i="2"/>
  <c r="AM1456" i="2"/>
  <c r="AM1457" i="2"/>
  <c r="AM1458" i="2"/>
  <c r="AM1459" i="2"/>
  <c r="AM1460" i="2"/>
  <c r="AM1461" i="2"/>
  <c r="AM1462" i="2"/>
  <c r="AM1463" i="2"/>
  <c r="AM1464" i="2"/>
  <c r="AM1465" i="2"/>
  <c r="AM1466" i="2"/>
  <c r="AM1467" i="2"/>
  <c r="AM1468" i="2"/>
  <c r="AM1469" i="2"/>
  <c r="AM1470" i="2"/>
  <c r="AM1471" i="2"/>
  <c r="AL2" i="2"/>
  <c r="AL3" i="2"/>
  <c r="AL4" i="2"/>
  <c r="AL5" i="2"/>
  <c r="AL6" i="2"/>
  <c r="AL7" i="2"/>
  <c r="AL8" i="2"/>
  <c r="AL9" i="2"/>
  <c r="AL10" i="2"/>
  <c r="AL11" i="2"/>
  <c r="AL12" i="2"/>
  <c r="AL13" i="2"/>
  <c r="AL14" i="2"/>
  <c r="AL15" i="2"/>
  <c r="AL16" i="2"/>
  <c r="AL17" i="2"/>
  <c r="AL18" i="2"/>
  <c r="AL19" i="2"/>
  <c r="AL20" i="2"/>
  <c r="AL21" i="2"/>
  <c r="AL22" i="2"/>
  <c r="AL23" i="2"/>
  <c r="AL24" i="2"/>
  <c r="AL25" i="2"/>
  <c r="AL26" i="2"/>
  <c r="AL27" i="2"/>
  <c r="AL28" i="2"/>
  <c r="AL29" i="2"/>
  <c r="AL30" i="2"/>
  <c r="AL31" i="2"/>
  <c r="AL32" i="2"/>
  <c r="AL33" i="2"/>
  <c r="AL34" i="2"/>
  <c r="AL35" i="2"/>
  <c r="AL36" i="2"/>
  <c r="AL37" i="2"/>
  <c r="AL38" i="2"/>
  <c r="AL39" i="2"/>
  <c r="AL40" i="2"/>
  <c r="AL41" i="2"/>
  <c r="AL42" i="2"/>
  <c r="AL43" i="2"/>
  <c r="AL44" i="2"/>
  <c r="AL45" i="2"/>
  <c r="AL46" i="2"/>
  <c r="AL47" i="2"/>
  <c r="AL48" i="2"/>
  <c r="AL49" i="2"/>
  <c r="AL50" i="2"/>
  <c r="AL51" i="2"/>
  <c r="AL52" i="2"/>
  <c r="AL53" i="2"/>
  <c r="AL54" i="2"/>
  <c r="AL55" i="2"/>
  <c r="AL56" i="2"/>
  <c r="AL57" i="2"/>
  <c r="AL58" i="2"/>
  <c r="AL59" i="2"/>
  <c r="AL60" i="2"/>
  <c r="AL61" i="2"/>
  <c r="AL62" i="2"/>
  <c r="AL63" i="2"/>
  <c r="AL64" i="2"/>
  <c r="AL65" i="2"/>
  <c r="AL66" i="2"/>
  <c r="AL67" i="2"/>
  <c r="AL68" i="2"/>
  <c r="AL69" i="2"/>
  <c r="AL70" i="2"/>
  <c r="AL71" i="2"/>
  <c r="AL72" i="2"/>
  <c r="AL73" i="2"/>
  <c r="AL74" i="2"/>
  <c r="AL75" i="2"/>
  <c r="AL76" i="2"/>
  <c r="AL77" i="2"/>
  <c r="AL78" i="2"/>
  <c r="AL79" i="2"/>
  <c r="AL80" i="2"/>
  <c r="AL81" i="2"/>
  <c r="AL82" i="2"/>
  <c r="AL83" i="2"/>
  <c r="AL84" i="2"/>
  <c r="AL85" i="2"/>
  <c r="AL86" i="2"/>
  <c r="AL87" i="2"/>
  <c r="AL88" i="2"/>
  <c r="AL89" i="2"/>
  <c r="AL90" i="2"/>
  <c r="AL91" i="2"/>
  <c r="AL92" i="2"/>
  <c r="AL93" i="2"/>
  <c r="AL94" i="2"/>
  <c r="AL95" i="2"/>
  <c r="AL96" i="2"/>
  <c r="AL97" i="2"/>
  <c r="AL98" i="2"/>
  <c r="AL99" i="2"/>
  <c r="AL100" i="2"/>
  <c r="AL101" i="2"/>
  <c r="AL102" i="2"/>
  <c r="AL103" i="2"/>
  <c r="AL104" i="2"/>
  <c r="AL105" i="2"/>
  <c r="AL106" i="2"/>
  <c r="AL107" i="2"/>
  <c r="AL108" i="2"/>
  <c r="AL109" i="2"/>
  <c r="AL110" i="2"/>
  <c r="AL111" i="2"/>
  <c r="AL112" i="2"/>
  <c r="AL113" i="2"/>
  <c r="AL114" i="2"/>
  <c r="AL115" i="2"/>
  <c r="AL116" i="2"/>
  <c r="AL117" i="2"/>
  <c r="AL118" i="2"/>
  <c r="AL119" i="2"/>
  <c r="AL120" i="2"/>
  <c r="AL121" i="2"/>
  <c r="AL122" i="2"/>
  <c r="AL123" i="2"/>
  <c r="AL124" i="2"/>
  <c r="AL125" i="2"/>
  <c r="AL126" i="2"/>
  <c r="AL127" i="2"/>
  <c r="AL128" i="2"/>
  <c r="AL129" i="2"/>
  <c r="AL130" i="2"/>
  <c r="AL131" i="2"/>
  <c r="AL132" i="2"/>
  <c r="AL133" i="2"/>
  <c r="AL134" i="2"/>
  <c r="AL135" i="2"/>
  <c r="AL136" i="2"/>
  <c r="AL137" i="2"/>
  <c r="AL138" i="2"/>
  <c r="AL139" i="2"/>
  <c r="AL140" i="2"/>
  <c r="AL141" i="2"/>
  <c r="AL142" i="2"/>
  <c r="AL143" i="2"/>
  <c r="AL144" i="2"/>
  <c r="AL145" i="2"/>
  <c r="AL146" i="2"/>
  <c r="AL147" i="2"/>
  <c r="AL148" i="2"/>
  <c r="AL149" i="2"/>
  <c r="AL150" i="2"/>
  <c r="AL151" i="2"/>
  <c r="AL152" i="2"/>
  <c r="AL153" i="2"/>
  <c r="AL154" i="2"/>
  <c r="AL155" i="2"/>
  <c r="AL156" i="2"/>
  <c r="AL157" i="2"/>
  <c r="AL158" i="2"/>
  <c r="AL159" i="2"/>
  <c r="AL160" i="2"/>
  <c r="AL161" i="2"/>
  <c r="AL162" i="2"/>
  <c r="AL163" i="2"/>
  <c r="AL164" i="2"/>
  <c r="AL165" i="2"/>
  <c r="AL166" i="2"/>
  <c r="AL167" i="2"/>
  <c r="AL168" i="2"/>
  <c r="AL169" i="2"/>
  <c r="AL170" i="2"/>
  <c r="AL171" i="2"/>
  <c r="AL172" i="2"/>
  <c r="AL173" i="2"/>
  <c r="AL174" i="2"/>
  <c r="AL175" i="2"/>
  <c r="AL176" i="2"/>
  <c r="AL177" i="2"/>
  <c r="AL178" i="2"/>
  <c r="AL179" i="2"/>
  <c r="AL180" i="2"/>
  <c r="AL181" i="2"/>
  <c r="AL182" i="2"/>
  <c r="AL183" i="2"/>
  <c r="AL184" i="2"/>
  <c r="AL185" i="2"/>
  <c r="AL186" i="2"/>
  <c r="AL187" i="2"/>
  <c r="AL188" i="2"/>
  <c r="AL189" i="2"/>
  <c r="AL190" i="2"/>
  <c r="AL191" i="2"/>
  <c r="AL192" i="2"/>
  <c r="AL193" i="2"/>
  <c r="AL194" i="2"/>
  <c r="AL195" i="2"/>
  <c r="AL196" i="2"/>
  <c r="AL197" i="2"/>
  <c r="AL198" i="2"/>
  <c r="AL199" i="2"/>
  <c r="AL200" i="2"/>
  <c r="AL201" i="2"/>
  <c r="AL202" i="2"/>
  <c r="AL203" i="2"/>
  <c r="AL204" i="2"/>
  <c r="AL205" i="2"/>
  <c r="AL206" i="2"/>
  <c r="AL207" i="2"/>
  <c r="AL208" i="2"/>
  <c r="AL209" i="2"/>
  <c r="AL210" i="2"/>
  <c r="AL211" i="2"/>
  <c r="AL212" i="2"/>
  <c r="AL213" i="2"/>
  <c r="AL214" i="2"/>
  <c r="AL215" i="2"/>
  <c r="AL216" i="2"/>
  <c r="AL217" i="2"/>
  <c r="AL218" i="2"/>
  <c r="AL219" i="2"/>
  <c r="AL220" i="2"/>
  <c r="AL221" i="2"/>
  <c r="AL222" i="2"/>
  <c r="AL223" i="2"/>
  <c r="AL224" i="2"/>
  <c r="AL225" i="2"/>
  <c r="AL226" i="2"/>
  <c r="AL227" i="2"/>
  <c r="AL228" i="2"/>
  <c r="AL229" i="2"/>
  <c r="AL230" i="2"/>
  <c r="AL231" i="2"/>
  <c r="AL232" i="2"/>
  <c r="AL233" i="2"/>
  <c r="AL234" i="2"/>
  <c r="AL235" i="2"/>
  <c r="AL236" i="2"/>
  <c r="AL237" i="2"/>
  <c r="AL238" i="2"/>
  <c r="AL239" i="2"/>
  <c r="AL240" i="2"/>
  <c r="AL241" i="2"/>
  <c r="AL242" i="2"/>
  <c r="AL243" i="2"/>
  <c r="AL244" i="2"/>
  <c r="AL245" i="2"/>
  <c r="AL246" i="2"/>
  <c r="AL247" i="2"/>
  <c r="AL248" i="2"/>
  <c r="AL249" i="2"/>
  <c r="AL250" i="2"/>
  <c r="AL251" i="2"/>
  <c r="AL252" i="2"/>
  <c r="AL253" i="2"/>
  <c r="AL254" i="2"/>
  <c r="AL255" i="2"/>
  <c r="AL256" i="2"/>
  <c r="AL257" i="2"/>
  <c r="AL258" i="2"/>
  <c r="AL259" i="2"/>
  <c r="AL260" i="2"/>
  <c r="AL261" i="2"/>
  <c r="AL262" i="2"/>
  <c r="AL263" i="2"/>
  <c r="AL264" i="2"/>
  <c r="AL265" i="2"/>
  <c r="AL266" i="2"/>
  <c r="AL267" i="2"/>
  <c r="AL268" i="2"/>
  <c r="AL269" i="2"/>
  <c r="AL270" i="2"/>
  <c r="AL271" i="2"/>
  <c r="AL272" i="2"/>
  <c r="AL273" i="2"/>
  <c r="AL274" i="2"/>
  <c r="AL275" i="2"/>
  <c r="AL276" i="2"/>
  <c r="AL277" i="2"/>
  <c r="AL278" i="2"/>
  <c r="AL279" i="2"/>
  <c r="AL280" i="2"/>
  <c r="AL281" i="2"/>
  <c r="AL282" i="2"/>
  <c r="AL283" i="2"/>
  <c r="AL284" i="2"/>
  <c r="AL285" i="2"/>
  <c r="AL286" i="2"/>
  <c r="AL287" i="2"/>
  <c r="AL288" i="2"/>
  <c r="AL289" i="2"/>
  <c r="AL290" i="2"/>
  <c r="AL291" i="2"/>
  <c r="AL292" i="2"/>
  <c r="AL293" i="2"/>
  <c r="AL294" i="2"/>
  <c r="AL295" i="2"/>
  <c r="AL296" i="2"/>
  <c r="AL297" i="2"/>
  <c r="AL298" i="2"/>
  <c r="AL299" i="2"/>
  <c r="AL300" i="2"/>
  <c r="AL301" i="2"/>
  <c r="AL302" i="2"/>
  <c r="AL303" i="2"/>
  <c r="AL304" i="2"/>
  <c r="AL305" i="2"/>
  <c r="AL306" i="2"/>
  <c r="AL307" i="2"/>
  <c r="AL308" i="2"/>
  <c r="AL309" i="2"/>
  <c r="AL310" i="2"/>
  <c r="AL311" i="2"/>
  <c r="AL312" i="2"/>
  <c r="AL313" i="2"/>
  <c r="AL314" i="2"/>
  <c r="AL315" i="2"/>
  <c r="AL316" i="2"/>
  <c r="AL317" i="2"/>
  <c r="AL318" i="2"/>
  <c r="AL319" i="2"/>
  <c r="AL320" i="2"/>
  <c r="AL321" i="2"/>
  <c r="AL322" i="2"/>
  <c r="AL323" i="2"/>
  <c r="AL324" i="2"/>
  <c r="AL325" i="2"/>
  <c r="AL326" i="2"/>
  <c r="AL327" i="2"/>
  <c r="AL328" i="2"/>
  <c r="AL329" i="2"/>
  <c r="AL330" i="2"/>
  <c r="AL331" i="2"/>
  <c r="AL332" i="2"/>
  <c r="AL333" i="2"/>
  <c r="AL334" i="2"/>
  <c r="AL335" i="2"/>
  <c r="AL336" i="2"/>
  <c r="AL337" i="2"/>
  <c r="AL338" i="2"/>
  <c r="AL339" i="2"/>
  <c r="AL340" i="2"/>
  <c r="AL341" i="2"/>
  <c r="AL342" i="2"/>
  <c r="AL343" i="2"/>
  <c r="AL344" i="2"/>
  <c r="AL345" i="2"/>
  <c r="AL346" i="2"/>
  <c r="AL347" i="2"/>
  <c r="AL348" i="2"/>
  <c r="AL349" i="2"/>
  <c r="AL350" i="2"/>
  <c r="AL351" i="2"/>
  <c r="AL352" i="2"/>
  <c r="AL353" i="2"/>
  <c r="AL354" i="2"/>
  <c r="AL355" i="2"/>
  <c r="AL356" i="2"/>
  <c r="AL357" i="2"/>
  <c r="AL358" i="2"/>
  <c r="AL359" i="2"/>
  <c r="AL360" i="2"/>
  <c r="AL361" i="2"/>
  <c r="AL362" i="2"/>
  <c r="AL363" i="2"/>
  <c r="AL364" i="2"/>
  <c r="AL365" i="2"/>
  <c r="AL366" i="2"/>
  <c r="AL367" i="2"/>
  <c r="AL368" i="2"/>
  <c r="AL369" i="2"/>
  <c r="AL370" i="2"/>
  <c r="AL371" i="2"/>
  <c r="AL372" i="2"/>
  <c r="AL373" i="2"/>
  <c r="AL374" i="2"/>
  <c r="AL375" i="2"/>
  <c r="AL376" i="2"/>
  <c r="AL377" i="2"/>
  <c r="AL378" i="2"/>
  <c r="AL379" i="2"/>
  <c r="AL380" i="2"/>
  <c r="AL381" i="2"/>
  <c r="AL382" i="2"/>
  <c r="AL383" i="2"/>
  <c r="AL384" i="2"/>
  <c r="AL385" i="2"/>
  <c r="AL386" i="2"/>
  <c r="AL387" i="2"/>
  <c r="AL388" i="2"/>
  <c r="AL389" i="2"/>
  <c r="AL390" i="2"/>
  <c r="AL391" i="2"/>
  <c r="AL392" i="2"/>
  <c r="AL393" i="2"/>
  <c r="AL394" i="2"/>
  <c r="AL395" i="2"/>
  <c r="AL396" i="2"/>
  <c r="AL397" i="2"/>
  <c r="AL398" i="2"/>
  <c r="AL399" i="2"/>
  <c r="AL400" i="2"/>
  <c r="AL401" i="2"/>
  <c r="AL402" i="2"/>
  <c r="AL403" i="2"/>
  <c r="AL404" i="2"/>
  <c r="AL405" i="2"/>
  <c r="AL406" i="2"/>
  <c r="AL407" i="2"/>
  <c r="AL408" i="2"/>
  <c r="AL409" i="2"/>
  <c r="AL410" i="2"/>
  <c r="AL411" i="2"/>
  <c r="AL412" i="2"/>
  <c r="AL413" i="2"/>
  <c r="AL414" i="2"/>
  <c r="AL415" i="2"/>
  <c r="AL416" i="2"/>
  <c r="AL417" i="2"/>
  <c r="AL418" i="2"/>
  <c r="AL419" i="2"/>
  <c r="AL420" i="2"/>
  <c r="AL421" i="2"/>
  <c r="AL422" i="2"/>
  <c r="AL423" i="2"/>
  <c r="AL424" i="2"/>
  <c r="AL425" i="2"/>
  <c r="AL426" i="2"/>
  <c r="AL427" i="2"/>
  <c r="AL428" i="2"/>
  <c r="AL429" i="2"/>
  <c r="AL430" i="2"/>
  <c r="AL431" i="2"/>
  <c r="AL432" i="2"/>
  <c r="AL433" i="2"/>
  <c r="AL434" i="2"/>
  <c r="AL435" i="2"/>
  <c r="AL436" i="2"/>
  <c r="AL437" i="2"/>
  <c r="AL438" i="2"/>
  <c r="AL439" i="2"/>
  <c r="AL440" i="2"/>
  <c r="AL441" i="2"/>
  <c r="AL442" i="2"/>
  <c r="AL443" i="2"/>
  <c r="AL444" i="2"/>
  <c r="AL445" i="2"/>
  <c r="AL446" i="2"/>
  <c r="AL447" i="2"/>
  <c r="AL448" i="2"/>
  <c r="AL449" i="2"/>
  <c r="AL450" i="2"/>
  <c r="AL451" i="2"/>
  <c r="AL452" i="2"/>
  <c r="AL453" i="2"/>
  <c r="AL454" i="2"/>
  <c r="AL455" i="2"/>
  <c r="AL456" i="2"/>
  <c r="AL457" i="2"/>
  <c r="AL458" i="2"/>
  <c r="AL459" i="2"/>
  <c r="AL460" i="2"/>
  <c r="AL461" i="2"/>
  <c r="AL462" i="2"/>
  <c r="AL463" i="2"/>
  <c r="AL464" i="2"/>
  <c r="AL465" i="2"/>
  <c r="AL466" i="2"/>
  <c r="AL467" i="2"/>
  <c r="AL468" i="2"/>
  <c r="AL469" i="2"/>
  <c r="AL470" i="2"/>
  <c r="AL471" i="2"/>
  <c r="AL472" i="2"/>
  <c r="AL473" i="2"/>
  <c r="AL474" i="2"/>
  <c r="AL475" i="2"/>
  <c r="AL476" i="2"/>
  <c r="AL477" i="2"/>
  <c r="AL478" i="2"/>
  <c r="AL479" i="2"/>
  <c r="AL480" i="2"/>
  <c r="AL481" i="2"/>
  <c r="AL482" i="2"/>
  <c r="AL483" i="2"/>
  <c r="AL484" i="2"/>
  <c r="AL485" i="2"/>
  <c r="AL486" i="2"/>
  <c r="AL487" i="2"/>
  <c r="AL488" i="2"/>
  <c r="AL489" i="2"/>
  <c r="AL490" i="2"/>
  <c r="AL491" i="2"/>
  <c r="AL492" i="2"/>
  <c r="AL493" i="2"/>
  <c r="AL494" i="2"/>
  <c r="AL495" i="2"/>
  <c r="AL496" i="2"/>
  <c r="AL497" i="2"/>
  <c r="AL498" i="2"/>
  <c r="AL499" i="2"/>
  <c r="AL500" i="2"/>
  <c r="AL501" i="2"/>
  <c r="AL502" i="2"/>
  <c r="AL503" i="2"/>
  <c r="AL504" i="2"/>
  <c r="AL505" i="2"/>
  <c r="AL506" i="2"/>
  <c r="AL507" i="2"/>
  <c r="AL508" i="2"/>
  <c r="AL509" i="2"/>
  <c r="AL510" i="2"/>
  <c r="AL511" i="2"/>
  <c r="AL512" i="2"/>
  <c r="AL513" i="2"/>
  <c r="AL514" i="2"/>
  <c r="AL515" i="2"/>
  <c r="AL516" i="2"/>
  <c r="AL517" i="2"/>
  <c r="AL518" i="2"/>
  <c r="AL519" i="2"/>
  <c r="AL520" i="2"/>
  <c r="AL521" i="2"/>
  <c r="AL522" i="2"/>
  <c r="AL523" i="2"/>
  <c r="AL524" i="2"/>
  <c r="AL525" i="2"/>
  <c r="AL526" i="2"/>
  <c r="AL527" i="2"/>
  <c r="AL528" i="2"/>
  <c r="AL529" i="2"/>
  <c r="AL530" i="2"/>
  <c r="AL531" i="2"/>
  <c r="AL532" i="2"/>
  <c r="AL533" i="2"/>
  <c r="AL534" i="2"/>
  <c r="AL535" i="2"/>
  <c r="AL536" i="2"/>
  <c r="AL537" i="2"/>
  <c r="AL538" i="2"/>
  <c r="AL539" i="2"/>
  <c r="AL540" i="2"/>
  <c r="AL541" i="2"/>
  <c r="AL542" i="2"/>
  <c r="AL543" i="2"/>
  <c r="AL544" i="2"/>
  <c r="AL545" i="2"/>
  <c r="AL546" i="2"/>
  <c r="AL547" i="2"/>
  <c r="AL548" i="2"/>
  <c r="AL549" i="2"/>
  <c r="AL550" i="2"/>
  <c r="AL551" i="2"/>
  <c r="AL552" i="2"/>
  <c r="AL553" i="2"/>
  <c r="AL554" i="2"/>
  <c r="AL555" i="2"/>
  <c r="AL556" i="2"/>
  <c r="AL557" i="2"/>
  <c r="AL558" i="2"/>
  <c r="AL559" i="2"/>
  <c r="AL560" i="2"/>
  <c r="AL561" i="2"/>
  <c r="AL562" i="2"/>
  <c r="AL563" i="2"/>
  <c r="AL564" i="2"/>
  <c r="AL565" i="2"/>
  <c r="AL566" i="2"/>
  <c r="AL567" i="2"/>
  <c r="AL568" i="2"/>
  <c r="AL569" i="2"/>
  <c r="AL570" i="2"/>
  <c r="AL571" i="2"/>
  <c r="AL572" i="2"/>
  <c r="AL573" i="2"/>
  <c r="AL574" i="2"/>
  <c r="AL575" i="2"/>
  <c r="AL576" i="2"/>
  <c r="AL577" i="2"/>
  <c r="AL578" i="2"/>
  <c r="AL579" i="2"/>
  <c r="AL580" i="2"/>
  <c r="AL581" i="2"/>
  <c r="AL582" i="2"/>
  <c r="AL583" i="2"/>
  <c r="AL584" i="2"/>
  <c r="AL585" i="2"/>
  <c r="AL586" i="2"/>
  <c r="AL587" i="2"/>
  <c r="AL588" i="2"/>
  <c r="AL589" i="2"/>
  <c r="AL590" i="2"/>
  <c r="AL591" i="2"/>
  <c r="AL592" i="2"/>
  <c r="AL593" i="2"/>
  <c r="AL594" i="2"/>
  <c r="AL595" i="2"/>
  <c r="AL596" i="2"/>
  <c r="AL597" i="2"/>
  <c r="AL598" i="2"/>
  <c r="AL599" i="2"/>
  <c r="AL600" i="2"/>
  <c r="AL601" i="2"/>
  <c r="AL602" i="2"/>
  <c r="AL603" i="2"/>
  <c r="AL604" i="2"/>
  <c r="AL605" i="2"/>
  <c r="AL606" i="2"/>
  <c r="AL607" i="2"/>
  <c r="AL608" i="2"/>
  <c r="AL609" i="2"/>
  <c r="AL610" i="2"/>
  <c r="AL611" i="2"/>
  <c r="AL612" i="2"/>
  <c r="AL613" i="2"/>
  <c r="AL614" i="2"/>
  <c r="AL615" i="2"/>
  <c r="AL616" i="2"/>
  <c r="AL617" i="2"/>
  <c r="AL618" i="2"/>
  <c r="AL619" i="2"/>
  <c r="AL620" i="2"/>
  <c r="AL621" i="2"/>
  <c r="AL622" i="2"/>
  <c r="AL623" i="2"/>
  <c r="AL624" i="2"/>
  <c r="AL625" i="2"/>
  <c r="AL626" i="2"/>
  <c r="AL627" i="2"/>
  <c r="AL628" i="2"/>
  <c r="AL629" i="2"/>
  <c r="AL630" i="2"/>
  <c r="AL631" i="2"/>
  <c r="AL632" i="2"/>
  <c r="AL633" i="2"/>
  <c r="AL634" i="2"/>
  <c r="AL635" i="2"/>
  <c r="AL636" i="2"/>
  <c r="AL637" i="2"/>
  <c r="AL638" i="2"/>
  <c r="AL639" i="2"/>
  <c r="AL640" i="2"/>
  <c r="AL641" i="2"/>
  <c r="AL642" i="2"/>
  <c r="AL643" i="2"/>
  <c r="AL644" i="2"/>
  <c r="AL645" i="2"/>
  <c r="AL646" i="2"/>
  <c r="AL647" i="2"/>
  <c r="AL648" i="2"/>
  <c r="AL649" i="2"/>
  <c r="AL650" i="2"/>
  <c r="AL651" i="2"/>
  <c r="AL652" i="2"/>
  <c r="AL653" i="2"/>
  <c r="AL654" i="2"/>
  <c r="AL655" i="2"/>
  <c r="AL656" i="2"/>
  <c r="AL657" i="2"/>
  <c r="AL658" i="2"/>
  <c r="AL659" i="2"/>
  <c r="AL660" i="2"/>
  <c r="AL661" i="2"/>
  <c r="AL662" i="2"/>
  <c r="AL663" i="2"/>
  <c r="AL664" i="2"/>
  <c r="AL665" i="2"/>
  <c r="AL666" i="2"/>
  <c r="AL667" i="2"/>
  <c r="AL668" i="2"/>
  <c r="AL669" i="2"/>
  <c r="AL670" i="2"/>
  <c r="AL671" i="2"/>
  <c r="AL672" i="2"/>
  <c r="AL673" i="2"/>
  <c r="AL674" i="2"/>
  <c r="AL675" i="2"/>
  <c r="AL676" i="2"/>
  <c r="AL677" i="2"/>
  <c r="AL678" i="2"/>
  <c r="AL679" i="2"/>
  <c r="AL680" i="2"/>
  <c r="AL681" i="2"/>
  <c r="AL682" i="2"/>
  <c r="AL683" i="2"/>
  <c r="AL684" i="2"/>
  <c r="AL685" i="2"/>
  <c r="AL686" i="2"/>
  <c r="AL687" i="2"/>
  <c r="AL688" i="2"/>
  <c r="AL689" i="2"/>
  <c r="AL690" i="2"/>
  <c r="AL691" i="2"/>
  <c r="AL692" i="2"/>
  <c r="AL693" i="2"/>
  <c r="AL694" i="2"/>
  <c r="AL695" i="2"/>
  <c r="AL696" i="2"/>
  <c r="AL697" i="2"/>
  <c r="AL698" i="2"/>
  <c r="AL699" i="2"/>
  <c r="AL700" i="2"/>
  <c r="AL701" i="2"/>
  <c r="AL702" i="2"/>
  <c r="AL703" i="2"/>
  <c r="AL704" i="2"/>
  <c r="AL705" i="2"/>
  <c r="AL706" i="2"/>
  <c r="AL707" i="2"/>
  <c r="AL708" i="2"/>
  <c r="AL709" i="2"/>
  <c r="AL710" i="2"/>
  <c r="AL711" i="2"/>
  <c r="AL712" i="2"/>
  <c r="AL713" i="2"/>
  <c r="AL714" i="2"/>
  <c r="AL715" i="2"/>
  <c r="AL716" i="2"/>
  <c r="AL717" i="2"/>
  <c r="AL718" i="2"/>
  <c r="AL719" i="2"/>
  <c r="AL720" i="2"/>
  <c r="AL721" i="2"/>
  <c r="AL722" i="2"/>
  <c r="AL723" i="2"/>
  <c r="AL724" i="2"/>
  <c r="AL725" i="2"/>
  <c r="AL726" i="2"/>
  <c r="AL727" i="2"/>
  <c r="AL728" i="2"/>
  <c r="AL729" i="2"/>
  <c r="AL730" i="2"/>
  <c r="AL731" i="2"/>
  <c r="AL732" i="2"/>
  <c r="AL733" i="2"/>
  <c r="AL734" i="2"/>
  <c r="AL735" i="2"/>
  <c r="AL736" i="2"/>
  <c r="AL737" i="2"/>
  <c r="AL738" i="2"/>
  <c r="AL739" i="2"/>
  <c r="AL740" i="2"/>
  <c r="AL741" i="2"/>
  <c r="AL742" i="2"/>
  <c r="AL743" i="2"/>
  <c r="AL744" i="2"/>
  <c r="AL745" i="2"/>
  <c r="AL746" i="2"/>
  <c r="AL747" i="2"/>
  <c r="AL748" i="2"/>
  <c r="AL749" i="2"/>
  <c r="AL750" i="2"/>
  <c r="AL751" i="2"/>
  <c r="AL752" i="2"/>
  <c r="AL753" i="2"/>
  <c r="AL754" i="2"/>
  <c r="AL755" i="2"/>
  <c r="AL756" i="2"/>
  <c r="AL757" i="2"/>
  <c r="AL758" i="2"/>
  <c r="AL759" i="2"/>
  <c r="AL760" i="2"/>
  <c r="AL761" i="2"/>
  <c r="AL762" i="2"/>
  <c r="AL763" i="2"/>
  <c r="AL764" i="2"/>
  <c r="AL765" i="2"/>
  <c r="AL766" i="2"/>
  <c r="AL767" i="2"/>
  <c r="AL768" i="2"/>
  <c r="AL769" i="2"/>
  <c r="AL770" i="2"/>
  <c r="AL771" i="2"/>
  <c r="AL772" i="2"/>
  <c r="AL773" i="2"/>
  <c r="AL774" i="2"/>
  <c r="AL775" i="2"/>
  <c r="AL776" i="2"/>
  <c r="AL777" i="2"/>
  <c r="AL778" i="2"/>
  <c r="AL779" i="2"/>
  <c r="AL780" i="2"/>
  <c r="AL781" i="2"/>
  <c r="AL782" i="2"/>
  <c r="AL783" i="2"/>
  <c r="AL784" i="2"/>
  <c r="AL785" i="2"/>
  <c r="AL786" i="2"/>
  <c r="AL787" i="2"/>
  <c r="AL788" i="2"/>
  <c r="AL789" i="2"/>
  <c r="AL790" i="2"/>
  <c r="AL791" i="2"/>
  <c r="AL792" i="2"/>
  <c r="AL793" i="2"/>
  <c r="AL794" i="2"/>
  <c r="AL795" i="2"/>
  <c r="AL796" i="2"/>
  <c r="AL797" i="2"/>
  <c r="AL798" i="2"/>
  <c r="AL799" i="2"/>
  <c r="AL800" i="2"/>
  <c r="AL801" i="2"/>
  <c r="AL802" i="2"/>
  <c r="AL803" i="2"/>
  <c r="AL804" i="2"/>
  <c r="AL805" i="2"/>
  <c r="AL806" i="2"/>
  <c r="AL807" i="2"/>
  <c r="AL808" i="2"/>
  <c r="AL809" i="2"/>
  <c r="AL810" i="2"/>
  <c r="AL811" i="2"/>
  <c r="AL812" i="2"/>
  <c r="AL813" i="2"/>
  <c r="AL814" i="2"/>
  <c r="AL815" i="2"/>
  <c r="AL816" i="2"/>
  <c r="AL817" i="2"/>
  <c r="AL818" i="2"/>
  <c r="AL819" i="2"/>
  <c r="AL820" i="2"/>
  <c r="AL821" i="2"/>
  <c r="AL822" i="2"/>
  <c r="AL823" i="2"/>
  <c r="AL824" i="2"/>
  <c r="AL825" i="2"/>
  <c r="AL826" i="2"/>
  <c r="AL827" i="2"/>
  <c r="AL828" i="2"/>
  <c r="AL829" i="2"/>
  <c r="AL830" i="2"/>
  <c r="AL831" i="2"/>
  <c r="AL832" i="2"/>
  <c r="AL833" i="2"/>
  <c r="AL834" i="2"/>
  <c r="AL835" i="2"/>
  <c r="AL836" i="2"/>
  <c r="AL837" i="2"/>
  <c r="AL838" i="2"/>
  <c r="AL839" i="2"/>
  <c r="AL840" i="2"/>
  <c r="AL841" i="2"/>
  <c r="AL842" i="2"/>
  <c r="AL843" i="2"/>
  <c r="AL844" i="2"/>
  <c r="AL845" i="2"/>
  <c r="AL846" i="2"/>
  <c r="AL847" i="2"/>
  <c r="AL848" i="2"/>
  <c r="AL849" i="2"/>
  <c r="AL850" i="2"/>
  <c r="AL851" i="2"/>
  <c r="AL852" i="2"/>
  <c r="AL853" i="2"/>
  <c r="AL854" i="2"/>
  <c r="AL855" i="2"/>
  <c r="AL856" i="2"/>
  <c r="AL857" i="2"/>
  <c r="AL858" i="2"/>
  <c r="AL859" i="2"/>
  <c r="AL860" i="2"/>
  <c r="AL861" i="2"/>
  <c r="AL862" i="2"/>
  <c r="AL863" i="2"/>
  <c r="AL864" i="2"/>
  <c r="AL865" i="2"/>
  <c r="AL866" i="2"/>
  <c r="AL867" i="2"/>
  <c r="AL868" i="2"/>
  <c r="AL869" i="2"/>
  <c r="AL870" i="2"/>
  <c r="AL871" i="2"/>
  <c r="AL872" i="2"/>
  <c r="AL873" i="2"/>
  <c r="AL874" i="2"/>
  <c r="AL875" i="2"/>
  <c r="AL876" i="2"/>
  <c r="AL877" i="2"/>
  <c r="AL878" i="2"/>
  <c r="AL879" i="2"/>
  <c r="AL880" i="2"/>
  <c r="AL881" i="2"/>
  <c r="AL882" i="2"/>
  <c r="AL883" i="2"/>
  <c r="AL884" i="2"/>
  <c r="AL885" i="2"/>
  <c r="AL886" i="2"/>
  <c r="AL887" i="2"/>
  <c r="AL888" i="2"/>
  <c r="AL889" i="2"/>
  <c r="AL890" i="2"/>
  <c r="AL891" i="2"/>
  <c r="AL892" i="2"/>
  <c r="AL893" i="2"/>
  <c r="AL894" i="2"/>
  <c r="AL895" i="2"/>
  <c r="AL896" i="2"/>
  <c r="AL897" i="2"/>
  <c r="AL898" i="2"/>
  <c r="AL899" i="2"/>
  <c r="AL900" i="2"/>
  <c r="AL901" i="2"/>
  <c r="AL902" i="2"/>
  <c r="AL903" i="2"/>
  <c r="AL904" i="2"/>
  <c r="AL905" i="2"/>
  <c r="AL906" i="2"/>
  <c r="AL907" i="2"/>
  <c r="AL908" i="2"/>
  <c r="AL909" i="2"/>
  <c r="AL910" i="2"/>
  <c r="AL911" i="2"/>
  <c r="AL912" i="2"/>
  <c r="AL913" i="2"/>
  <c r="AL914" i="2"/>
  <c r="AL915" i="2"/>
  <c r="AL916" i="2"/>
  <c r="AL917" i="2"/>
  <c r="AL918" i="2"/>
  <c r="AL919" i="2"/>
  <c r="AL920" i="2"/>
  <c r="AL921" i="2"/>
  <c r="AL922" i="2"/>
  <c r="AL923" i="2"/>
  <c r="AL924" i="2"/>
  <c r="AL925" i="2"/>
  <c r="AL926" i="2"/>
  <c r="AL927" i="2"/>
  <c r="AL928" i="2"/>
  <c r="AL929" i="2"/>
  <c r="AL930" i="2"/>
  <c r="AL931" i="2"/>
  <c r="AL932" i="2"/>
  <c r="AL933" i="2"/>
  <c r="AL934" i="2"/>
  <c r="AL935" i="2"/>
  <c r="AL936" i="2"/>
  <c r="AL937" i="2"/>
  <c r="AL938" i="2"/>
  <c r="AL939" i="2"/>
  <c r="AL940" i="2"/>
  <c r="AL941" i="2"/>
  <c r="AL942" i="2"/>
  <c r="AL943" i="2"/>
  <c r="AL944" i="2"/>
  <c r="AL945" i="2"/>
  <c r="AL946" i="2"/>
  <c r="AL947" i="2"/>
  <c r="AL948" i="2"/>
  <c r="AL949" i="2"/>
  <c r="AL950" i="2"/>
  <c r="AL951" i="2"/>
  <c r="AL952" i="2"/>
  <c r="AL953" i="2"/>
  <c r="AL954" i="2"/>
  <c r="AL955" i="2"/>
  <c r="AL956" i="2"/>
  <c r="AL957" i="2"/>
  <c r="AL958" i="2"/>
  <c r="AL959" i="2"/>
  <c r="AL960" i="2"/>
  <c r="AL961" i="2"/>
  <c r="AL962" i="2"/>
  <c r="AL963" i="2"/>
  <c r="AL964" i="2"/>
  <c r="AL965" i="2"/>
  <c r="AL966" i="2"/>
  <c r="AL967" i="2"/>
  <c r="AL968" i="2"/>
  <c r="AL969" i="2"/>
  <c r="AL970" i="2"/>
  <c r="AL971" i="2"/>
  <c r="AL972" i="2"/>
  <c r="AL973" i="2"/>
  <c r="AL974" i="2"/>
  <c r="AL975" i="2"/>
  <c r="AL976" i="2"/>
  <c r="AL977" i="2"/>
  <c r="AL978" i="2"/>
  <c r="AL979" i="2"/>
  <c r="AL980" i="2"/>
  <c r="AL981" i="2"/>
  <c r="AL982" i="2"/>
  <c r="AL983" i="2"/>
  <c r="AL984" i="2"/>
  <c r="AL985" i="2"/>
  <c r="AL986" i="2"/>
  <c r="AL987" i="2"/>
  <c r="AL988" i="2"/>
  <c r="AL989" i="2"/>
  <c r="AL990" i="2"/>
  <c r="AL991" i="2"/>
  <c r="AL992" i="2"/>
  <c r="AL993" i="2"/>
  <c r="AL994" i="2"/>
  <c r="AL995" i="2"/>
  <c r="AL996" i="2"/>
  <c r="AL997" i="2"/>
  <c r="AL998" i="2"/>
  <c r="AL999" i="2"/>
  <c r="AL1000" i="2"/>
  <c r="AL1001" i="2"/>
  <c r="AL1002" i="2"/>
  <c r="AL1003" i="2"/>
  <c r="AL1004" i="2"/>
  <c r="AL1005" i="2"/>
  <c r="AL1006" i="2"/>
  <c r="AL1007" i="2"/>
  <c r="AL1008" i="2"/>
  <c r="AL1009" i="2"/>
  <c r="AL1010" i="2"/>
  <c r="AL1011" i="2"/>
  <c r="AL1012" i="2"/>
  <c r="AL1013" i="2"/>
  <c r="AL1014" i="2"/>
  <c r="AL1015" i="2"/>
  <c r="AL1016" i="2"/>
  <c r="AL1017" i="2"/>
  <c r="AL1018" i="2"/>
  <c r="AL1019" i="2"/>
  <c r="AL1020" i="2"/>
  <c r="AL1021" i="2"/>
  <c r="AL1022" i="2"/>
  <c r="AL1023" i="2"/>
  <c r="AL1024" i="2"/>
  <c r="AL1025" i="2"/>
  <c r="AL1026" i="2"/>
  <c r="AL1027" i="2"/>
  <c r="AL1028" i="2"/>
  <c r="AL1029" i="2"/>
  <c r="AL1030" i="2"/>
  <c r="AL1031" i="2"/>
  <c r="AL1032" i="2"/>
  <c r="AL1033" i="2"/>
  <c r="AL1034" i="2"/>
  <c r="AL1035" i="2"/>
  <c r="AL1036" i="2"/>
  <c r="AL1037" i="2"/>
  <c r="AL1038" i="2"/>
  <c r="AL1039" i="2"/>
  <c r="AL1040" i="2"/>
  <c r="AL1041" i="2"/>
  <c r="AL1042" i="2"/>
  <c r="AL1043" i="2"/>
  <c r="AL1044" i="2"/>
  <c r="AL1045" i="2"/>
  <c r="AL1046" i="2"/>
  <c r="AL1047" i="2"/>
  <c r="AL1048" i="2"/>
  <c r="AL1049" i="2"/>
  <c r="AL1050" i="2"/>
  <c r="AL1051" i="2"/>
  <c r="AL1052" i="2"/>
  <c r="AL1053" i="2"/>
  <c r="AL1054" i="2"/>
  <c r="AL1055" i="2"/>
  <c r="AL1056" i="2"/>
  <c r="AL1057" i="2"/>
  <c r="AL1058" i="2"/>
  <c r="AL1059" i="2"/>
  <c r="AL1060" i="2"/>
  <c r="AL1061" i="2"/>
  <c r="AL1062" i="2"/>
  <c r="AL1063" i="2"/>
  <c r="AL1064" i="2"/>
  <c r="AL1065" i="2"/>
  <c r="AL1066" i="2"/>
  <c r="AL1067" i="2"/>
  <c r="AL1068" i="2"/>
  <c r="AL1069" i="2"/>
  <c r="AL1070" i="2"/>
  <c r="AL1071" i="2"/>
  <c r="AL1072" i="2"/>
  <c r="AL1073" i="2"/>
  <c r="AL1074" i="2"/>
  <c r="AL1075" i="2"/>
  <c r="AL1076" i="2"/>
  <c r="AL1077" i="2"/>
  <c r="AL1078" i="2"/>
  <c r="AL1079" i="2"/>
  <c r="AL1080" i="2"/>
  <c r="AL1081" i="2"/>
  <c r="AL1082" i="2"/>
  <c r="AL1083" i="2"/>
  <c r="AL1084" i="2"/>
  <c r="AL1085" i="2"/>
  <c r="AL1086" i="2"/>
  <c r="AL1087" i="2"/>
  <c r="AL1088" i="2"/>
  <c r="AL1089" i="2"/>
  <c r="AL1090" i="2"/>
  <c r="AL1091" i="2"/>
  <c r="AL1092" i="2"/>
  <c r="AL1093" i="2"/>
  <c r="AL1094" i="2"/>
  <c r="AL1095" i="2"/>
  <c r="AL1096" i="2"/>
  <c r="AL1097" i="2"/>
  <c r="AL1098" i="2"/>
  <c r="AL1099" i="2"/>
  <c r="AL1100" i="2"/>
  <c r="AL1101" i="2"/>
  <c r="AL1102" i="2"/>
  <c r="AL1103" i="2"/>
  <c r="AL1104" i="2"/>
  <c r="AL1105" i="2"/>
  <c r="AL1106" i="2"/>
  <c r="AL1107" i="2"/>
  <c r="AL1108" i="2"/>
  <c r="AL1109" i="2"/>
  <c r="AL1110" i="2"/>
  <c r="AL1111" i="2"/>
  <c r="AL1112" i="2"/>
  <c r="AL1113" i="2"/>
  <c r="AL1114" i="2"/>
  <c r="AL1115" i="2"/>
  <c r="AL1116" i="2"/>
  <c r="AL1117" i="2"/>
  <c r="AL1118" i="2"/>
  <c r="AL1119" i="2"/>
  <c r="AL1120" i="2"/>
  <c r="AL1121" i="2"/>
  <c r="AL1122" i="2"/>
  <c r="AL1123" i="2"/>
  <c r="AL1124" i="2"/>
  <c r="AL1125" i="2"/>
  <c r="AL1126" i="2"/>
  <c r="AL1127" i="2"/>
  <c r="AL1128" i="2"/>
  <c r="AL1129" i="2"/>
  <c r="AL1130" i="2"/>
  <c r="AL1131" i="2"/>
  <c r="AL1132" i="2"/>
  <c r="AL1133" i="2"/>
  <c r="AL1134" i="2"/>
  <c r="AL1135" i="2"/>
  <c r="AL1136" i="2"/>
  <c r="AL1137" i="2"/>
  <c r="AL1138" i="2"/>
  <c r="AL1139" i="2"/>
  <c r="AL1140" i="2"/>
  <c r="AL1141" i="2"/>
  <c r="AL1142" i="2"/>
  <c r="AL1143" i="2"/>
  <c r="AL1144" i="2"/>
  <c r="AL1145" i="2"/>
  <c r="AL1146" i="2"/>
  <c r="AL1147" i="2"/>
  <c r="AL1148" i="2"/>
  <c r="AL1149" i="2"/>
  <c r="AL1150" i="2"/>
  <c r="AL1151" i="2"/>
  <c r="AL1152" i="2"/>
  <c r="AL1153" i="2"/>
  <c r="AL1154" i="2"/>
  <c r="AL1155" i="2"/>
  <c r="AL1156" i="2"/>
  <c r="AL1157" i="2"/>
  <c r="AL1158" i="2"/>
  <c r="AL1159" i="2"/>
  <c r="AL1160" i="2"/>
  <c r="AL1161" i="2"/>
  <c r="AL1162" i="2"/>
  <c r="AL1163" i="2"/>
  <c r="AL1164" i="2"/>
  <c r="AL1165" i="2"/>
  <c r="AL1166" i="2"/>
  <c r="AL1167" i="2"/>
  <c r="AL1168" i="2"/>
  <c r="AL1169" i="2"/>
  <c r="AL1170" i="2"/>
  <c r="AL1171" i="2"/>
  <c r="AL1172" i="2"/>
  <c r="AL1173" i="2"/>
  <c r="AL1174" i="2"/>
  <c r="AL1175" i="2"/>
  <c r="AL1176" i="2"/>
  <c r="AL1177" i="2"/>
  <c r="AL1178" i="2"/>
  <c r="AL1179" i="2"/>
  <c r="AL1180" i="2"/>
  <c r="AL1181" i="2"/>
  <c r="AL1182" i="2"/>
  <c r="AL1183" i="2"/>
  <c r="AL1184" i="2"/>
  <c r="AL1185" i="2"/>
  <c r="AL1186" i="2"/>
  <c r="AL1187" i="2"/>
  <c r="AL1188" i="2"/>
  <c r="AL1189" i="2"/>
  <c r="AL1190" i="2"/>
  <c r="AL1191" i="2"/>
  <c r="AL1192" i="2"/>
  <c r="AL1193" i="2"/>
  <c r="AL1194" i="2"/>
  <c r="AL1195" i="2"/>
  <c r="AL1196" i="2"/>
  <c r="AL1197" i="2"/>
  <c r="AL1198" i="2"/>
  <c r="AL1199" i="2"/>
  <c r="AL1200" i="2"/>
  <c r="AL1201" i="2"/>
  <c r="AL1202" i="2"/>
  <c r="AL1203" i="2"/>
  <c r="AL1204" i="2"/>
  <c r="AL1205" i="2"/>
  <c r="AL1206" i="2"/>
  <c r="AL1207" i="2"/>
  <c r="AL1208" i="2"/>
  <c r="AL1209" i="2"/>
  <c r="AL1210" i="2"/>
  <c r="AL1211" i="2"/>
  <c r="AL1212" i="2"/>
  <c r="AL1213" i="2"/>
  <c r="AL1214" i="2"/>
  <c r="AL1215" i="2"/>
  <c r="AL1216" i="2"/>
  <c r="AL1217" i="2"/>
  <c r="AL1218" i="2"/>
  <c r="AL1219" i="2"/>
  <c r="AL1220" i="2"/>
  <c r="AL1221" i="2"/>
  <c r="AL1222" i="2"/>
  <c r="AL1223" i="2"/>
  <c r="AL1224" i="2"/>
  <c r="AL1225" i="2"/>
  <c r="AL1226" i="2"/>
  <c r="AL1227" i="2"/>
  <c r="AL1228" i="2"/>
  <c r="AL1229" i="2"/>
  <c r="AL1230" i="2"/>
  <c r="AL1231" i="2"/>
  <c r="AL1232" i="2"/>
  <c r="AL1233" i="2"/>
  <c r="AL1234" i="2"/>
  <c r="AL1235" i="2"/>
  <c r="AL1236" i="2"/>
  <c r="AL1237" i="2"/>
  <c r="AL1238" i="2"/>
  <c r="AL1239" i="2"/>
  <c r="AL1240" i="2"/>
  <c r="AL1241" i="2"/>
  <c r="AL1242" i="2"/>
  <c r="AL1243" i="2"/>
  <c r="AL1244" i="2"/>
  <c r="AL1245" i="2"/>
  <c r="AL1246" i="2"/>
  <c r="AL1247" i="2"/>
  <c r="AL1248" i="2"/>
  <c r="AL1249" i="2"/>
  <c r="AL1250" i="2"/>
  <c r="AL1251" i="2"/>
  <c r="AL1252" i="2"/>
  <c r="AL1253" i="2"/>
  <c r="AL1254" i="2"/>
  <c r="AL1255" i="2"/>
  <c r="AL1256" i="2"/>
  <c r="AL1257" i="2"/>
  <c r="AL1258" i="2"/>
  <c r="AL1259" i="2"/>
  <c r="AL1260" i="2"/>
  <c r="AL1261" i="2"/>
  <c r="AL1262" i="2"/>
  <c r="AL1263" i="2"/>
  <c r="AL1264" i="2"/>
  <c r="AL1265" i="2"/>
  <c r="AL1266" i="2"/>
  <c r="AL1267" i="2"/>
  <c r="AL1268" i="2"/>
  <c r="AL1269" i="2"/>
  <c r="AL1270" i="2"/>
  <c r="AL1271" i="2"/>
  <c r="AL1272" i="2"/>
  <c r="AL1273" i="2"/>
  <c r="AL1274" i="2"/>
  <c r="AL1275" i="2"/>
  <c r="AL1276" i="2"/>
  <c r="AL1277" i="2"/>
  <c r="AL1278" i="2"/>
  <c r="AL1279" i="2"/>
  <c r="AL1280" i="2"/>
  <c r="AL1281" i="2"/>
  <c r="AL1282" i="2"/>
  <c r="AL1283" i="2"/>
  <c r="AL1284" i="2"/>
  <c r="AL1285" i="2"/>
  <c r="AL1286" i="2"/>
  <c r="AL1287" i="2"/>
  <c r="AL1288" i="2"/>
  <c r="AL1289" i="2"/>
  <c r="AL1290" i="2"/>
  <c r="AL1291" i="2"/>
  <c r="AL1292" i="2"/>
  <c r="AL1293" i="2"/>
  <c r="AL1294" i="2"/>
  <c r="AL1295" i="2"/>
  <c r="AL1296" i="2"/>
  <c r="AL1297" i="2"/>
  <c r="AL1298" i="2"/>
  <c r="AL1299" i="2"/>
  <c r="AL1300" i="2"/>
  <c r="AL1301" i="2"/>
  <c r="AL1302" i="2"/>
  <c r="AL1303" i="2"/>
  <c r="AL1304" i="2"/>
  <c r="AL1305" i="2"/>
  <c r="AL1306" i="2"/>
  <c r="AL1307" i="2"/>
  <c r="AL1308" i="2"/>
  <c r="AL1309" i="2"/>
  <c r="AL1310" i="2"/>
  <c r="AL1311" i="2"/>
  <c r="AL1312" i="2"/>
  <c r="AL1313" i="2"/>
  <c r="AL1314" i="2"/>
  <c r="AL1315" i="2"/>
  <c r="AL1316" i="2"/>
  <c r="AL1317" i="2"/>
  <c r="AL1318" i="2"/>
  <c r="AL1319" i="2"/>
  <c r="AL1320" i="2"/>
  <c r="AL1321" i="2"/>
  <c r="AL1322" i="2"/>
  <c r="AL1323" i="2"/>
  <c r="AL1324" i="2"/>
  <c r="AL1325" i="2"/>
  <c r="AL1326" i="2"/>
  <c r="AL1327" i="2"/>
  <c r="AL1328" i="2"/>
  <c r="AL1329" i="2"/>
  <c r="AL1330" i="2"/>
  <c r="AL1331" i="2"/>
  <c r="AL1332" i="2"/>
  <c r="AL1333" i="2"/>
  <c r="AL1334" i="2"/>
  <c r="AL1335" i="2"/>
  <c r="AL1336" i="2"/>
  <c r="AL1337" i="2"/>
  <c r="AL1338" i="2"/>
  <c r="AL1339" i="2"/>
  <c r="AL1340" i="2"/>
  <c r="AL1341" i="2"/>
  <c r="AL1342" i="2"/>
  <c r="AL1343" i="2"/>
  <c r="AL1344" i="2"/>
  <c r="AL1345" i="2"/>
  <c r="AL1346" i="2"/>
  <c r="AL1347" i="2"/>
  <c r="AL1348" i="2"/>
  <c r="AL1349" i="2"/>
  <c r="AL1350" i="2"/>
  <c r="AL1351" i="2"/>
  <c r="AL1352" i="2"/>
  <c r="AL1353" i="2"/>
  <c r="AL1354" i="2"/>
  <c r="AL1355" i="2"/>
  <c r="AL1356" i="2"/>
  <c r="AL1357" i="2"/>
  <c r="AL1358" i="2"/>
  <c r="AL1359" i="2"/>
  <c r="AL1360" i="2"/>
  <c r="AL1361" i="2"/>
  <c r="AL1362" i="2"/>
  <c r="AL1363" i="2"/>
  <c r="AL1364" i="2"/>
  <c r="AL1365" i="2"/>
  <c r="AL1366" i="2"/>
  <c r="AL1367" i="2"/>
  <c r="AL1368" i="2"/>
  <c r="AL1369" i="2"/>
  <c r="AL1370" i="2"/>
  <c r="AL1371" i="2"/>
  <c r="AL1372" i="2"/>
  <c r="AL1373" i="2"/>
  <c r="AL1374" i="2"/>
  <c r="AL1375" i="2"/>
  <c r="AL1376" i="2"/>
  <c r="AL1377" i="2"/>
  <c r="AL1378" i="2"/>
  <c r="AL1379" i="2"/>
  <c r="AL1380" i="2"/>
  <c r="AL1381" i="2"/>
  <c r="AL1382" i="2"/>
  <c r="AL1383" i="2"/>
  <c r="AL1384" i="2"/>
  <c r="AL1385" i="2"/>
  <c r="AL1386" i="2"/>
  <c r="AL1387" i="2"/>
  <c r="AL1388" i="2"/>
  <c r="AL1389" i="2"/>
  <c r="AL1390" i="2"/>
  <c r="AL1391" i="2"/>
  <c r="AL1392" i="2"/>
  <c r="AL1393" i="2"/>
  <c r="AL1394" i="2"/>
  <c r="AL1395" i="2"/>
  <c r="AL1396" i="2"/>
  <c r="AL1397" i="2"/>
  <c r="AL1398" i="2"/>
  <c r="AL1399" i="2"/>
  <c r="AL1400" i="2"/>
  <c r="AL1401" i="2"/>
  <c r="AL1402" i="2"/>
  <c r="AL1403" i="2"/>
  <c r="AL1404" i="2"/>
  <c r="AL1405" i="2"/>
  <c r="AL1406" i="2"/>
  <c r="AL1407" i="2"/>
  <c r="AL1408" i="2"/>
  <c r="AL1409" i="2"/>
  <c r="AL1410" i="2"/>
  <c r="AL1411" i="2"/>
  <c r="AL1412" i="2"/>
  <c r="AL1413" i="2"/>
  <c r="AL1414" i="2"/>
  <c r="AL1415" i="2"/>
  <c r="AL1416" i="2"/>
  <c r="AL1417" i="2"/>
  <c r="AL1418" i="2"/>
  <c r="AL1419" i="2"/>
  <c r="AL1420" i="2"/>
  <c r="AL1421" i="2"/>
  <c r="AL1422" i="2"/>
  <c r="AL1423" i="2"/>
  <c r="AL1424" i="2"/>
  <c r="AL1425" i="2"/>
  <c r="AL1426" i="2"/>
  <c r="AL1427" i="2"/>
  <c r="AL1428" i="2"/>
  <c r="AL1429" i="2"/>
  <c r="AL1430" i="2"/>
  <c r="AL1431" i="2"/>
  <c r="AL1432" i="2"/>
  <c r="AL1433" i="2"/>
  <c r="AL1434" i="2"/>
  <c r="AL1435" i="2"/>
  <c r="AL1436" i="2"/>
  <c r="AL1437" i="2"/>
  <c r="AL1438" i="2"/>
  <c r="AL1439" i="2"/>
  <c r="AL1440" i="2"/>
  <c r="AL1441" i="2"/>
  <c r="AL1442" i="2"/>
  <c r="AL1443" i="2"/>
  <c r="AL1444" i="2"/>
  <c r="AL1445" i="2"/>
  <c r="AL1446" i="2"/>
  <c r="AL1447" i="2"/>
  <c r="AL1448" i="2"/>
  <c r="AL1449" i="2"/>
  <c r="AL1450" i="2"/>
  <c r="AL1451" i="2"/>
  <c r="AL1452" i="2"/>
  <c r="AL1453" i="2"/>
  <c r="AL1454" i="2"/>
  <c r="AL1455" i="2"/>
  <c r="AL1456" i="2"/>
  <c r="AL1457" i="2"/>
  <c r="AL1458" i="2"/>
  <c r="AL1459" i="2"/>
  <c r="AL1460" i="2"/>
  <c r="AL1461" i="2"/>
  <c r="AL1462" i="2"/>
  <c r="AL1463" i="2"/>
  <c r="AL1464" i="2"/>
  <c r="AL1465" i="2"/>
  <c r="AL1466" i="2"/>
  <c r="AL1467" i="2"/>
  <c r="AL1468" i="2"/>
  <c r="AL1469" i="2"/>
  <c r="AL1470" i="2"/>
  <c r="AL1471" i="2"/>
  <c r="AK2" i="2"/>
  <c r="AK3" i="2"/>
  <c r="AK4" i="2"/>
  <c r="AK5" i="2"/>
  <c r="AK6" i="2"/>
  <c r="AK7" i="2"/>
  <c r="AK8" i="2"/>
  <c r="AK9" i="2"/>
  <c r="AK10" i="2"/>
  <c r="AK11" i="2"/>
  <c r="AK12" i="2"/>
  <c r="AK13" i="2"/>
  <c r="AK14" i="2"/>
  <c r="AK15" i="2"/>
  <c r="AK16" i="2"/>
  <c r="AK17" i="2"/>
  <c r="AK18" i="2"/>
  <c r="AK19" i="2"/>
  <c r="AK20" i="2"/>
  <c r="AK21" i="2"/>
  <c r="AK22" i="2"/>
  <c r="AK23" i="2"/>
  <c r="AK24" i="2"/>
  <c r="AK25" i="2"/>
  <c r="AK26" i="2"/>
  <c r="AK27" i="2"/>
  <c r="AK28" i="2"/>
  <c r="AK29" i="2"/>
  <c r="AK30" i="2"/>
  <c r="AK31" i="2"/>
  <c r="AK32" i="2"/>
  <c r="AK33" i="2"/>
  <c r="AK34" i="2"/>
  <c r="AK35" i="2"/>
  <c r="AK36" i="2"/>
  <c r="AK37" i="2"/>
  <c r="AK38" i="2"/>
  <c r="AK39" i="2"/>
  <c r="AK40" i="2"/>
  <c r="AK41" i="2"/>
  <c r="AK42" i="2"/>
  <c r="AK43" i="2"/>
  <c r="AK44" i="2"/>
  <c r="AK45" i="2"/>
  <c r="AK46" i="2"/>
  <c r="AK47" i="2"/>
  <c r="AK48" i="2"/>
  <c r="AK49" i="2"/>
  <c r="AK50" i="2"/>
  <c r="AK51" i="2"/>
  <c r="AK52" i="2"/>
  <c r="AK53" i="2"/>
  <c r="AK54" i="2"/>
  <c r="AK55" i="2"/>
  <c r="AK56" i="2"/>
  <c r="AK57" i="2"/>
  <c r="AK58" i="2"/>
  <c r="AK59" i="2"/>
  <c r="AK60" i="2"/>
  <c r="AK61" i="2"/>
  <c r="AK62" i="2"/>
  <c r="AK63" i="2"/>
  <c r="AK64" i="2"/>
  <c r="AK65" i="2"/>
  <c r="AK66" i="2"/>
  <c r="AK67" i="2"/>
  <c r="AK68" i="2"/>
  <c r="AK69" i="2"/>
  <c r="AK70" i="2"/>
  <c r="AK71" i="2"/>
  <c r="AK72" i="2"/>
  <c r="AK73" i="2"/>
  <c r="AK74" i="2"/>
  <c r="AK75" i="2"/>
  <c r="AK76" i="2"/>
  <c r="AK77" i="2"/>
  <c r="AK78" i="2"/>
  <c r="AK79" i="2"/>
  <c r="AK80" i="2"/>
  <c r="AK81" i="2"/>
  <c r="AK82" i="2"/>
  <c r="AK83" i="2"/>
  <c r="AK84" i="2"/>
  <c r="AK85" i="2"/>
  <c r="AK86" i="2"/>
  <c r="AK87" i="2"/>
  <c r="AK88" i="2"/>
  <c r="AK89" i="2"/>
  <c r="AK90" i="2"/>
  <c r="AK91" i="2"/>
  <c r="AK92" i="2"/>
  <c r="AK93" i="2"/>
  <c r="AK94" i="2"/>
  <c r="AK95" i="2"/>
  <c r="AK96" i="2"/>
  <c r="AK97" i="2"/>
  <c r="AK98" i="2"/>
  <c r="AK99" i="2"/>
  <c r="AK100" i="2"/>
  <c r="AK101" i="2"/>
  <c r="AK102" i="2"/>
  <c r="AK103" i="2"/>
  <c r="AK104" i="2"/>
  <c r="AK105" i="2"/>
  <c r="AK106" i="2"/>
  <c r="AK107" i="2"/>
  <c r="AK108" i="2"/>
  <c r="AK109" i="2"/>
  <c r="AK110" i="2"/>
  <c r="AK111" i="2"/>
  <c r="AK112" i="2"/>
  <c r="AK113" i="2"/>
  <c r="AK114" i="2"/>
  <c r="AK115" i="2"/>
  <c r="AK116" i="2"/>
  <c r="AK117" i="2"/>
  <c r="AK118" i="2"/>
  <c r="AK119" i="2"/>
  <c r="AK120" i="2"/>
  <c r="AK121" i="2"/>
  <c r="AK122" i="2"/>
  <c r="AK123" i="2"/>
  <c r="AK124" i="2"/>
  <c r="AK125" i="2"/>
  <c r="AK126" i="2"/>
  <c r="AK127" i="2"/>
  <c r="AK128" i="2"/>
  <c r="AK129" i="2"/>
  <c r="AK130" i="2"/>
  <c r="AK131" i="2"/>
  <c r="AK132" i="2"/>
  <c r="AK133" i="2"/>
  <c r="AK134" i="2"/>
  <c r="AK135" i="2"/>
  <c r="AK136" i="2"/>
  <c r="AK137" i="2"/>
  <c r="AK138" i="2"/>
  <c r="AK139" i="2"/>
  <c r="AK140" i="2"/>
  <c r="AK141" i="2"/>
  <c r="AK142" i="2"/>
  <c r="AK143" i="2"/>
  <c r="AK144" i="2"/>
  <c r="AK145" i="2"/>
  <c r="AK146" i="2"/>
  <c r="AK147" i="2"/>
  <c r="AK148" i="2"/>
  <c r="AK149" i="2"/>
  <c r="AK150" i="2"/>
  <c r="AK151" i="2"/>
  <c r="AK152" i="2"/>
  <c r="AK153" i="2"/>
  <c r="AK154" i="2"/>
  <c r="AK155" i="2"/>
  <c r="AK156" i="2"/>
  <c r="AK157" i="2"/>
  <c r="AK158" i="2"/>
  <c r="AK159" i="2"/>
  <c r="AK160" i="2"/>
  <c r="AK161" i="2"/>
  <c r="AK162" i="2"/>
  <c r="AK163" i="2"/>
  <c r="AK164" i="2"/>
  <c r="AK165" i="2"/>
  <c r="AK166" i="2"/>
  <c r="AK167" i="2"/>
  <c r="AK168" i="2"/>
  <c r="AK169" i="2"/>
  <c r="AK170" i="2"/>
  <c r="AK171" i="2"/>
  <c r="AK172" i="2"/>
  <c r="AK173" i="2"/>
  <c r="AK174" i="2"/>
  <c r="AK175" i="2"/>
  <c r="AK176" i="2"/>
  <c r="AK177" i="2"/>
  <c r="AK178" i="2"/>
  <c r="AK179" i="2"/>
  <c r="AK180" i="2"/>
  <c r="AK181" i="2"/>
  <c r="AK182" i="2"/>
  <c r="AK183" i="2"/>
  <c r="AK184" i="2"/>
  <c r="AK185" i="2"/>
  <c r="AK186" i="2"/>
  <c r="AK187" i="2"/>
  <c r="AK188" i="2"/>
  <c r="AK189" i="2"/>
  <c r="AK190" i="2"/>
  <c r="AK191" i="2"/>
  <c r="AK192" i="2"/>
  <c r="AK193" i="2"/>
  <c r="AK194" i="2"/>
  <c r="AK195" i="2"/>
  <c r="AK196" i="2"/>
  <c r="AK197" i="2"/>
  <c r="AK198" i="2"/>
  <c r="AK199" i="2"/>
  <c r="AK200" i="2"/>
  <c r="AK201" i="2"/>
  <c r="AK202" i="2"/>
  <c r="AK203" i="2"/>
  <c r="AK204" i="2"/>
  <c r="AK205" i="2"/>
  <c r="AK206" i="2"/>
  <c r="AK207" i="2"/>
  <c r="AK208" i="2"/>
  <c r="AK209" i="2"/>
  <c r="AK210" i="2"/>
  <c r="AK211" i="2"/>
  <c r="AK212" i="2"/>
  <c r="AK213" i="2"/>
  <c r="AK214" i="2"/>
  <c r="AK215" i="2"/>
  <c r="AK216" i="2"/>
  <c r="AK217" i="2"/>
  <c r="AK218" i="2"/>
  <c r="AK219" i="2"/>
  <c r="AK220" i="2"/>
  <c r="AK221" i="2"/>
  <c r="AK222" i="2"/>
  <c r="AK223" i="2"/>
  <c r="AK224" i="2"/>
  <c r="AK225" i="2"/>
  <c r="AK226" i="2"/>
  <c r="AK227" i="2"/>
  <c r="AK228" i="2"/>
  <c r="AK229" i="2"/>
  <c r="AK230" i="2"/>
  <c r="AK231" i="2"/>
  <c r="AK232" i="2"/>
  <c r="AK233" i="2"/>
  <c r="AK234" i="2"/>
  <c r="AK235" i="2"/>
  <c r="AK236" i="2"/>
  <c r="AK237" i="2"/>
  <c r="AK238" i="2"/>
  <c r="AK239" i="2"/>
  <c r="AK240" i="2"/>
  <c r="AK241" i="2"/>
  <c r="AK242" i="2"/>
  <c r="AK243" i="2"/>
  <c r="AK244" i="2"/>
  <c r="AK245" i="2"/>
  <c r="AK246" i="2"/>
  <c r="AK247" i="2"/>
  <c r="AK248" i="2"/>
  <c r="AK249" i="2"/>
  <c r="AK250" i="2"/>
  <c r="AK251" i="2"/>
  <c r="AK252" i="2"/>
  <c r="AK253" i="2"/>
  <c r="AK254" i="2"/>
  <c r="AK255" i="2"/>
  <c r="AK256" i="2"/>
  <c r="AK257" i="2"/>
  <c r="AK258" i="2"/>
  <c r="AK259" i="2"/>
  <c r="AK260" i="2"/>
  <c r="AK261" i="2"/>
  <c r="AK262" i="2"/>
  <c r="AK263" i="2"/>
  <c r="AK264" i="2"/>
  <c r="AK265" i="2"/>
  <c r="AK266" i="2"/>
  <c r="AK267" i="2"/>
  <c r="AK268" i="2"/>
  <c r="AK269" i="2"/>
  <c r="AK270" i="2"/>
  <c r="AK271" i="2"/>
  <c r="AK272" i="2"/>
  <c r="AK273" i="2"/>
  <c r="AK274" i="2"/>
  <c r="AK275" i="2"/>
  <c r="AK276" i="2"/>
  <c r="AK277" i="2"/>
  <c r="AK278" i="2"/>
  <c r="AK279" i="2"/>
  <c r="AK280" i="2"/>
  <c r="AK281" i="2"/>
  <c r="AK282" i="2"/>
  <c r="AK283" i="2"/>
  <c r="AK284" i="2"/>
  <c r="AK285" i="2"/>
  <c r="AK286" i="2"/>
  <c r="AK287" i="2"/>
  <c r="AK288" i="2"/>
  <c r="AK289" i="2"/>
  <c r="AK290" i="2"/>
  <c r="AK291" i="2"/>
  <c r="AK292" i="2"/>
  <c r="AK293" i="2"/>
  <c r="AK294" i="2"/>
  <c r="AK295" i="2"/>
  <c r="AK296" i="2"/>
  <c r="AK297" i="2"/>
  <c r="AK298" i="2"/>
  <c r="AK299" i="2"/>
  <c r="AK300" i="2"/>
  <c r="AK301" i="2"/>
  <c r="AK302" i="2"/>
  <c r="AK303" i="2"/>
  <c r="AK304" i="2"/>
  <c r="AK305" i="2"/>
  <c r="AK306" i="2"/>
  <c r="AK307" i="2"/>
  <c r="AK308" i="2"/>
  <c r="AK309" i="2"/>
  <c r="AK310" i="2"/>
  <c r="AK311" i="2"/>
  <c r="AK312" i="2"/>
  <c r="AK313" i="2"/>
  <c r="AK314" i="2"/>
  <c r="AK315" i="2"/>
  <c r="AK316" i="2"/>
  <c r="AK317" i="2"/>
  <c r="AK318" i="2"/>
  <c r="AK319" i="2"/>
  <c r="AK320" i="2"/>
  <c r="AK321" i="2"/>
  <c r="AK322" i="2"/>
  <c r="AK323" i="2"/>
  <c r="AK324" i="2"/>
  <c r="AK325" i="2"/>
  <c r="AK326" i="2"/>
  <c r="AK327" i="2"/>
  <c r="AK328" i="2"/>
  <c r="AK329" i="2"/>
  <c r="AK330" i="2"/>
  <c r="AK331" i="2"/>
  <c r="AK332" i="2"/>
  <c r="AK333" i="2"/>
  <c r="AK334" i="2"/>
  <c r="AK335" i="2"/>
  <c r="AK336" i="2"/>
  <c r="AK337" i="2"/>
  <c r="AK338" i="2"/>
  <c r="AK339" i="2"/>
  <c r="AK340" i="2"/>
  <c r="AK341" i="2"/>
  <c r="AK342" i="2"/>
  <c r="AK343" i="2"/>
  <c r="AK344" i="2"/>
  <c r="AK345" i="2"/>
  <c r="AK346" i="2"/>
  <c r="AK347" i="2"/>
  <c r="AK348" i="2"/>
  <c r="AK349" i="2"/>
  <c r="AK350" i="2"/>
  <c r="AK351" i="2"/>
  <c r="AK352" i="2"/>
  <c r="AK353" i="2"/>
  <c r="AK354" i="2"/>
  <c r="AK355" i="2"/>
  <c r="AK356" i="2"/>
  <c r="AK357" i="2"/>
  <c r="AK358" i="2"/>
  <c r="AK359" i="2"/>
  <c r="AK360" i="2"/>
  <c r="AK361" i="2"/>
  <c r="AK362" i="2"/>
  <c r="AK363" i="2"/>
  <c r="AK364" i="2"/>
  <c r="AK365" i="2"/>
  <c r="AK366" i="2"/>
  <c r="AK367" i="2"/>
  <c r="AK368" i="2"/>
  <c r="AK369" i="2"/>
  <c r="AK370" i="2"/>
  <c r="AK371" i="2"/>
  <c r="AK372" i="2"/>
  <c r="AK373" i="2"/>
  <c r="AK374" i="2"/>
  <c r="AK375" i="2"/>
  <c r="AK376" i="2"/>
  <c r="AK377" i="2"/>
  <c r="AK378" i="2"/>
  <c r="AK379" i="2"/>
  <c r="AK380" i="2"/>
  <c r="AK381" i="2"/>
  <c r="AK382" i="2"/>
  <c r="AK383" i="2"/>
  <c r="AK384" i="2"/>
  <c r="AK385" i="2"/>
  <c r="AK386" i="2"/>
  <c r="AK387" i="2"/>
  <c r="AK388" i="2"/>
  <c r="AK389" i="2"/>
  <c r="AK390" i="2"/>
  <c r="AK391" i="2"/>
  <c r="AK392" i="2"/>
  <c r="AK393" i="2"/>
  <c r="AK394" i="2"/>
  <c r="AK395" i="2"/>
  <c r="AK396" i="2"/>
  <c r="AK397" i="2"/>
  <c r="AK398" i="2"/>
  <c r="AK399" i="2"/>
  <c r="AK400" i="2"/>
  <c r="AK401" i="2"/>
  <c r="AK402" i="2"/>
  <c r="AK403" i="2"/>
  <c r="AK404" i="2"/>
  <c r="AK405" i="2"/>
  <c r="AK406" i="2"/>
  <c r="AK407" i="2"/>
  <c r="AK408" i="2"/>
  <c r="AK409" i="2"/>
  <c r="AK410" i="2"/>
  <c r="AK411" i="2"/>
  <c r="AK412" i="2"/>
  <c r="AK413" i="2"/>
  <c r="AK414" i="2"/>
  <c r="AK415" i="2"/>
  <c r="AK416" i="2"/>
  <c r="AK417" i="2"/>
  <c r="AK418" i="2"/>
  <c r="AK419" i="2"/>
  <c r="AK420" i="2"/>
  <c r="AK421" i="2"/>
  <c r="AK422" i="2"/>
  <c r="AK423" i="2"/>
  <c r="AK424" i="2"/>
  <c r="AK425" i="2"/>
  <c r="AK426" i="2"/>
  <c r="AK427" i="2"/>
  <c r="AK428" i="2"/>
  <c r="AK429" i="2"/>
  <c r="AK430" i="2"/>
  <c r="AK431" i="2"/>
  <c r="AK432" i="2"/>
  <c r="AK433" i="2"/>
  <c r="AK434" i="2"/>
  <c r="AK435" i="2"/>
  <c r="AK436" i="2"/>
  <c r="AK437" i="2"/>
  <c r="AK438" i="2"/>
  <c r="AK439" i="2"/>
  <c r="AK440" i="2"/>
  <c r="AK441" i="2"/>
  <c r="AK442" i="2"/>
  <c r="AK443" i="2"/>
  <c r="AK444" i="2"/>
  <c r="AK445" i="2"/>
  <c r="AK446" i="2"/>
  <c r="AK447" i="2"/>
  <c r="AK448" i="2"/>
  <c r="AK449" i="2"/>
  <c r="AK450" i="2"/>
  <c r="AK451" i="2"/>
  <c r="AK452" i="2"/>
  <c r="AK453" i="2"/>
  <c r="AK454" i="2"/>
  <c r="AK455" i="2"/>
  <c r="AK456" i="2"/>
  <c r="AK457" i="2"/>
  <c r="AK458" i="2"/>
  <c r="AK459" i="2"/>
  <c r="AK460" i="2"/>
  <c r="AK461" i="2"/>
  <c r="AK462" i="2"/>
  <c r="AK463" i="2"/>
  <c r="AK464" i="2"/>
  <c r="AK465" i="2"/>
  <c r="AK466" i="2"/>
  <c r="AK467" i="2"/>
  <c r="AK468" i="2"/>
  <c r="AK469" i="2"/>
  <c r="AK470" i="2"/>
  <c r="AK471" i="2"/>
  <c r="AK472" i="2"/>
  <c r="AK473" i="2"/>
  <c r="AK474" i="2"/>
  <c r="AK475" i="2"/>
  <c r="AK476" i="2"/>
  <c r="AK477" i="2"/>
  <c r="AK478" i="2"/>
  <c r="AK479" i="2"/>
  <c r="AK480" i="2"/>
  <c r="AK481" i="2"/>
  <c r="AK482" i="2"/>
  <c r="AK483" i="2"/>
  <c r="AK484" i="2"/>
  <c r="AK485" i="2"/>
  <c r="AK486" i="2"/>
  <c r="AK487" i="2"/>
  <c r="AK488" i="2"/>
  <c r="AK489" i="2"/>
  <c r="AK490" i="2"/>
  <c r="AK491" i="2"/>
  <c r="AK492" i="2"/>
  <c r="AK493" i="2"/>
  <c r="AK494" i="2"/>
  <c r="AK495" i="2"/>
  <c r="AK496" i="2"/>
  <c r="AK497" i="2"/>
  <c r="AK498" i="2"/>
  <c r="AK499" i="2"/>
  <c r="AK500" i="2"/>
  <c r="AK501" i="2"/>
  <c r="AK502" i="2"/>
  <c r="AK503" i="2"/>
  <c r="AK504" i="2"/>
  <c r="AK505" i="2"/>
  <c r="AK506" i="2"/>
  <c r="AK507" i="2"/>
  <c r="AK508" i="2"/>
  <c r="AK509" i="2"/>
  <c r="AK510" i="2"/>
  <c r="AK511" i="2"/>
  <c r="AK512" i="2"/>
  <c r="AK513" i="2"/>
  <c r="AK514" i="2"/>
  <c r="AK515" i="2"/>
  <c r="AK516" i="2"/>
  <c r="AK517" i="2"/>
  <c r="AK518" i="2"/>
  <c r="AK519" i="2"/>
  <c r="AK520" i="2"/>
  <c r="AK521" i="2"/>
  <c r="AK522" i="2"/>
  <c r="AK523" i="2"/>
  <c r="AK524" i="2"/>
  <c r="AK525" i="2"/>
  <c r="AK526" i="2"/>
  <c r="AK527" i="2"/>
  <c r="AK528" i="2"/>
  <c r="AK529" i="2"/>
  <c r="AK530" i="2"/>
  <c r="AK531" i="2"/>
  <c r="AK532" i="2"/>
  <c r="AK533" i="2"/>
  <c r="AK534" i="2"/>
  <c r="AK535" i="2"/>
  <c r="AK536" i="2"/>
  <c r="AK537" i="2"/>
  <c r="AK538" i="2"/>
  <c r="AK539" i="2"/>
  <c r="AK540" i="2"/>
  <c r="AK541" i="2"/>
  <c r="AK542" i="2"/>
  <c r="AK543" i="2"/>
  <c r="AK544" i="2"/>
  <c r="AK545" i="2"/>
  <c r="AK546" i="2"/>
  <c r="AK547" i="2"/>
  <c r="AK548" i="2"/>
  <c r="AK549" i="2"/>
  <c r="AK550" i="2"/>
  <c r="AK551" i="2"/>
  <c r="AK552" i="2"/>
  <c r="AK553" i="2"/>
  <c r="AK554" i="2"/>
  <c r="AK555" i="2"/>
  <c r="AK556" i="2"/>
  <c r="AK557" i="2"/>
  <c r="AK558" i="2"/>
  <c r="AK559" i="2"/>
  <c r="AK560" i="2"/>
  <c r="AK561" i="2"/>
  <c r="AK562" i="2"/>
  <c r="AK563" i="2"/>
  <c r="AK564" i="2"/>
  <c r="AK565" i="2"/>
  <c r="AK566" i="2"/>
  <c r="AK567" i="2"/>
  <c r="AK568" i="2"/>
  <c r="AK569" i="2"/>
  <c r="AK570" i="2"/>
  <c r="AK571" i="2"/>
  <c r="AK572" i="2"/>
  <c r="AK573" i="2"/>
  <c r="AK574" i="2"/>
  <c r="AK575" i="2"/>
  <c r="AK576" i="2"/>
  <c r="AK577" i="2"/>
  <c r="AK578" i="2"/>
  <c r="AK579" i="2"/>
  <c r="AK580" i="2"/>
  <c r="AK581" i="2"/>
  <c r="AK582" i="2"/>
  <c r="AK583" i="2"/>
  <c r="AK584" i="2"/>
  <c r="AK585" i="2"/>
  <c r="AK586" i="2"/>
  <c r="AK587" i="2"/>
  <c r="AK588" i="2"/>
  <c r="AK589" i="2"/>
  <c r="AK590" i="2"/>
  <c r="AK591" i="2"/>
  <c r="AK592" i="2"/>
  <c r="AK593" i="2"/>
  <c r="AK594" i="2"/>
  <c r="AK595" i="2"/>
  <c r="AK596" i="2"/>
  <c r="AK597" i="2"/>
  <c r="AK598" i="2"/>
  <c r="AK599" i="2"/>
  <c r="AK600" i="2"/>
  <c r="AK601" i="2"/>
  <c r="AK602" i="2"/>
  <c r="AK603" i="2"/>
  <c r="AK604" i="2"/>
  <c r="AK605" i="2"/>
  <c r="AK606" i="2"/>
  <c r="AK607" i="2"/>
  <c r="AK608" i="2"/>
  <c r="AK609" i="2"/>
  <c r="AK610" i="2"/>
  <c r="AK611" i="2"/>
  <c r="AK612" i="2"/>
  <c r="AK613" i="2"/>
  <c r="AK614" i="2"/>
  <c r="AK615" i="2"/>
  <c r="AK616" i="2"/>
  <c r="AK617" i="2"/>
  <c r="AK618" i="2"/>
  <c r="AK619" i="2"/>
  <c r="AK620" i="2"/>
  <c r="AK621" i="2"/>
  <c r="AK622" i="2"/>
  <c r="AK623" i="2"/>
  <c r="AK624" i="2"/>
  <c r="AK625" i="2"/>
  <c r="AK626" i="2"/>
  <c r="AK627" i="2"/>
  <c r="AK628" i="2"/>
  <c r="AK629" i="2"/>
  <c r="AK630" i="2"/>
  <c r="AK631" i="2"/>
  <c r="AK632" i="2"/>
  <c r="AK633" i="2"/>
  <c r="AK634" i="2"/>
  <c r="AK635" i="2"/>
  <c r="AK636" i="2"/>
  <c r="AK637" i="2"/>
  <c r="AK638" i="2"/>
  <c r="AK639" i="2"/>
  <c r="AK640" i="2"/>
  <c r="AK641" i="2"/>
  <c r="AK642" i="2"/>
  <c r="AK643" i="2"/>
  <c r="AK644" i="2"/>
  <c r="AK645" i="2"/>
  <c r="AK646" i="2"/>
  <c r="AK647" i="2"/>
  <c r="AK648" i="2"/>
  <c r="AK649" i="2"/>
  <c r="AK650" i="2"/>
  <c r="AK651" i="2"/>
  <c r="AK652" i="2"/>
  <c r="AK653" i="2"/>
  <c r="AK654" i="2"/>
  <c r="AK655" i="2"/>
  <c r="AK656" i="2"/>
  <c r="AK657" i="2"/>
  <c r="AK658" i="2"/>
  <c r="AK659" i="2"/>
  <c r="AK660" i="2"/>
  <c r="AK661" i="2"/>
  <c r="AK662" i="2"/>
  <c r="AK663" i="2"/>
  <c r="AK664" i="2"/>
  <c r="AK665" i="2"/>
  <c r="AK666" i="2"/>
  <c r="AK667" i="2"/>
  <c r="AK668" i="2"/>
  <c r="AK669" i="2"/>
  <c r="AK670" i="2"/>
  <c r="AK671" i="2"/>
  <c r="AK672" i="2"/>
  <c r="AK673" i="2"/>
  <c r="AK674" i="2"/>
  <c r="AK675" i="2"/>
  <c r="AK676" i="2"/>
  <c r="AK677" i="2"/>
  <c r="AK678" i="2"/>
  <c r="AK679" i="2"/>
  <c r="AK680" i="2"/>
  <c r="AK681" i="2"/>
  <c r="AK682" i="2"/>
  <c r="AK683" i="2"/>
  <c r="AK684" i="2"/>
  <c r="AK685" i="2"/>
  <c r="AK686" i="2"/>
  <c r="AK687" i="2"/>
  <c r="AK688" i="2"/>
  <c r="AK689" i="2"/>
  <c r="AK690" i="2"/>
  <c r="AK691" i="2"/>
  <c r="AK692" i="2"/>
  <c r="AK693" i="2"/>
  <c r="AK694" i="2"/>
  <c r="AK695" i="2"/>
  <c r="AK696" i="2"/>
  <c r="AK697" i="2"/>
  <c r="AK698" i="2"/>
  <c r="AK699" i="2"/>
  <c r="AK700" i="2"/>
  <c r="AK701" i="2"/>
  <c r="AK702" i="2"/>
  <c r="AK703" i="2"/>
  <c r="AK704" i="2"/>
  <c r="AK705" i="2"/>
  <c r="AK706" i="2"/>
  <c r="AK707" i="2"/>
  <c r="AK708" i="2"/>
  <c r="AK709" i="2"/>
  <c r="AK710" i="2"/>
  <c r="AK711" i="2"/>
  <c r="AK712" i="2"/>
  <c r="AK713" i="2"/>
  <c r="AK714" i="2"/>
  <c r="AK715" i="2"/>
  <c r="AK716" i="2"/>
  <c r="AK717" i="2"/>
  <c r="AK718" i="2"/>
  <c r="AK719" i="2"/>
  <c r="AK720" i="2"/>
  <c r="AK721" i="2"/>
  <c r="AK722" i="2"/>
  <c r="AK723" i="2"/>
  <c r="AK724" i="2"/>
  <c r="AK725" i="2"/>
  <c r="AK726" i="2"/>
  <c r="AK727" i="2"/>
  <c r="AK728" i="2"/>
  <c r="AK729" i="2"/>
  <c r="AK730" i="2"/>
  <c r="AK731" i="2"/>
  <c r="AK732" i="2"/>
  <c r="AK733" i="2"/>
  <c r="AK734" i="2"/>
  <c r="AK735" i="2"/>
  <c r="AK736" i="2"/>
  <c r="AK737" i="2"/>
  <c r="AK738" i="2"/>
  <c r="AK739" i="2"/>
  <c r="AK740" i="2"/>
  <c r="AK741" i="2"/>
  <c r="AK742" i="2"/>
  <c r="AK743" i="2"/>
  <c r="AK744" i="2"/>
  <c r="AK745" i="2"/>
  <c r="AK746" i="2"/>
  <c r="AK747" i="2"/>
  <c r="AK748" i="2"/>
  <c r="AK749" i="2"/>
  <c r="AK750" i="2"/>
  <c r="AK751" i="2"/>
  <c r="AK752" i="2"/>
  <c r="AK753" i="2"/>
  <c r="AK754" i="2"/>
  <c r="AK755" i="2"/>
  <c r="AK756" i="2"/>
  <c r="AK757" i="2"/>
  <c r="AK758" i="2"/>
  <c r="AK759" i="2"/>
  <c r="AK760" i="2"/>
  <c r="AK761" i="2"/>
  <c r="AK762" i="2"/>
  <c r="AK763" i="2"/>
  <c r="AK764" i="2"/>
  <c r="AK765" i="2"/>
  <c r="AK766" i="2"/>
  <c r="AK767" i="2"/>
  <c r="AK768" i="2"/>
  <c r="AK769" i="2"/>
  <c r="AK770" i="2"/>
  <c r="AK771" i="2"/>
  <c r="AK772" i="2"/>
  <c r="AK773" i="2"/>
  <c r="AK774" i="2"/>
  <c r="AK775" i="2"/>
  <c r="AK776" i="2"/>
  <c r="AK777" i="2"/>
  <c r="AK778" i="2"/>
  <c r="AK779" i="2"/>
  <c r="AK780" i="2"/>
  <c r="AK781" i="2"/>
  <c r="AK782" i="2"/>
  <c r="AK783" i="2"/>
  <c r="AK784" i="2"/>
  <c r="AK785" i="2"/>
  <c r="AK786" i="2"/>
  <c r="AK787" i="2"/>
  <c r="AK788" i="2"/>
  <c r="AK789" i="2"/>
  <c r="AK790" i="2"/>
  <c r="AK791" i="2"/>
  <c r="AK792" i="2"/>
  <c r="AK793" i="2"/>
  <c r="AK794" i="2"/>
  <c r="AK795" i="2"/>
  <c r="AK796" i="2"/>
  <c r="AK797" i="2"/>
  <c r="AK798" i="2"/>
  <c r="AK799" i="2"/>
  <c r="AK800" i="2"/>
  <c r="AK801" i="2"/>
  <c r="AK802" i="2"/>
  <c r="AK803" i="2"/>
  <c r="AK804" i="2"/>
  <c r="AK805" i="2"/>
  <c r="AK806" i="2"/>
  <c r="AK807" i="2"/>
  <c r="AK808" i="2"/>
  <c r="AK809" i="2"/>
  <c r="AK810" i="2"/>
  <c r="AK811" i="2"/>
  <c r="AK812" i="2"/>
  <c r="AK813" i="2"/>
  <c r="AK814" i="2"/>
  <c r="AK815" i="2"/>
  <c r="AK816" i="2"/>
  <c r="AK817" i="2"/>
  <c r="AK818" i="2"/>
  <c r="AK819" i="2"/>
  <c r="AK820" i="2"/>
  <c r="AK821" i="2"/>
  <c r="AK822" i="2"/>
  <c r="AK823" i="2"/>
  <c r="AK824" i="2"/>
  <c r="AK825" i="2"/>
  <c r="AK826" i="2"/>
  <c r="AK827" i="2"/>
  <c r="AK828" i="2"/>
  <c r="AK829" i="2"/>
  <c r="AK830" i="2"/>
  <c r="AK831" i="2"/>
  <c r="AK832" i="2"/>
  <c r="AK833" i="2"/>
  <c r="AK834" i="2"/>
  <c r="AK835" i="2"/>
  <c r="AK836" i="2"/>
  <c r="AK837" i="2"/>
  <c r="AK838" i="2"/>
  <c r="AK839" i="2"/>
  <c r="AK840" i="2"/>
  <c r="AK841" i="2"/>
  <c r="AK842" i="2"/>
  <c r="AK843" i="2"/>
  <c r="AK844" i="2"/>
  <c r="AK845" i="2"/>
  <c r="AK846" i="2"/>
  <c r="AK847" i="2"/>
  <c r="AK848" i="2"/>
  <c r="AK849" i="2"/>
  <c r="AK850" i="2"/>
  <c r="AK851" i="2"/>
  <c r="AK852" i="2"/>
  <c r="AK853" i="2"/>
  <c r="AK854" i="2"/>
  <c r="AK855" i="2"/>
  <c r="AK856" i="2"/>
  <c r="AK857" i="2"/>
  <c r="AK858" i="2"/>
  <c r="AK859" i="2"/>
  <c r="AK860" i="2"/>
  <c r="AK861" i="2"/>
  <c r="AK862" i="2"/>
  <c r="AK863" i="2"/>
  <c r="AK864" i="2"/>
  <c r="AK865" i="2"/>
  <c r="AK866" i="2"/>
  <c r="AK867" i="2"/>
  <c r="AK868" i="2"/>
  <c r="AK869" i="2"/>
  <c r="AK870" i="2"/>
  <c r="AK871" i="2"/>
  <c r="AK872" i="2"/>
  <c r="AK873" i="2"/>
  <c r="AK874" i="2"/>
  <c r="AK875" i="2"/>
  <c r="AK876" i="2"/>
  <c r="AK877" i="2"/>
  <c r="AK878" i="2"/>
  <c r="AK879" i="2"/>
  <c r="AK880" i="2"/>
  <c r="AK881" i="2"/>
  <c r="AK882" i="2"/>
  <c r="AK883" i="2"/>
  <c r="AK884" i="2"/>
  <c r="AK885" i="2"/>
  <c r="AK886" i="2"/>
  <c r="AK887" i="2"/>
  <c r="AK888" i="2"/>
  <c r="AK889" i="2"/>
  <c r="AK890" i="2"/>
  <c r="AK891" i="2"/>
  <c r="AK892" i="2"/>
  <c r="AK893" i="2"/>
  <c r="AK894" i="2"/>
  <c r="AK895" i="2"/>
  <c r="AK896" i="2"/>
  <c r="AK897" i="2"/>
  <c r="AK898" i="2"/>
  <c r="AK899" i="2"/>
  <c r="AK900" i="2"/>
  <c r="AK901" i="2"/>
  <c r="AK902" i="2"/>
  <c r="AK903" i="2"/>
  <c r="AK904" i="2"/>
  <c r="AK905" i="2"/>
  <c r="AK906" i="2"/>
  <c r="AK907" i="2"/>
  <c r="AK908" i="2"/>
  <c r="AK909" i="2"/>
  <c r="AK910" i="2"/>
  <c r="AK911" i="2"/>
  <c r="AK912" i="2"/>
  <c r="AK913" i="2"/>
  <c r="AK914" i="2"/>
  <c r="AK915" i="2"/>
  <c r="AK916" i="2"/>
  <c r="AK917" i="2"/>
  <c r="AK918" i="2"/>
  <c r="AK919" i="2"/>
  <c r="AK920" i="2"/>
  <c r="AK921" i="2"/>
  <c r="AK922" i="2"/>
  <c r="AK923" i="2"/>
  <c r="AK924" i="2"/>
  <c r="AK925" i="2"/>
  <c r="AK926" i="2"/>
  <c r="AK927" i="2"/>
  <c r="AK928" i="2"/>
  <c r="AK929" i="2"/>
  <c r="AK930" i="2"/>
  <c r="AK931" i="2"/>
  <c r="AK932" i="2"/>
  <c r="AK933" i="2"/>
  <c r="AK934" i="2"/>
  <c r="AK935" i="2"/>
  <c r="AK936" i="2"/>
  <c r="AK937" i="2"/>
  <c r="AK938" i="2"/>
  <c r="AK939" i="2"/>
  <c r="AK940" i="2"/>
  <c r="AK941" i="2"/>
  <c r="AK942" i="2"/>
  <c r="AK943" i="2"/>
  <c r="AK944" i="2"/>
  <c r="AK945" i="2"/>
  <c r="AK946" i="2"/>
  <c r="AK947" i="2"/>
  <c r="AK948" i="2"/>
  <c r="AK949" i="2"/>
  <c r="AK950" i="2"/>
  <c r="AK951" i="2"/>
  <c r="AK952" i="2"/>
  <c r="AK953" i="2"/>
  <c r="AK954" i="2"/>
  <c r="AK955" i="2"/>
  <c r="AK956" i="2"/>
  <c r="AK957" i="2"/>
  <c r="AK958" i="2"/>
  <c r="AK959" i="2"/>
  <c r="AK960" i="2"/>
  <c r="AK961" i="2"/>
  <c r="AK962" i="2"/>
  <c r="AK963" i="2"/>
  <c r="AK964" i="2"/>
  <c r="AK965" i="2"/>
  <c r="AK966" i="2"/>
  <c r="AK967" i="2"/>
  <c r="AK968" i="2"/>
  <c r="AK969" i="2"/>
  <c r="AK970" i="2"/>
  <c r="AK971" i="2"/>
  <c r="AK972" i="2"/>
  <c r="AK973" i="2"/>
  <c r="AK974" i="2"/>
  <c r="AK975" i="2"/>
  <c r="AK976" i="2"/>
  <c r="AK977" i="2"/>
  <c r="AK978" i="2"/>
  <c r="AK979" i="2"/>
  <c r="AK980" i="2"/>
  <c r="AK981" i="2"/>
  <c r="AK982" i="2"/>
  <c r="AK983" i="2"/>
  <c r="AK984" i="2"/>
  <c r="AK985" i="2"/>
  <c r="AK986" i="2"/>
  <c r="AK987" i="2"/>
  <c r="AK988" i="2"/>
  <c r="AK989" i="2"/>
  <c r="AK990" i="2"/>
  <c r="AK991" i="2"/>
  <c r="AK992" i="2"/>
  <c r="AK993" i="2"/>
  <c r="AK994" i="2"/>
  <c r="AK995" i="2"/>
  <c r="AK996" i="2"/>
  <c r="AK997" i="2"/>
  <c r="AK998" i="2"/>
  <c r="AK999" i="2"/>
  <c r="AK1000" i="2"/>
  <c r="AK1001" i="2"/>
  <c r="AK1002" i="2"/>
  <c r="AK1003" i="2"/>
  <c r="AK1004" i="2"/>
  <c r="AK1005" i="2"/>
  <c r="AK1006" i="2"/>
  <c r="AK1007" i="2"/>
  <c r="AK1008" i="2"/>
  <c r="AK1009" i="2"/>
  <c r="AK1010" i="2"/>
  <c r="AK1011" i="2"/>
  <c r="AK1012" i="2"/>
  <c r="AK1013" i="2"/>
  <c r="AK1014" i="2"/>
  <c r="AK1015" i="2"/>
  <c r="AK1016" i="2"/>
  <c r="AK1017" i="2"/>
  <c r="AK1018" i="2"/>
  <c r="AK1019" i="2"/>
  <c r="AK1020" i="2"/>
  <c r="AK1021" i="2"/>
  <c r="AK1022" i="2"/>
  <c r="AK1023" i="2"/>
  <c r="AK1024" i="2"/>
  <c r="AK1025" i="2"/>
  <c r="AK1026" i="2"/>
  <c r="AK1027" i="2"/>
  <c r="AK1028" i="2"/>
  <c r="AK1029" i="2"/>
  <c r="AK1030" i="2"/>
  <c r="AK1031" i="2"/>
  <c r="AK1032" i="2"/>
  <c r="AK1033" i="2"/>
  <c r="AK1034" i="2"/>
  <c r="AK1035" i="2"/>
  <c r="AK1036" i="2"/>
  <c r="AK1037" i="2"/>
  <c r="AK1038" i="2"/>
  <c r="AK1039" i="2"/>
  <c r="AK1040" i="2"/>
  <c r="AK1041" i="2"/>
  <c r="AK1042" i="2"/>
  <c r="AK1043" i="2"/>
  <c r="AK1044" i="2"/>
  <c r="AK1045" i="2"/>
  <c r="AK1046" i="2"/>
  <c r="AK1047" i="2"/>
  <c r="AK1048" i="2"/>
  <c r="AK1049" i="2"/>
  <c r="AK1050" i="2"/>
  <c r="AK1051" i="2"/>
  <c r="AK1052" i="2"/>
  <c r="AK1053" i="2"/>
  <c r="AK1054" i="2"/>
  <c r="AK1055" i="2"/>
  <c r="AK1056" i="2"/>
  <c r="AK1057" i="2"/>
  <c r="AK1058" i="2"/>
  <c r="AK1059" i="2"/>
  <c r="AK1060" i="2"/>
  <c r="AK1061" i="2"/>
  <c r="AK1062" i="2"/>
  <c r="AK1063" i="2"/>
  <c r="AK1064" i="2"/>
  <c r="AK1065" i="2"/>
  <c r="AK1066" i="2"/>
  <c r="AK1067" i="2"/>
  <c r="AK1068" i="2"/>
  <c r="AK1069" i="2"/>
  <c r="AK1070" i="2"/>
  <c r="AK1071" i="2"/>
  <c r="AK1072" i="2"/>
  <c r="AK1073" i="2"/>
  <c r="AK1074" i="2"/>
  <c r="AK1075" i="2"/>
  <c r="AK1076" i="2"/>
  <c r="AK1077" i="2"/>
  <c r="AK1078" i="2"/>
  <c r="AK1079" i="2"/>
  <c r="AK1080" i="2"/>
  <c r="AK1081" i="2"/>
  <c r="AK1082" i="2"/>
  <c r="AK1083" i="2"/>
  <c r="AK1084" i="2"/>
  <c r="AK1085" i="2"/>
  <c r="AK1086" i="2"/>
  <c r="AK1087" i="2"/>
  <c r="AK1088" i="2"/>
  <c r="AK1089" i="2"/>
  <c r="AK1090" i="2"/>
  <c r="AK1091" i="2"/>
  <c r="AK1092" i="2"/>
  <c r="AK1093" i="2"/>
  <c r="AK1094" i="2"/>
  <c r="AK1095" i="2"/>
  <c r="AK1096" i="2"/>
  <c r="AK1097" i="2"/>
  <c r="AK1098" i="2"/>
  <c r="AK1099" i="2"/>
  <c r="AK1100" i="2"/>
  <c r="AK1101" i="2"/>
  <c r="AK1102" i="2"/>
  <c r="AK1103" i="2"/>
  <c r="AK1104" i="2"/>
  <c r="AK1105" i="2"/>
  <c r="AK1106" i="2"/>
  <c r="AK1107" i="2"/>
  <c r="AK1108" i="2"/>
  <c r="AK1109" i="2"/>
  <c r="AK1110" i="2"/>
  <c r="AK1111" i="2"/>
  <c r="AK1112" i="2"/>
  <c r="AK1113" i="2"/>
  <c r="AK1114" i="2"/>
  <c r="AK1115" i="2"/>
  <c r="AK1116" i="2"/>
  <c r="AK1117" i="2"/>
  <c r="AK1118" i="2"/>
  <c r="AK1119" i="2"/>
  <c r="AK1120" i="2"/>
  <c r="AK1121" i="2"/>
  <c r="AK1122" i="2"/>
  <c r="AK1123" i="2"/>
  <c r="AK1124" i="2"/>
  <c r="AK1125" i="2"/>
  <c r="AK1126" i="2"/>
  <c r="AK1127" i="2"/>
  <c r="AK1128" i="2"/>
  <c r="AK1129" i="2"/>
  <c r="AK1130" i="2"/>
  <c r="AK1131" i="2"/>
  <c r="AK1132" i="2"/>
  <c r="AK1133" i="2"/>
  <c r="AK1134" i="2"/>
  <c r="AK1135" i="2"/>
  <c r="AK1136" i="2"/>
  <c r="AK1137" i="2"/>
  <c r="AK1138" i="2"/>
  <c r="AK1139" i="2"/>
  <c r="AK1140" i="2"/>
  <c r="AK1141" i="2"/>
  <c r="AK1142" i="2"/>
  <c r="AK1143" i="2"/>
  <c r="AK1144" i="2"/>
  <c r="AK1145" i="2"/>
  <c r="AK1146" i="2"/>
  <c r="AK1147" i="2"/>
  <c r="AK1148" i="2"/>
  <c r="AK1149" i="2"/>
  <c r="AK1150" i="2"/>
  <c r="AK1151" i="2"/>
  <c r="AK1152" i="2"/>
  <c r="AK1153" i="2"/>
  <c r="AK1154" i="2"/>
  <c r="AK1155" i="2"/>
  <c r="AK1156" i="2"/>
  <c r="AK1157" i="2"/>
  <c r="AK1158" i="2"/>
  <c r="AK1159" i="2"/>
  <c r="AK1160" i="2"/>
  <c r="AK1161" i="2"/>
  <c r="AK1162" i="2"/>
  <c r="AK1163" i="2"/>
  <c r="AK1164" i="2"/>
  <c r="AK1165" i="2"/>
  <c r="AK1166" i="2"/>
  <c r="AK1167" i="2"/>
  <c r="AK1168" i="2"/>
  <c r="AK1169" i="2"/>
  <c r="AK1170" i="2"/>
  <c r="AK1171" i="2"/>
  <c r="AK1172" i="2"/>
  <c r="AK1173" i="2"/>
  <c r="AK1174" i="2"/>
  <c r="AK1175" i="2"/>
  <c r="AK1176" i="2"/>
  <c r="AK1177" i="2"/>
  <c r="AK1178" i="2"/>
  <c r="AK1179" i="2"/>
  <c r="AK1180" i="2"/>
  <c r="AK1181" i="2"/>
  <c r="AK1182" i="2"/>
  <c r="AK1183" i="2"/>
  <c r="AK1184" i="2"/>
  <c r="AK1185" i="2"/>
  <c r="AK1186" i="2"/>
  <c r="AK1187" i="2"/>
  <c r="AK1188" i="2"/>
  <c r="AK1189" i="2"/>
  <c r="AK1190" i="2"/>
  <c r="AK1191" i="2"/>
  <c r="AK1192" i="2"/>
  <c r="AK1193" i="2"/>
  <c r="AK1194" i="2"/>
  <c r="AK1195" i="2"/>
  <c r="AK1196" i="2"/>
  <c r="AK1197" i="2"/>
  <c r="AK1198" i="2"/>
  <c r="AK1199" i="2"/>
  <c r="AK1200" i="2"/>
  <c r="AK1201" i="2"/>
  <c r="AK1202" i="2"/>
  <c r="AK1203" i="2"/>
  <c r="AK1204" i="2"/>
  <c r="AK1205" i="2"/>
  <c r="AK1206" i="2"/>
  <c r="AK1207" i="2"/>
  <c r="AK1208" i="2"/>
  <c r="AK1209" i="2"/>
  <c r="AK1210" i="2"/>
  <c r="AK1211" i="2"/>
  <c r="AK1212" i="2"/>
  <c r="AK1213" i="2"/>
  <c r="AK1214" i="2"/>
  <c r="AK1215" i="2"/>
  <c r="AK1216" i="2"/>
  <c r="AK1217" i="2"/>
  <c r="AK1218" i="2"/>
  <c r="AK1219" i="2"/>
  <c r="AK1220" i="2"/>
  <c r="AK1221" i="2"/>
  <c r="AK1222" i="2"/>
  <c r="AK1223" i="2"/>
  <c r="AK1224" i="2"/>
  <c r="AK1225" i="2"/>
  <c r="AK1226" i="2"/>
  <c r="AK1227" i="2"/>
  <c r="AK1228" i="2"/>
  <c r="AK1229" i="2"/>
  <c r="AK1230" i="2"/>
  <c r="AK1231" i="2"/>
  <c r="AK1232" i="2"/>
  <c r="AK1233" i="2"/>
  <c r="AK1234" i="2"/>
  <c r="AK1235" i="2"/>
  <c r="AK1236" i="2"/>
  <c r="AK1237" i="2"/>
  <c r="AK1238" i="2"/>
  <c r="AK1239" i="2"/>
  <c r="AK1240" i="2"/>
  <c r="AK1241" i="2"/>
  <c r="AK1242" i="2"/>
  <c r="AK1243" i="2"/>
  <c r="AK1244" i="2"/>
  <c r="AK1245" i="2"/>
  <c r="AK1246" i="2"/>
  <c r="AK1247" i="2"/>
  <c r="AK1248" i="2"/>
  <c r="AK1249" i="2"/>
  <c r="AK1250" i="2"/>
  <c r="AK1251" i="2"/>
  <c r="AK1252" i="2"/>
  <c r="AK1253" i="2"/>
  <c r="AK1254" i="2"/>
  <c r="AK1255" i="2"/>
  <c r="AK1256" i="2"/>
  <c r="AK1257" i="2"/>
  <c r="AK1258" i="2"/>
  <c r="AK1259" i="2"/>
  <c r="AK1260" i="2"/>
  <c r="AK1261" i="2"/>
  <c r="AK1262" i="2"/>
  <c r="AK1263" i="2"/>
  <c r="AK1264" i="2"/>
  <c r="AK1265" i="2"/>
  <c r="AK1266" i="2"/>
  <c r="AK1267" i="2"/>
  <c r="AK1268" i="2"/>
  <c r="AK1269" i="2"/>
  <c r="AK1270" i="2"/>
  <c r="AK1271" i="2"/>
  <c r="AK1272" i="2"/>
  <c r="AK1273" i="2"/>
  <c r="AK1274" i="2"/>
  <c r="AK1275" i="2"/>
  <c r="AK1276" i="2"/>
  <c r="AK1277" i="2"/>
  <c r="AK1278" i="2"/>
  <c r="AK1279" i="2"/>
  <c r="AK1280" i="2"/>
  <c r="AK1281" i="2"/>
  <c r="AK1282" i="2"/>
  <c r="AK1283" i="2"/>
  <c r="AK1284" i="2"/>
  <c r="AK1285" i="2"/>
  <c r="AK1286" i="2"/>
  <c r="AK1287" i="2"/>
  <c r="AK1288" i="2"/>
  <c r="AK1289" i="2"/>
  <c r="AK1290" i="2"/>
  <c r="AK1291" i="2"/>
  <c r="AK1292" i="2"/>
  <c r="AK1293" i="2"/>
  <c r="AK1294" i="2"/>
  <c r="AK1295" i="2"/>
  <c r="AK1296" i="2"/>
  <c r="AK1297" i="2"/>
  <c r="AK1298" i="2"/>
  <c r="AK1299" i="2"/>
  <c r="AK1300" i="2"/>
  <c r="AK1301" i="2"/>
  <c r="AK1302" i="2"/>
  <c r="AK1303" i="2"/>
  <c r="AK1304" i="2"/>
  <c r="AK1305" i="2"/>
  <c r="AK1306" i="2"/>
  <c r="AK1307" i="2"/>
  <c r="AK1308" i="2"/>
  <c r="AK1309" i="2"/>
  <c r="AK1310" i="2"/>
  <c r="AK1311" i="2"/>
  <c r="AK1312" i="2"/>
  <c r="AK1313" i="2"/>
  <c r="AK1314" i="2"/>
  <c r="AK1315" i="2"/>
  <c r="AK1316" i="2"/>
  <c r="AK1317" i="2"/>
  <c r="AK1318" i="2"/>
  <c r="AK1319" i="2"/>
  <c r="AK1320" i="2"/>
  <c r="AK1321" i="2"/>
  <c r="AK1322" i="2"/>
  <c r="AK1323" i="2"/>
  <c r="AK1324" i="2"/>
  <c r="AK1325" i="2"/>
  <c r="AK1326" i="2"/>
  <c r="AK1327" i="2"/>
  <c r="AK1328" i="2"/>
  <c r="AK1329" i="2"/>
  <c r="AK1330" i="2"/>
  <c r="AK1331" i="2"/>
  <c r="AK1332" i="2"/>
  <c r="AK1333" i="2"/>
  <c r="AK1334" i="2"/>
  <c r="AK1335" i="2"/>
  <c r="AK1336" i="2"/>
  <c r="AK1337" i="2"/>
  <c r="AK1338" i="2"/>
  <c r="AK1339" i="2"/>
  <c r="AK1340" i="2"/>
  <c r="AK1341" i="2"/>
  <c r="AK1342" i="2"/>
  <c r="AK1343" i="2"/>
  <c r="AK1344" i="2"/>
  <c r="AK1345" i="2"/>
  <c r="AK1346" i="2"/>
  <c r="AK1347" i="2"/>
  <c r="AK1348" i="2"/>
  <c r="AK1349" i="2"/>
  <c r="AK1350" i="2"/>
  <c r="AK1351" i="2"/>
  <c r="AK1352" i="2"/>
  <c r="AK1353" i="2"/>
  <c r="AK1354" i="2"/>
  <c r="AK1355" i="2"/>
  <c r="AK1356" i="2"/>
  <c r="AK1357" i="2"/>
  <c r="AK1358" i="2"/>
  <c r="AK1359" i="2"/>
  <c r="AK1360" i="2"/>
  <c r="AK1361" i="2"/>
  <c r="AK1362" i="2"/>
  <c r="AK1363" i="2"/>
  <c r="AK1364" i="2"/>
  <c r="AK1365" i="2"/>
  <c r="AK1366" i="2"/>
  <c r="AK1367" i="2"/>
  <c r="AK1368" i="2"/>
  <c r="AK1369" i="2"/>
  <c r="AK1370" i="2"/>
  <c r="AK1371" i="2"/>
  <c r="AK1372" i="2"/>
  <c r="AK1373" i="2"/>
  <c r="AK1374" i="2"/>
  <c r="AK1375" i="2"/>
  <c r="AK1376" i="2"/>
  <c r="AK1377" i="2"/>
  <c r="AK1378" i="2"/>
  <c r="AK1379" i="2"/>
  <c r="AK1380" i="2"/>
  <c r="AK1381" i="2"/>
  <c r="AK1382" i="2"/>
  <c r="AK1383" i="2"/>
  <c r="AK1384" i="2"/>
  <c r="AK1385" i="2"/>
  <c r="AK1386" i="2"/>
  <c r="AK1387" i="2"/>
  <c r="AK1388" i="2"/>
  <c r="AK1389" i="2"/>
  <c r="AK1390" i="2"/>
  <c r="AK1391" i="2"/>
  <c r="AK1392" i="2"/>
  <c r="AK1393" i="2"/>
  <c r="AK1394" i="2"/>
  <c r="AK1395" i="2"/>
  <c r="AK1396" i="2"/>
  <c r="AK1397" i="2"/>
  <c r="AK1398" i="2"/>
  <c r="AK1399" i="2"/>
  <c r="AK1400" i="2"/>
  <c r="AK1401" i="2"/>
  <c r="AK1402" i="2"/>
  <c r="AK1403" i="2"/>
  <c r="AK1404" i="2"/>
  <c r="AK1405" i="2"/>
  <c r="AK1406" i="2"/>
  <c r="AK1407" i="2"/>
  <c r="AK1408" i="2"/>
  <c r="AK1409" i="2"/>
  <c r="AK1410" i="2"/>
  <c r="AK1411" i="2"/>
  <c r="AK1412" i="2"/>
  <c r="AK1413" i="2"/>
  <c r="AK1414" i="2"/>
  <c r="AK1415" i="2"/>
  <c r="AK1416" i="2"/>
  <c r="AK1417" i="2"/>
  <c r="AK1418" i="2"/>
  <c r="AK1419" i="2"/>
  <c r="AK1420" i="2"/>
  <c r="AK1421" i="2"/>
  <c r="AK1422" i="2"/>
  <c r="AK1423" i="2"/>
  <c r="AK1424" i="2"/>
  <c r="AK1425" i="2"/>
  <c r="AK1426" i="2"/>
  <c r="AK1427" i="2"/>
  <c r="AK1428" i="2"/>
  <c r="AK1429" i="2"/>
  <c r="AK1430" i="2"/>
  <c r="AK1431" i="2"/>
  <c r="AK1432" i="2"/>
  <c r="AK1433" i="2"/>
  <c r="AK1434" i="2"/>
  <c r="AK1435" i="2"/>
  <c r="AK1436" i="2"/>
  <c r="AK1437" i="2"/>
  <c r="AK1438" i="2"/>
  <c r="AK1439" i="2"/>
  <c r="AK1440" i="2"/>
  <c r="AK1441" i="2"/>
  <c r="AK1442" i="2"/>
  <c r="AK1443" i="2"/>
  <c r="AK1444" i="2"/>
  <c r="AK1445" i="2"/>
  <c r="AK1446" i="2"/>
  <c r="AK1447" i="2"/>
  <c r="AK1448" i="2"/>
  <c r="AK1449" i="2"/>
  <c r="AK1450" i="2"/>
  <c r="AK1451" i="2"/>
  <c r="AK1452" i="2"/>
  <c r="AK1453" i="2"/>
  <c r="AK1454" i="2"/>
  <c r="AK1455" i="2"/>
  <c r="AK1456" i="2"/>
  <c r="AK1457" i="2"/>
  <c r="AK1458" i="2"/>
  <c r="AK1459" i="2"/>
  <c r="AK1460" i="2"/>
  <c r="AK1461" i="2"/>
  <c r="AK1462" i="2"/>
  <c r="AK1463" i="2"/>
  <c r="AK1464" i="2"/>
  <c r="AK1465" i="2"/>
  <c r="AK1466" i="2"/>
  <c r="AK1467" i="2"/>
  <c r="AK1468" i="2"/>
  <c r="AK1469" i="2"/>
  <c r="AK1470" i="2"/>
  <c r="AK1471" i="2"/>
  <c r="AJ2" i="2"/>
  <c r="AJ3" i="2"/>
  <c r="AJ4" i="2"/>
  <c r="AJ5" i="2"/>
  <c r="AJ6" i="2"/>
  <c r="AJ7" i="2"/>
  <c r="AJ8" i="2"/>
  <c r="AJ9" i="2"/>
  <c r="AJ10" i="2"/>
  <c r="AJ11" i="2"/>
  <c r="AJ12" i="2"/>
  <c r="AJ13" i="2"/>
  <c r="AJ14" i="2"/>
  <c r="AJ15" i="2"/>
  <c r="AJ16" i="2"/>
  <c r="AJ17" i="2"/>
  <c r="AJ18" i="2"/>
  <c r="AJ19" i="2"/>
  <c r="AJ20" i="2"/>
  <c r="AJ21" i="2"/>
  <c r="AJ22" i="2"/>
  <c r="AJ23" i="2"/>
  <c r="AJ24" i="2"/>
  <c r="AJ25" i="2"/>
  <c r="AJ26" i="2"/>
  <c r="AJ27" i="2"/>
  <c r="AJ28" i="2"/>
  <c r="AJ29" i="2"/>
  <c r="AJ30" i="2"/>
  <c r="AJ31" i="2"/>
  <c r="AJ32" i="2"/>
  <c r="AJ33" i="2"/>
  <c r="AJ34" i="2"/>
  <c r="AJ35" i="2"/>
  <c r="AJ36" i="2"/>
  <c r="AJ37" i="2"/>
  <c r="AJ38" i="2"/>
  <c r="AJ39" i="2"/>
  <c r="AJ40" i="2"/>
  <c r="AJ41" i="2"/>
  <c r="AJ42" i="2"/>
  <c r="AJ43" i="2"/>
  <c r="AJ44" i="2"/>
  <c r="AJ45" i="2"/>
  <c r="AJ46" i="2"/>
  <c r="AJ47" i="2"/>
  <c r="AJ48" i="2"/>
  <c r="AJ49" i="2"/>
  <c r="AJ50" i="2"/>
  <c r="AJ51" i="2"/>
  <c r="AJ52" i="2"/>
  <c r="AJ53" i="2"/>
  <c r="AJ54" i="2"/>
  <c r="AJ55" i="2"/>
  <c r="AJ56" i="2"/>
  <c r="AJ57" i="2"/>
  <c r="AJ58" i="2"/>
  <c r="AJ59" i="2"/>
  <c r="AJ60" i="2"/>
  <c r="AJ61" i="2"/>
  <c r="AJ62" i="2"/>
  <c r="AJ63" i="2"/>
  <c r="AJ64" i="2"/>
  <c r="AJ65" i="2"/>
  <c r="AJ66" i="2"/>
  <c r="AJ67" i="2"/>
  <c r="AJ68" i="2"/>
  <c r="AJ69" i="2"/>
  <c r="AJ70" i="2"/>
  <c r="AJ71" i="2"/>
  <c r="AJ72" i="2"/>
  <c r="AJ73" i="2"/>
  <c r="AJ74" i="2"/>
  <c r="AJ75" i="2"/>
  <c r="AJ76" i="2"/>
  <c r="AJ77" i="2"/>
  <c r="AJ78" i="2"/>
  <c r="AJ79" i="2"/>
  <c r="AJ80" i="2"/>
  <c r="AJ81" i="2"/>
  <c r="AJ82" i="2"/>
  <c r="AJ83" i="2"/>
  <c r="AJ84" i="2"/>
  <c r="AJ85" i="2"/>
  <c r="AJ86" i="2"/>
  <c r="AJ87" i="2"/>
  <c r="AJ88" i="2"/>
  <c r="AJ89" i="2"/>
  <c r="AJ90" i="2"/>
  <c r="AJ91" i="2"/>
  <c r="AJ92" i="2"/>
  <c r="AJ93" i="2"/>
  <c r="AJ94" i="2"/>
  <c r="AJ95" i="2"/>
  <c r="AJ96" i="2"/>
  <c r="AJ97" i="2"/>
  <c r="AJ98" i="2"/>
  <c r="AJ99" i="2"/>
  <c r="AJ100" i="2"/>
  <c r="AJ101" i="2"/>
  <c r="AJ102" i="2"/>
  <c r="AJ103" i="2"/>
  <c r="AJ104" i="2"/>
  <c r="AJ105" i="2"/>
  <c r="AJ106" i="2"/>
  <c r="AJ107" i="2"/>
  <c r="AJ108" i="2"/>
  <c r="AJ109" i="2"/>
  <c r="AJ110" i="2"/>
  <c r="AJ111" i="2"/>
  <c r="AJ112" i="2"/>
  <c r="AJ113" i="2"/>
  <c r="AJ114" i="2"/>
  <c r="AJ115" i="2"/>
  <c r="AJ116" i="2"/>
  <c r="AJ117" i="2"/>
  <c r="AJ118" i="2"/>
  <c r="AJ119" i="2"/>
  <c r="AJ120" i="2"/>
  <c r="AJ121" i="2"/>
  <c r="AJ122" i="2"/>
  <c r="AJ123" i="2"/>
  <c r="AJ124" i="2"/>
  <c r="AJ125" i="2"/>
  <c r="AJ126" i="2"/>
  <c r="AJ127" i="2"/>
  <c r="AJ128" i="2"/>
  <c r="AJ129" i="2"/>
  <c r="AJ130" i="2"/>
  <c r="AJ131" i="2"/>
  <c r="AJ132" i="2"/>
  <c r="AJ133" i="2"/>
  <c r="AJ134" i="2"/>
  <c r="AJ135" i="2"/>
  <c r="AJ136" i="2"/>
  <c r="AJ137" i="2"/>
  <c r="AJ138" i="2"/>
  <c r="AJ139" i="2"/>
  <c r="AJ140" i="2"/>
  <c r="AJ141" i="2"/>
  <c r="AJ142" i="2"/>
  <c r="AJ143" i="2"/>
  <c r="AJ144" i="2"/>
  <c r="AJ145" i="2"/>
  <c r="AJ146" i="2"/>
  <c r="AJ147" i="2"/>
  <c r="AJ148" i="2"/>
  <c r="AJ149" i="2"/>
  <c r="AJ150" i="2"/>
  <c r="AJ151" i="2"/>
  <c r="AJ152" i="2"/>
  <c r="AJ153" i="2"/>
  <c r="AJ154" i="2"/>
  <c r="AJ155" i="2"/>
  <c r="AJ156" i="2"/>
  <c r="AJ157" i="2"/>
  <c r="AJ158" i="2"/>
  <c r="AJ159" i="2"/>
  <c r="AJ160" i="2"/>
  <c r="AJ161" i="2"/>
  <c r="AJ162" i="2"/>
  <c r="AJ163" i="2"/>
  <c r="AJ164" i="2"/>
  <c r="AJ165" i="2"/>
  <c r="AJ166" i="2"/>
  <c r="AJ167" i="2"/>
  <c r="AJ168" i="2"/>
  <c r="AJ169" i="2"/>
  <c r="AJ170" i="2"/>
  <c r="AJ171" i="2"/>
  <c r="AJ172" i="2"/>
  <c r="AJ173" i="2"/>
  <c r="AJ174" i="2"/>
  <c r="AJ175" i="2"/>
  <c r="AJ176" i="2"/>
  <c r="AJ177" i="2"/>
  <c r="AJ178" i="2"/>
  <c r="AJ179" i="2"/>
  <c r="AJ180" i="2"/>
  <c r="AJ181" i="2"/>
  <c r="AJ182" i="2"/>
  <c r="AJ183" i="2"/>
  <c r="AJ184" i="2"/>
  <c r="AJ185" i="2"/>
  <c r="AJ186" i="2"/>
  <c r="AJ187" i="2"/>
  <c r="AJ188" i="2"/>
  <c r="AJ189" i="2"/>
  <c r="AJ190" i="2"/>
  <c r="AJ191" i="2"/>
  <c r="AJ192" i="2"/>
  <c r="AJ193" i="2"/>
  <c r="AJ194" i="2"/>
  <c r="AJ195" i="2"/>
  <c r="AJ196" i="2"/>
  <c r="AJ197" i="2"/>
  <c r="AJ198" i="2"/>
  <c r="AJ199" i="2"/>
  <c r="AJ200" i="2"/>
  <c r="AJ201" i="2"/>
  <c r="AJ202" i="2"/>
  <c r="AJ203" i="2"/>
  <c r="AJ204" i="2"/>
  <c r="AJ205" i="2"/>
  <c r="AJ206" i="2"/>
  <c r="AJ207" i="2"/>
  <c r="AJ208" i="2"/>
  <c r="AJ209" i="2"/>
  <c r="AJ210" i="2"/>
  <c r="AJ211" i="2"/>
  <c r="AJ212" i="2"/>
  <c r="AJ213" i="2"/>
  <c r="AJ214" i="2"/>
  <c r="AJ215" i="2"/>
  <c r="AJ216" i="2"/>
  <c r="AJ217" i="2"/>
  <c r="AJ218" i="2"/>
  <c r="AJ219" i="2"/>
  <c r="AJ220" i="2"/>
  <c r="AJ221" i="2"/>
  <c r="AJ222" i="2"/>
  <c r="AJ223" i="2"/>
  <c r="AJ224" i="2"/>
  <c r="AJ225" i="2"/>
  <c r="AJ226" i="2"/>
  <c r="AJ227" i="2"/>
  <c r="AJ228" i="2"/>
  <c r="AJ229" i="2"/>
  <c r="AJ230" i="2"/>
  <c r="AJ231" i="2"/>
  <c r="AJ232" i="2"/>
  <c r="AJ233" i="2"/>
  <c r="AJ234" i="2"/>
  <c r="AJ235" i="2"/>
  <c r="AJ236" i="2"/>
  <c r="AJ237" i="2"/>
  <c r="AJ238" i="2"/>
  <c r="AJ239" i="2"/>
  <c r="AJ240" i="2"/>
  <c r="AJ241" i="2"/>
  <c r="AJ242" i="2"/>
  <c r="AJ243" i="2"/>
  <c r="AJ244" i="2"/>
  <c r="AJ245" i="2"/>
  <c r="AJ246" i="2"/>
  <c r="AJ247" i="2"/>
  <c r="AJ248" i="2"/>
  <c r="AJ249" i="2"/>
  <c r="AJ250" i="2"/>
  <c r="AJ251" i="2"/>
  <c r="AJ252" i="2"/>
  <c r="AJ253" i="2"/>
  <c r="AJ254" i="2"/>
  <c r="AJ255" i="2"/>
  <c r="AJ256" i="2"/>
  <c r="AJ257" i="2"/>
  <c r="AJ258" i="2"/>
  <c r="AJ259" i="2"/>
  <c r="AJ260" i="2"/>
  <c r="AJ261" i="2"/>
  <c r="AJ262" i="2"/>
  <c r="AJ263" i="2"/>
  <c r="AJ264" i="2"/>
  <c r="AJ265" i="2"/>
  <c r="AJ266" i="2"/>
  <c r="AJ267" i="2"/>
  <c r="AJ268" i="2"/>
  <c r="AJ269" i="2"/>
  <c r="AJ270" i="2"/>
  <c r="AJ271" i="2"/>
  <c r="AJ272" i="2"/>
  <c r="AJ273" i="2"/>
  <c r="AJ274" i="2"/>
  <c r="AJ275" i="2"/>
  <c r="AJ276" i="2"/>
  <c r="AJ277" i="2"/>
  <c r="AJ278" i="2"/>
  <c r="AJ279" i="2"/>
  <c r="AJ280" i="2"/>
  <c r="AJ281" i="2"/>
  <c r="AJ282" i="2"/>
  <c r="AJ283" i="2"/>
  <c r="AJ284" i="2"/>
  <c r="AJ285" i="2"/>
  <c r="AJ286" i="2"/>
  <c r="AJ287" i="2"/>
  <c r="AJ288" i="2"/>
  <c r="AJ289" i="2"/>
  <c r="AJ290" i="2"/>
  <c r="AJ291" i="2"/>
  <c r="AJ292" i="2"/>
  <c r="AJ293" i="2"/>
  <c r="AJ294" i="2"/>
  <c r="AJ295" i="2"/>
  <c r="AJ296" i="2"/>
  <c r="AJ297" i="2"/>
  <c r="AJ298" i="2"/>
  <c r="AJ299" i="2"/>
  <c r="AJ300" i="2"/>
  <c r="AJ301" i="2"/>
  <c r="AJ302" i="2"/>
  <c r="AJ303" i="2"/>
  <c r="AJ304" i="2"/>
  <c r="AJ305" i="2"/>
  <c r="AJ306" i="2"/>
  <c r="AJ307" i="2"/>
  <c r="AJ308" i="2"/>
  <c r="AJ309" i="2"/>
  <c r="AJ310" i="2"/>
  <c r="AJ311" i="2"/>
  <c r="AJ312" i="2"/>
  <c r="AJ313" i="2"/>
  <c r="AJ314" i="2"/>
  <c r="AJ315" i="2"/>
  <c r="AJ316" i="2"/>
  <c r="AJ317" i="2"/>
  <c r="AJ318" i="2"/>
  <c r="AJ319" i="2"/>
  <c r="AJ320" i="2"/>
  <c r="AJ321" i="2"/>
  <c r="AJ322" i="2"/>
  <c r="AJ323" i="2"/>
  <c r="AJ324" i="2"/>
  <c r="AJ325" i="2"/>
  <c r="AJ326" i="2"/>
  <c r="AJ327" i="2"/>
  <c r="AJ328" i="2"/>
  <c r="AJ329" i="2"/>
  <c r="AJ330" i="2"/>
  <c r="AJ331" i="2"/>
  <c r="AJ332" i="2"/>
  <c r="AJ333" i="2"/>
  <c r="AJ334" i="2"/>
  <c r="AJ335" i="2"/>
  <c r="AJ336" i="2"/>
  <c r="AJ337" i="2"/>
  <c r="AJ338" i="2"/>
  <c r="AJ339" i="2"/>
  <c r="AJ340" i="2"/>
  <c r="AJ341" i="2"/>
  <c r="AJ342" i="2"/>
  <c r="AJ343" i="2"/>
  <c r="AJ344" i="2"/>
  <c r="AJ345" i="2"/>
  <c r="AJ346" i="2"/>
  <c r="AJ347" i="2"/>
  <c r="AJ348" i="2"/>
  <c r="AJ349" i="2"/>
  <c r="AJ350" i="2"/>
  <c r="AJ351" i="2"/>
  <c r="AJ352" i="2"/>
  <c r="AJ353" i="2"/>
  <c r="AJ354" i="2"/>
  <c r="AJ355" i="2"/>
  <c r="AJ356" i="2"/>
  <c r="AJ357" i="2"/>
  <c r="AJ358" i="2"/>
  <c r="AJ359" i="2"/>
  <c r="AJ360" i="2"/>
  <c r="AJ361" i="2"/>
  <c r="AJ362" i="2"/>
  <c r="AJ363" i="2"/>
  <c r="AJ364" i="2"/>
  <c r="AJ365" i="2"/>
  <c r="AJ366" i="2"/>
  <c r="AJ367" i="2"/>
  <c r="AJ368" i="2"/>
  <c r="AJ369" i="2"/>
  <c r="AJ370" i="2"/>
  <c r="AJ371" i="2"/>
  <c r="AJ372" i="2"/>
  <c r="AJ373" i="2"/>
  <c r="AJ374" i="2"/>
  <c r="AJ375" i="2"/>
  <c r="AJ376" i="2"/>
  <c r="AJ377" i="2"/>
  <c r="AJ378" i="2"/>
  <c r="AJ379" i="2"/>
  <c r="AJ380" i="2"/>
  <c r="AJ381" i="2"/>
  <c r="AJ382" i="2"/>
  <c r="AJ383" i="2"/>
  <c r="AJ384" i="2"/>
  <c r="AJ385" i="2"/>
  <c r="AJ386" i="2"/>
  <c r="AJ387" i="2"/>
  <c r="AJ388" i="2"/>
  <c r="AJ389" i="2"/>
  <c r="AJ390" i="2"/>
  <c r="AJ391" i="2"/>
  <c r="AJ392" i="2"/>
  <c r="AJ393" i="2"/>
  <c r="AJ394" i="2"/>
  <c r="AJ395" i="2"/>
  <c r="AJ396" i="2"/>
  <c r="AJ397" i="2"/>
  <c r="AJ398" i="2"/>
  <c r="AJ399" i="2"/>
  <c r="AJ400" i="2"/>
  <c r="AJ401" i="2"/>
  <c r="AJ402" i="2"/>
  <c r="AJ403" i="2"/>
  <c r="AJ404" i="2"/>
  <c r="AJ405" i="2"/>
  <c r="AJ406" i="2"/>
  <c r="AJ407" i="2"/>
  <c r="AJ408" i="2"/>
  <c r="AJ409" i="2"/>
  <c r="AJ410" i="2"/>
  <c r="AJ411" i="2"/>
  <c r="AJ412" i="2"/>
  <c r="AJ413" i="2"/>
  <c r="AJ414" i="2"/>
  <c r="AJ415" i="2"/>
  <c r="AJ416" i="2"/>
  <c r="AJ417" i="2"/>
  <c r="AJ418" i="2"/>
  <c r="AJ419" i="2"/>
  <c r="AJ420" i="2"/>
  <c r="AJ421" i="2"/>
  <c r="AJ422" i="2"/>
  <c r="AJ423" i="2"/>
  <c r="AJ424" i="2"/>
  <c r="AJ425" i="2"/>
  <c r="AJ426" i="2"/>
  <c r="AJ427" i="2"/>
  <c r="AJ428" i="2"/>
  <c r="AJ429" i="2"/>
  <c r="AJ430" i="2"/>
  <c r="AJ431" i="2"/>
  <c r="AJ432" i="2"/>
  <c r="AJ433" i="2"/>
  <c r="AJ434" i="2"/>
  <c r="AJ435" i="2"/>
  <c r="AJ436" i="2"/>
  <c r="AJ437" i="2"/>
  <c r="AJ438" i="2"/>
  <c r="AJ439" i="2"/>
  <c r="AJ440" i="2"/>
  <c r="AJ441" i="2"/>
  <c r="AJ442" i="2"/>
  <c r="AJ443" i="2"/>
  <c r="AJ444" i="2"/>
  <c r="AJ445" i="2"/>
  <c r="AJ446" i="2"/>
  <c r="AJ447" i="2"/>
  <c r="AJ448" i="2"/>
  <c r="AJ449" i="2"/>
  <c r="AJ450" i="2"/>
  <c r="AJ451" i="2"/>
  <c r="AJ452" i="2"/>
  <c r="AJ453" i="2"/>
  <c r="AJ454" i="2"/>
  <c r="AJ455" i="2"/>
  <c r="AJ456" i="2"/>
  <c r="AJ457" i="2"/>
  <c r="AJ458" i="2"/>
  <c r="AJ459" i="2"/>
  <c r="AJ460" i="2"/>
  <c r="AJ461" i="2"/>
  <c r="AJ462" i="2"/>
  <c r="AJ463" i="2"/>
  <c r="AJ464" i="2"/>
  <c r="AJ465" i="2"/>
  <c r="AJ466" i="2"/>
  <c r="AJ467" i="2"/>
  <c r="AJ468" i="2"/>
  <c r="AJ469" i="2"/>
  <c r="AJ470" i="2"/>
  <c r="AJ471" i="2"/>
  <c r="AJ472" i="2"/>
  <c r="AJ473" i="2"/>
  <c r="AJ474" i="2"/>
  <c r="AJ475" i="2"/>
  <c r="AJ476" i="2"/>
  <c r="AJ477" i="2"/>
  <c r="AJ478" i="2"/>
  <c r="AJ479" i="2"/>
  <c r="AJ480" i="2"/>
  <c r="AJ481" i="2"/>
  <c r="AJ482" i="2"/>
  <c r="AJ483" i="2"/>
  <c r="AJ484" i="2"/>
  <c r="AJ485" i="2"/>
  <c r="AJ486" i="2"/>
  <c r="AJ487" i="2"/>
  <c r="AJ488" i="2"/>
  <c r="AJ489" i="2"/>
  <c r="AJ490" i="2"/>
  <c r="AJ491" i="2"/>
  <c r="AJ492" i="2"/>
  <c r="AJ493" i="2"/>
  <c r="AJ494" i="2"/>
  <c r="AJ495" i="2"/>
  <c r="AJ496" i="2"/>
  <c r="AJ497" i="2"/>
  <c r="AJ498" i="2"/>
  <c r="AJ499" i="2"/>
  <c r="AJ500" i="2"/>
  <c r="AJ501" i="2"/>
  <c r="AJ502" i="2"/>
  <c r="AJ503" i="2"/>
  <c r="AJ504" i="2"/>
  <c r="AJ505" i="2"/>
  <c r="AJ506" i="2"/>
  <c r="AJ507" i="2"/>
  <c r="AJ508" i="2"/>
  <c r="AJ509" i="2"/>
  <c r="AJ510" i="2"/>
  <c r="AJ511" i="2"/>
  <c r="AJ512" i="2"/>
  <c r="AJ513" i="2"/>
  <c r="AJ514" i="2"/>
  <c r="AJ515" i="2"/>
  <c r="AJ516" i="2"/>
  <c r="AJ517" i="2"/>
  <c r="AJ518" i="2"/>
  <c r="AJ519" i="2"/>
  <c r="AJ520" i="2"/>
  <c r="AJ521" i="2"/>
  <c r="AJ522" i="2"/>
  <c r="AJ523" i="2"/>
  <c r="AJ524" i="2"/>
  <c r="AJ525" i="2"/>
  <c r="AJ526" i="2"/>
  <c r="AJ527" i="2"/>
  <c r="AJ528" i="2"/>
  <c r="AJ529" i="2"/>
  <c r="AJ530" i="2"/>
  <c r="AJ531" i="2"/>
  <c r="AJ532" i="2"/>
  <c r="AJ533" i="2"/>
  <c r="AJ534" i="2"/>
  <c r="AJ535" i="2"/>
  <c r="AJ536" i="2"/>
  <c r="AJ537" i="2"/>
  <c r="AJ538" i="2"/>
  <c r="AJ539" i="2"/>
  <c r="AJ540" i="2"/>
  <c r="AJ541" i="2"/>
  <c r="AJ542" i="2"/>
  <c r="AJ543" i="2"/>
  <c r="AJ544" i="2"/>
  <c r="AJ545" i="2"/>
  <c r="AJ546" i="2"/>
  <c r="AJ547" i="2"/>
  <c r="AJ548" i="2"/>
  <c r="AJ549" i="2"/>
  <c r="AJ550" i="2"/>
  <c r="AJ551" i="2"/>
  <c r="AJ552" i="2"/>
  <c r="AJ553" i="2"/>
  <c r="AJ554" i="2"/>
  <c r="AJ555" i="2"/>
  <c r="AJ556" i="2"/>
  <c r="AJ557" i="2"/>
  <c r="AJ558" i="2"/>
  <c r="AJ559" i="2"/>
  <c r="AJ560" i="2"/>
  <c r="AJ561" i="2"/>
  <c r="AJ562" i="2"/>
  <c r="AJ563" i="2"/>
  <c r="AJ564" i="2"/>
  <c r="AJ565" i="2"/>
  <c r="AJ566" i="2"/>
  <c r="AJ567" i="2"/>
  <c r="AJ568" i="2"/>
  <c r="AJ569" i="2"/>
  <c r="AJ570" i="2"/>
  <c r="AJ571" i="2"/>
  <c r="AJ572" i="2"/>
  <c r="AJ573" i="2"/>
  <c r="AJ574" i="2"/>
  <c r="AJ575" i="2"/>
  <c r="AJ576" i="2"/>
  <c r="AJ577" i="2"/>
  <c r="AJ578" i="2"/>
  <c r="AJ579" i="2"/>
  <c r="AJ580" i="2"/>
  <c r="AJ581" i="2"/>
  <c r="AJ582" i="2"/>
  <c r="AJ583" i="2"/>
  <c r="AJ584" i="2"/>
  <c r="AJ585" i="2"/>
  <c r="AJ586" i="2"/>
  <c r="AJ587" i="2"/>
  <c r="AJ588" i="2"/>
  <c r="AJ589" i="2"/>
  <c r="AJ590" i="2"/>
  <c r="AJ591" i="2"/>
  <c r="AJ592" i="2"/>
  <c r="AJ593" i="2"/>
  <c r="AJ594" i="2"/>
  <c r="AJ595" i="2"/>
  <c r="AJ596" i="2"/>
  <c r="AJ597" i="2"/>
  <c r="AJ598" i="2"/>
  <c r="AJ599" i="2"/>
  <c r="AJ600" i="2"/>
  <c r="AJ601" i="2"/>
  <c r="AJ602" i="2"/>
  <c r="AJ603" i="2"/>
  <c r="AJ604" i="2"/>
  <c r="AJ605" i="2"/>
  <c r="AJ606" i="2"/>
  <c r="AJ607" i="2"/>
  <c r="AJ608" i="2"/>
  <c r="AJ609" i="2"/>
  <c r="AJ610" i="2"/>
  <c r="AJ611" i="2"/>
  <c r="AJ612" i="2"/>
  <c r="AJ613" i="2"/>
  <c r="AJ614" i="2"/>
  <c r="AJ615" i="2"/>
  <c r="AJ616" i="2"/>
  <c r="AJ617" i="2"/>
  <c r="AJ618" i="2"/>
  <c r="AJ619" i="2"/>
  <c r="AJ620" i="2"/>
  <c r="AJ621" i="2"/>
  <c r="AJ622" i="2"/>
  <c r="AJ623" i="2"/>
  <c r="AJ624" i="2"/>
  <c r="AJ625" i="2"/>
  <c r="AJ626" i="2"/>
  <c r="AJ627" i="2"/>
  <c r="AJ628" i="2"/>
  <c r="AJ629" i="2"/>
  <c r="AJ630" i="2"/>
  <c r="AJ631" i="2"/>
  <c r="AJ632" i="2"/>
  <c r="AJ633" i="2"/>
  <c r="AJ634" i="2"/>
  <c r="AJ635" i="2"/>
  <c r="AJ636" i="2"/>
  <c r="AJ637" i="2"/>
  <c r="AJ638" i="2"/>
  <c r="AJ639" i="2"/>
  <c r="AJ640" i="2"/>
  <c r="AJ641" i="2"/>
  <c r="AJ642" i="2"/>
  <c r="AJ643" i="2"/>
  <c r="AJ644" i="2"/>
  <c r="AJ645" i="2"/>
  <c r="AJ646" i="2"/>
  <c r="AJ647" i="2"/>
  <c r="AJ648" i="2"/>
  <c r="AJ649" i="2"/>
  <c r="AJ650" i="2"/>
  <c r="AJ651" i="2"/>
  <c r="AJ652" i="2"/>
  <c r="AJ653" i="2"/>
  <c r="AJ654" i="2"/>
  <c r="AJ655" i="2"/>
  <c r="AJ656" i="2"/>
  <c r="AJ657" i="2"/>
  <c r="AJ658" i="2"/>
  <c r="AJ659" i="2"/>
  <c r="AJ660" i="2"/>
  <c r="AJ661" i="2"/>
  <c r="AJ662" i="2"/>
  <c r="AJ663" i="2"/>
  <c r="AJ664" i="2"/>
  <c r="AJ665" i="2"/>
  <c r="AJ666" i="2"/>
  <c r="AJ667" i="2"/>
  <c r="AJ668" i="2"/>
  <c r="AJ669" i="2"/>
  <c r="AJ670" i="2"/>
  <c r="AJ671" i="2"/>
  <c r="AJ672" i="2"/>
  <c r="AJ673" i="2"/>
  <c r="AJ674" i="2"/>
  <c r="AJ675" i="2"/>
  <c r="AJ676" i="2"/>
  <c r="AJ677" i="2"/>
  <c r="AJ678" i="2"/>
  <c r="AJ679" i="2"/>
  <c r="AJ680" i="2"/>
  <c r="AJ681" i="2"/>
  <c r="AJ682" i="2"/>
  <c r="AJ683" i="2"/>
  <c r="AJ684" i="2"/>
  <c r="AJ685" i="2"/>
  <c r="AJ686" i="2"/>
  <c r="AJ687" i="2"/>
  <c r="AJ688" i="2"/>
  <c r="AJ689" i="2"/>
  <c r="AJ690" i="2"/>
  <c r="AJ691" i="2"/>
  <c r="AJ692" i="2"/>
  <c r="AJ693" i="2"/>
  <c r="AJ694" i="2"/>
  <c r="AJ695" i="2"/>
  <c r="AJ696" i="2"/>
  <c r="AJ697" i="2"/>
  <c r="AJ698" i="2"/>
  <c r="AJ699" i="2"/>
  <c r="AJ700" i="2"/>
  <c r="AJ701" i="2"/>
  <c r="AJ702" i="2"/>
  <c r="AJ703" i="2"/>
  <c r="AJ704" i="2"/>
  <c r="AJ705" i="2"/>
  <c r="AJ706" i="2"/>
  <c r="AJ707" i="2"/>
  <c r="AJ708" i="2"/>
  <c r="AJ709" i="2"/>
  <c r="AJ710" i="2"/>
  <c r="AJ711" i="2"/>
  <c r="AJ712" i="2"/>
  <c r="AJ713" i="2"/>
  <c r="AJ714" i="2"/>
  <c r="AJ715" i="2"/>
  <c r="AJ716" i="2"/>
  <c r="AJ717" i="2"/>
  <c r="AJ718" i="2"/>
  <c r="AJ719" i="2"/>
  <c r="AJ720" i="2"/>
  <c r="AJ721" i="2"/>
  <c r="AJ722" i="2"/>
  <c r="AJ723" i="2"/>
  <c r="AJ724" i="2"/>
  <c r="AJ725" i="2"/>
  <c r="AJ726" i="2"/>
  <c r="AJ727" i="2"/>
  <c r="AJ728" i="2"/>
  <c r="AJ729" i="2"/>
  <c r="AJ730" i="2"/>
  <c r="AJ731" i="2"/>
  <c r="AJ732" i="2"/>
  <c r="AJ733" i="2"/>
  <c r="AJ734" i="2"/>
  <c r="AJ735" i="2"/>
  <c r="AJ736" i="2"/>
  <c r="AJ737" i="2"/>
  <c r="AJ738" i="2"/>
  <c r="AJ739" i="2"/>
  <c r="AJ740" i="2"/>
  <c r="AJ741" i="2"/>
  <c r="AJ742" i="2"/>
  <c r="AJ743" i="2"/>
  <c r="AJ744" i="2"/>
  <c r="AJ745" i="2"/>
  <c r="AJ746" i="2"/>
  <c r="AJ747" i="2"/>
  <c r="AJ748" i="2"/>
  <c r="AJ749" i="2"/>
  <c r="AJ750" i="2"/>
  <c r="AJ751" i="2"/>
  <c r="AJ752" i="2"/>
  <c r="AJ753" i="2"/>
  <c r="AJ754" i="2"/>
  <c r="AJ755" i="2"/>
  <c r="AJ756" i="2"/>
  <c r="AJ757" i="2"/>
  <c r="AJ758" i="2"/>
  <c r="AJ759" i="2"/>
  <c r="AJ760" i="2"/>
  <c r="AJ761" i="2"/>
  <c r="AJ762" i="2"/>
  <c r="AJ763" i="2"/>
  <c r="AJ764" i="2"/>
  <c r="AJ765" i="2"/>
  <c r="AJ766" i="2"/>
  <c r="AJ767" i="2"/>
  <c r="AJ768" i="2"/>
  <c r="AJ769" i="2"/>
  <c r="AJ770" i="2"/>
  <c r="AJ771" i="2"/>
  <c r="AJ772" i="2"/>
  <c r="AJ773" i="2"/>
  <c r="AJ774" i="2"/>
  <c r="AJ775" i="2"/>
  <c r="AJ776" i="2"/>
  <c r="AJ777" i="2"/>
  <c r="AJ778" i="2"/>
  <c r="AJ779" i="2"/>
  <c r="AJ780" i="2"/>
  <c r="AJ781" i="2"/>
  <c r="AJ782" i="2"/>
  <c r="AJ783" i="2"/>
  <c r="AJ784" i="2"/>
  <c r="AJ785" i="2"/>
  <c r="AJ786" i="2"/>
  <c r="AJ787" i="2"/>
  <c r="AJ788" i="2"/>
  <c r="AJ789" i="2"/>
  <c r="AJ790" i="2"/>
  <c r="AJ791" i="2"/>
  <c r="AJ792" i="2"/>
  <c r="AJ793" i="2"/>
  <c r="AJ794" i="2"/>
  <c r="AJ795" i="2"/>
  <c r="AJ796" i="2"/>
  <c r="AJ797" i="2"/>
  <c r="AJ798" i="2"/>
  <c r="AJ799" i="2"/>
  <c r="AJ800" i="2"/>
  <c r="AJ801" i="2"/>
  <c r="AJ802" i="2"/>
  <c r="AJ803" i="2"/>
  <c r="AJ804" i="2"/>
  <c r="AJ805" i="2"/>
  <c r="AJ806" i="2"/>
  <c r="AJ807" i="2"/>
  <c r="AJ808" i="2"/>
  <c r="AJ809" i="2"/>
  <c r="AJ810" i="2"/>
  <c r="AJ811" i="2"/>
  <c r="AJ812" i="2"/>
  <c r="AJ813" i="2"/>
  <c r="AJ814" i="2"/>
  <c r="AJ815" i="2"/>
  <c r="AJ816" i="2"/>
  <c r="AJ817" i="2"/>
  <c r="AJ818" i="2"/>
  <c r="AJ819" i="2"/>
  <c r="AJ820" i="2"/>
  <c r="AJ821" i="2"/>
  <c r="AJ822" i="2"/>
  <c r="AJ823" i="2"/>
  <c r="AJ824" i="2"/>
  <c r="AJ825" i="2"/>
  <c r="AJ826" i="2"/>
  <c r="AJ827" i="2"/>
  <c r="AJ828" i="2"/>
  <c r="AJ829" i="2"/>
  <c r="AJ830" i="2"/>
  <c r="AJ831" i="2"/>
  <c r="AJ832" i="2"/>
  <c r="AJ833" i="2"/>
  <c r="AJ834" i="2"/>
  <c r="AJ835" i="2"/>
  <c r="AJ836" i="2"/>
  <c r="AJ837" i="2"/>
  <c r="AJ838" i="2"/>
  <c r="AJ839" i="2"/>
  <c r="AJ840" i="2"/>
  <c r="AJ841" i="2"/>
  <c r="AJ842" i="2"/>
  <c r="AJ843" i="2"/>
  <c r="AJ844" i="2"/>
  <c r="AJ845" i="2"/>
  <c r="AJ846" i="2"/>
  <c r="AJ847" i="2"/>
  <c r="AJ848" i="2"/>
  <c r="AJ849" i="2"/>
  <c r="AJ850" i="2"/>
  <c r="AJ851" i="2"/>
  <c r="AJ852" i="2"/>
  <c r="AJ853" i="2"/>
  <c r="AJ854" i="2"/>
  <c r="AJ855" i="2"/>
  <c r="AJ856" i="2"/>
  <c r="AJ857" i="2"/>
  <c r="AJ858" i="2"/>
  <c r="AJ859" i="2"/>
  <c r="AJ860" i="2"/>
  <c r="AJ861" i="2"/>
  <c r="AJ862" i="2"/>
  <c r="AJ863" i="2"/>
  <c r="AJ864" i="2"/>
  <c r="AJ865" i="2"/>
  <c r="AJ866" i="2"/>
  <c r="AJ867" i="2"/>
  <c r="AJ868" i="2"/>
  <c r="AJ869" i="2"/>
  <c r="AJ870" i="2"/>
  <c r="AJ871" i="2"/>
  <c r="AJ872" i="2"/>
  <c r="AJ873" i="2"/>
  <c r="AJ874" i="2"/>
  <c r="AJ875" i="2"/>
  <c r="AJ876" i="2"/>
  <c r="AJ877" i="2"/>
  <c r="AJ878" i="2"/>
  <c r="AJ879" i="2"/>
  <c r="AJ880" i="2"/>
  <c r="AJ881" i="2"/>
  <c r="AJ882" i="2"/>
  <c r="AJ883" i="2"/>
  <c r="AJ884" i="2"/>
  <c r="AJ885" i="2"/>
  <c r="AJ886" i="2"/>
  <c r="AJ887" i="2"/>
  <c r="AJ888" i="2"/>
  <c r="AJ889" i="2"/>
  <c r="AJ890" i="2"/>
  <c r="AJ891" i="2"/>
  <c r="AJ892" i="2"/>
  <c r="AJ893" i="2"/>
  <c r="AJ894" i="2"/>
  <c r="AJ895" i="2"/>
  <c r="AJ896" i="2"/>
  <c r="AJ897" i="2"/>
  <c r="AJ898" i="2"/>
  <c r="AJ899" i="2"/>
  <c r="AJ900" i="2"/>
  <c r="AJ901" i="2"/>
  <c r="AJ902" i="2"/>
  <c r="AJ903" i="2"/>
  <c r="AJ904" i="2"/>
  <c r="AJ905" i="2"/>
  <c r="AJ906" i="2"/>
  <c r="AJ907" i="2"/>
  <c r="AJ908" i="2"/>
  <c r="AJ909" i="2"/>
  <c r="AJ910" i="2"/>
  <c r="AJ911" i="2"/>
  <c r="AJ912" i="2"/>
  <c r="AJ913" i="2"/>
  <c r="AJ914" i="2"/>
  <c r="AJ915" i="2"/>
  <c r="AJ916" i="2"/>
  <c r="AJ917" i="2"/>
  <c r="AJ918" i="2"/>
  <c r="AJ919" i="2"/>
  <c r="AJ920" i="2"/>
  <c r="AJ921" i="2"/>
  <c r="AJ922" i="2"/>
  <c r="AJ923" i="2"/>
  <c r="AJ924" i="2"/>
  <c r="AJ925" i="2"/>
  <c r="AJ926" i="2"/>
  <c r="AJ927" i="2"/>
  <c r="AJ928" i="2"/>
  <c r="AJ929" i="2"/>
  <c r="AJ930" i="2"/>
  <c r="AJ931" i="2"/>
  <c r="AJ932" i="2"/>
  <c r="AJ933" i="2"/>
  <c r="AJ934" i="2"/>
  <c r="AJ935" i="2"/>
  <c r="AJ936" i="2"/>
  <c r="AJ937" i="2"/>
  <c r="AJ938" i="2"/>
  <c r="AJ939" i="2"/>
  <c r="AJ940" i="2"/>
  <c r="AJ941" i="2"/>
  <c r="AJ942" i="2"/>
  <c r="AJ943" i="2"/>
  <c r="AJ944" i="2"/>
  <c r="AJ945" i="2"/>
  <c r="AJ946" i="2"/>
  <c r="AJ947" i="2"/>
  <c r="AJ948" i="2"/>
  <c r="AJ949" i="2"/>
  <c r="AJ950" i="2"/>
  <c r="AJ951" i="2"/>
  <c r="AJ952" i="2"/>
  <c r="AJ953" i="2"/>
  <c r="AJ954" i="2"/>
  <c r="AJ955" i="2"/>
  <c r="AJ956" i="2"/>
  <c r="AJ957" i="2"/>
  <c r="AJ958" i="2"/>
  <c r="AJ959" i="2"/>
  <c r="AJ960" i="2"/>
  <c r="AJ961" i="2"/>
  <c r="AJ962" i="2"/>
  <c r="AJ963" i="2"/>
  <c r="AJ964" i="2"/>
  <c r="AJ965" i="2"/>
  <c r="AJ966" i="2"/>
  <c r="AJ967" i="2"/>
  <c r="AJ968" i="2"/>
  <c r="AJ969" i="2"/>
  <c r="AJ970" i="2"/>
  <c r="AJ971" i="2"/>
  <c r="AJ972" i="2"/>
  <c r="AJ973" i="2"/>
  <c r="AJ974" i="2"/>
  <c r="AJ975" i="2"/>
  <c r="AJ976" i="2"/>
  <c r="AJ977" i="2"/>
  <c r="AJ978" i="2"/>
  <c r="AJ979" i="2"/>
  <c r="AJ980" i="2"/>
  <c r="AJ981" i="2"/>
  <c r="AJ982" i="2"/>
  <c r="AJ983" i="2"/>
  <c r="AJ984" i="2"/>
  <c r="AJ985" i="2"/>
  <c r="AJ986" i="2"/>
  <c r="AJ987" i="2"/>
  <c r="AJ988" i="2"/>
  <c r="AJ989" i="2"/>
  <c r="AJ990" i="2"/>
  <c r="AJ991" i="2"/>
  <c r="AJ992" i="2"/>
  <c r="AJ993" i="2"/>
  <c r="AJ994" i="2"/>
  <c r="AJ995" i="2"/>
  <c r="AJ996" i="2"/>
  <c r="AJ997" i="2"/>
  <c r="AJ998" i="2"/>
  <c r="AJ999" i="2"/>
  <c r="AJ1000" i="2"/>
  <c r="AJ1001" i="2"/>
  <c r="AJ1002" i="2"/>
  <c r="AJ1003" i="2"/>
  <c r="AJ1004" i="2"/>
  <c r="AJ1005" i="2"/>
  <c r="AJ1006" i="2"/>
  <c r="AJ1007" i="2"/>
  <c r="AJ1008" i="2"/>
  <c r="AJ1009" i="2"/>
  <c r="AJ1010" i="2"/>
  <c r="AJ1011" i="2"/>
  <c r="AJ1012" i="2"/>
  <c r="AJ1013" i="2"/>
  <c r="AJ1014" i="2"/>
  <c r="AJ1015" i="2"/>
  <c r="AJ1016" i="2"/>
  <c r="AJ1017" i="2"/>
  <c r="AJ1018" i="2"/>
  <c r="AJ1019" i="2"/>
  <c r="AJ1020" i="2"/>
  <c r="AJ1021" i="2"/>
  <c r="AJ1022" i="2"/>
  <c r="AJ1023" i="2"/>
  <c r="AJ1024" i="2"/>
  <c r="AJ1025" i="2"/>
  <c r="AJ1026" i="2"/>
  <c r="AJ1027" i="2"/>
  <c r="AJ1028" i="2"/>
  <c r="AJ1029" i="2"/>
  <c r="AJ1030" i="2"/>
  <c r="AJ1031" i="2"/>
  <c r="AJ1032" i="2"/>
  <c r="AJ1033" i="2"/>
  <c r="AJ1034" i="2"/>
  <c r="AJ1035" i="2"/>
  <c r="AJ1036" i="2"/>
  <c r="AJ1037" i="2"/>
  <c r="AJ1038" i="2"/>
  <c r="AJ1039" i="2"/>
  <c r="AJ1040" i="2"/>
  <c r="AJ1041" i="2"/>
  <c r="AJ1042" i="2"/>
  <c r="AJ1043" i="2"/>
  <c r="AJ1044" i="2"/>
  <c r="AJ1045" i="2"/>
  <c r="AJ1046" i="2"/>
  <c r="AJ1047" i="2"/>
  <c r="AJ1048" i="2"/>
  <c r="AJ1049" i="2"/>
  <c r="AJ1050" i="2"/>
  <c r="AJ1051" i="2"/>
  <c r="AJ1052" i="2"/>
  <c r="AJ1053" i="2"/>
  <c r="AJ1054" i="2"/>
  <c r="AJ1055" i="2"/>
  <c r="AJ1056" i="2"/>
  <c r="AJ1057" i="2"/>
  <c r="AJ1058" i="2"/>
  <c r="AJ1059" i="2"/>
  <c r="AJ1060" i="2"/>
  <c r="AJ1061" i="2"/>
  <c r="AJ1062" i="2"/>
  <c r="AJ1063" i="2"/>
  <c r="AJ1064" i="2"/>
  <c r="AJ1065" i="2"/>
  <c r="AJ1066" i="2"/>
  <c r="AJ1067" i="2"/>
  <c r="AJ1068" i="2"/>
  <c r="AJ1069" i="2"/>
  <c r="AJ1070" i="2"/>
  <c r="AJ1071" i="2"/>
  <c r="AJ1072" i="2"/>
  <c r="AJ1073" i="2"/>
  <c r="AJ1074" i="2"/>
  <c r="AJ1075" i="2"/>
  <c r="AJ1076" i="2"/>
  <c r="AJ1077" i="2"/>
  <c r="AJ1078" i="2"/>
  <c r="AJ1079" i="2"/>
  <c r="AJ1080" i="2"/>
  <c r="AJ1081" i="2"/>
  <c r="AJ1082" i="2"/>
  <c r="AJ1083" i="2"/>
  <c r="AJ1084" i="2"/>
  <c r="AJ1085" i="2"/>
  <c r="AJ1086" i="2"/>
  <c r="AJ1087" i="2"/>
  <c r="AJ1088" i="2"/>
  <c r="AJ1089" i="2"/>
  <c r="AJ1090" i="2"/>
  <c r="AJ1091" i="2"/>
  <c r="AJ1092" i="2"/>
  <c r="AJ1093" i="2"/>
  <c r="AJ1094" i="2"/>
  <c r="AJ1095" i="2"/>
  <c r="AJ1096" i="2"/>
  <c r="AJ1097" i="2"/>
  <c r="AJ1098" i="2"/>
  <c r="AJ1099" i="2"/>
  <c r="AJ1100" i="2"/>
  <c r="AJ1101" i="2"/>
  <c r="AJ1102" i="2"/>
  <c r="AJ1103" i="2"/>
  <c r="AJ1104" i="2"/>
  <c r="AJ1105" i="2"/>
  <c r="AJ1106" i="2"/>
  <c r="AJ1107" i="2"/>
  <c r="AJ1108" i="2"/>
  <c r="AJ1109" i="2"/>
  <c r="AJ1110" i="2"/>
  <c r="AJ1111" i="2"/>
  <c r="AJ1112" i="2"/>
  <c r="AJ1113" i="2"/>
  <c r="AJ1114" i="2"/>
  <c r="AJ1115" i="2"/>
  <c r="AJ1116" i="2"/>
  <c r="AJ1117" i="2"/>
  <c r="AJ1118" i="2"/>
  <c r="AJ1119" i="2"/>
  <c r="AJ1120" i="2"/>
  <c r="AJ1121" i="2"/>
  <c r="AJ1122" i="2"/>
  <c r="AJ1123" i="2"/>
  <c r="AJ1124" i="2"/>
  <c r="AJ1125" i="2"/>
  <c r="AJ1126" i="2"/>
  <c r="AJ1127" i="2"/>
  <c r="AJ1128" i="2"/>
  <c r="AJ1129" i="2"/>
  <c r="AJ1130" i="2"/>
  <c r="AJ1131" i="2"/>
  <c r="AJ1132" i="2"/>
  <c r="AJ1133" i="2"/>
  <c r="AJ1134" i="2"/>
  <c r="AJ1135" i="2"/>
  <c r="AJ1136" i="2"/>
  <c r="AJ1137" i="2"/>
  <c r="AJ1138" i="2"/>
  <c r="AJ1139" i="2"/>
  <c r="AJ1140" i="2"/>
  <c r="AJ1141" i="2"/>
  <c r="AJ1142" i="2"/>
  <c r="AJ1143" i="2"/>
  <c r="AJ1144" i="2"/>
  <c r="AJ1145" i="2"/>
  <c r="AJ1146" i="2"/>
  <c r="AJ1147" i="2"/>
  <c r="AJ1148" i="2"/>
  <c r="AJ1149" i="2"/>
  <c r="AJ1150" i="2"/>
  <c r="AJ1151" i="2"/>
  <c r="AJ1152" i="2"/>
  <c r="AJ1153" i="2"/>
  <c r="AJ1154" i="2"/>
  <c r="AJ1155" i="2"/>
  <c r="AJ1156" i="2"/>
  <c r="AJ1157" i="2"/>
  <c r="AJ1158" i="2"/>
  <c r="AJ1159" i="2"/>
  <c r="AJ1160" i="2"/>
  <c r="AJ1161" i="2"/>
  <c r="AJ1162" i="2"/>
  <c r="AJ1163" i="2"/>
  <c r="AJ1164" i="2"/>
  <c r="AJ1165" i="2"/>
  <c r="AJ1166" i="2"/>
  <c r="AJ1167" i="2"/>
  <c r="AJ1168" i="2"/>
  <c r="AJ1169" i="2"/>
  <c r="AJ1170" i="2"/>
  <c r="AJ1171" i="2"/>
  <c r="AJ1172" i="2"/>
  <c r="AJ1173" i="2"/>
  <c r="AJ1174" i="2"/>
  <c r="AJ1175" i="2"/>
  <c r="AJ1176" i="2"/>
  <c r="AJ1177" i="2"/>
  <c r="AJ1178" i="2"/>
  <c r="AJ1179" i="2"/>
  <c r="AJ1180" i="2"/>
  <c r="AJ1181" i="2"/>
  <c r="AJ1182" i="2"/>
  <c r="AJ1183" i="2"/>
  <c r="AJ1184" i="2"/>
  <c r="AJ1185" i="2"/>
  <c r="AJ1186" i="2"/>
  <c r="AJ1187" i="2"/>
  <c r="AJ1188" i="2"/>
  <c r="AJ1189" i="2"/>
  <c r="AJ1190" i="2"/>
  <c r="AJ1191" i="2"/>
  <c r="AJ1192" i="2"/>
  <c r="AJ1193" i="2"/>
  <c r="AJ1194" i="2"/>
  <c r="AJ1195" i="2"/>
  <c r="AJ1196" i="2"/>
  <c r="AJ1197" i="2"/>
  <c r="AJ1198" i="2"/>
  <c r="AJ1199" i="2"/>
  <c r="AJ1200" i="2"/>
  <c r="AJ1201" i="2"/>
  <c r="AJ1202" i="2"/>
  <c r="AJ1203" i="2"/>
  <c r="AJ1204" i="2"/>
  <c r="AJ1205" i="2"/>
  <c r="AJ1206" i="2"/>
  <c r="AJ1207" i="2"/>
  <c r="AJ1208" i="2"/>
  <c r="AJ1209" i="2"/>
  <c r="AJ1210" i="2"/>
  <c r="AJ1211" i="2"/>
  <c r="AJ1212" i="2"/>
  <c r="AJ1213" i="2"/>
  <c r="AJ1214" i="2"/>
  <c r="AJ1215" i="2"/>
  <c r="AJ1216" i="2"/>
  <c r="AJ1217" i="2"/>
  <c r="AJ1218" i="2"/>
  <c r="AJ1219" i="2"/>
  <c r="AJ1220" i="2"/>
  <c r="AJ1221" i="2"/>
  <c r="AJ1222" i="2"/>
  <c r="AJ1223" i="2"/>
  <c r="AJ1224" i="2"/>
  <c r="AJ1225" i="2"/>
  <c r="AJ1226" i="2"/>
  <c r="AJ1227" i="2"/>
  <c r="AJ1228" i="2"/>
  <c r="AJ1229" i="2"/>
  <c r="AJ1230" i="2"/>
  <c r="AJ1231" i="2"/>
  <c r="AJ1232" i="2"/>
  <c r="AJ1233" i="2"/>
  <c r="AJ1234" i="2"/>
  <c r="AJ1235" i="2"/>
  <c r="AJ1236" i="2"/>
  <c r="AJ1237" i="2"/>
  <c r="AJ1238" i="2"/>
  <c r="AJ1239" i="2"/>
  <c r="AJ1240" i="2"/>
  <c r="AJ1241" i="2"/>
  <c r="AJ1242" i="2"/>
  <c r="AJ1243" i="2"/>
  <c r="AJ1244" i="2"/>
  <c r="AJ1245" i="2"/>
  <c r="AJ1246" i="2"/>
  <c r="AJ1247" i="2"/>
  <c r="AJ1248" i="2"/>
  <c r="AJ1249" i="2"/>
  <c r="AJ1250" i="2"/>
  <c r="AJ1251" i="2"/>
  <c r="AJ1252" i="2"/>
  <c r="AJ1253" i="2"/>
  <c r="AJ1254" i="2"/>
  <c r="AJ1255" i="2"/>
  <c r="AJ1256" i="2"/>
  <c r="AJ1257" i="2"/>
  <c r="AJ1258" i="2"/>
  <c r="AJ1259" i="2"/>
  <c r="AJ1260" i="2"/>
  <c r="AJ1261" i="2"/>
  <c r="AJ1262" i="2"/>
  <c r="AJ1263" i="2"/>
  <c r="AJ1264" i="2"/>
  <c r="AJ1265" i="2"/>
  <c r="AJ1266" i="2"/>
  <c r="AJ1267" i="2"/>
  <c r="AJ1268" i="2"/>
  <c r="AJ1269" i="2"/>
  <c r="AJ1270" i="2"/>
  <c r="AJ1271" i="2"/>
  <c r="AJ1272" i="2"/>
  <c r="AJ1273" i="2"/>
  <c r="AJ1274" i="2"/>
  <c r="AJ1275" i="2"/>
  <c r="AJ1276" i="2"/>
  <c r="AJ1277" i="2"/>
  <c r="AJ1278" i="2"/>
  <c r="AJ1279" i="2"/>
  <c r="AJ1280" i="2"/>
  <c r="AJ1281" i="2"/>
  <c r="AJ1282" i="2"/>
  <c r="AJ1283" i="2"/>
  <c r="AJ1284" i="2"/>
  <c r="AJ1285" i="2"/>
  <c r="AJ1286" i="2"/>
  <c r="AJ1287" i="2"/>
  <c r="AJ1288" i="2"/>
  <c r="AJ1289" i="2"/>
  <c r="AJ1290" i="2"/>
  <c r="AJ1291" i="2"/>
  <c r="AJ1292" i="2"/>
  <c r="AJ1293" i="2"/>
  <c r="AJ1294" i="2"/>
  <c r="AJ1295" i="2"/>
  <c r="AJ1296" i="2"/>
  <c r="AJ1297" i="2"/>
  <c r="AJ1298" i="2"/>
  <c r="AJ1299" i="2"/>
  <c r="AJ1300" i="2"/>
  <c r="AJ1301" i="2"/>
  <c r="AJ1302" i="2"/>
  <c r="AJ1303" i="2"/>
  <c r="AJ1304" i="2"/>
  <c r="AJ1305" i="2"/>
  <c r="AJ1306" i="2"/>
  <c r="AJ1307" i="2"/>
  <c r="AJ1308" i="2"/>
  <c r="AJ1309" i="2"/>
  <c r="AJ1310" i="2"/>
  <c r="AJ1311" i="2"/>
  <c r="AJ1312" i="2"/>
  <c r="AJ1313" i="2"/>
  <c r="AJ1314" i="2"/>
  <c r="AJ1315" i="2"/>
  <c r="AJ1316" i="2"/>
  <c r="AJ1317" i="2"/>
  <c r="AJ1318" i="2"/>
  <c r="AJ1319" i="2"/>
  <c r="AJ1320" i="2"/>
  <c r="AJ1321" i="2"/>
  <c r="AJ1322" i="2"/>
  <c r="AJ1323" i="2"/>
  <c r="AJ1324" i="2"/>
  <c r="AJ1325" i="2"/>
  <c r="AJ1326" i="2"/>
  <c r="AJ1327" i="2"/>
  <c r="AJ1328" i="2"/>
  <c r="AJ1329" i="2"/>
  <c r="AJ1330" i="2"/>
  <c r="AJ1331" i="2"/>
  <c r="AJ1332" i="2"/>
  <c r="AJ1333" i="2"/>
  <c r="AJ1334" i="2"/>
  <c r="AJ1335" i="2"/>
  <c r="AJ1336" i="2"/>
  <c r="AJ1337" i="2"/>
  <c r="AJ1338" i="2"/>
  <c r="AJ1339" i="2"/>
  <c r="AJ1340" i="2"/>
  <c r="AJ1341" i="2"/>
  <c r="AJ1342" i="2"/>
  <c r="AJ1343" i="2"/>
  <c r="AJ1344" i="2"/>
  <c r="AJ1345" i="2"/>
  <c r="AJ1346" i="2"/>
  <c r="AJ1347" i="2"/>
  <c r="AJ1348" i="2"/>
  <c r="AJ1349" i="2"/>
  <c r="AJ1350" i="2"/>
  <c r="AJ1351" i="2"/>
  <c r="AJ1352" i="2"/>
  <c r="AJ1353" i="2"/>
  <c r="AJ1354" i="2"/>
  <c r="AJ1355" i="2"/>
  <c r="AJ1356" i="2"/>
  <c r="AJ1357" i="2"/>
  <c r="AJ1358" i="2"/>
  <c r="AJ1359" i="2"/>
  <c r="AJ1360" i="2"/>
  <c r="AJ1361" i="2"/>
  <c r="AJ1362" i="2"/>
  <c r="AJ1363" i="2"/>
  <c r="AJ1364" i="2"/>
  <c r="AJ1365" i="2"/>
  <c r="AJ1366" i="2"/>
  <c r="AJ1367" i="2"/>
  <c r="AJ1368" i="2"/>
  <c r="AJ1369" i="2"/>
  <c r="AJ1370" i="2"/>
  <c r="AJ1371" i="2"/>
  <c r="AJ1372" i="2"/>
  <c r="AJ1373" i="2"/>
  <c r="AJ1374" i="2"/>
  <c r="AJ1375" i="2"/>
  <c r="AJ1376" i="2"/>
  <c r="AJ1377" i="2"/>
  <c r="AJ1378" i="2"/>
  <c r="AJ1379" i="2"/>
  <c r="AJ1380" i="2"/>
  <c r="AJ1381" i="2"/>
  <c r="AJ1382" i="2"/>
  <c r="AJ1383" i="2"/>
  <c r="AJ1384" i="2"/>
  <c r="AJ1385" i="2"/>
  <c r="AJ1386" i="2"/>
  <c r="AJ1387" i="2"/>
  <c r="AJ1388" i="2"/>
  <c r="AJ1389" i="2"/>
  <c r="AJ1390" i="2"/>
  <c r="AJ1391" i="2"/>
  <c r="AJ1392" i="2"/>
  <c r="AJ1393" i="2"/>
  <c r="AJ1394" i="2"/>
  <c r="AJ1395" i="2"/>
  <c r="AJ1396" i="2"/>
  <c r="AJ1397" i="2"/>
  <c r="AJ1398" i="2"/>
  <c r="AJ1399" i="2"/>
  <c r="AJ1400" i="2"/>
  <c r="AJ1401" i="2"/>
  <c r="AJ1402" i="2"/>
  <c r="AJ1403" i="2"/>
  <c r="AJ1404" i="2"/>
  <c r="AJ1405" i="2"/>
  <c r="AJ1406" i="2"/>
  <c r="AJ1407" i="2"/>
  <c r="AJ1408" i="2"/>
  <c r="AJ1409" i="2"/>
  <c r="AJ1410" i="2"/>
  <c r="AJ1411" i="2"/>
  <c r="AJ1412" i="2"/>
  <c r="AJ1413" i="2"/>
  <c r="AJ1414" i="2"/>
  <c r="AJ1415" i="2"/>
  <c r="AJ1416" i="2"/>
  <c r="AJ1417" i="2"/>
  <c r="AJ1418" i="2"/>
  <c r="AJ1419" i="2"/>
  <c r="AJ1420" i="2"/>
  <c r="AJ1421" i="2"/>
  <c r="AJ1422" i="2"/>
  <c r="AJ1423" i="2"/>
  <c r="AJ1424" i="2"/>
  <c r="AJ1425" i="2"/>
  <c r="AJ1426" i="2"/>
  <c r="AJ1427" i="2"/>
  <c r="AJ1428" i="2"/>
  <c r="AJ1429" i="2"/>
  <c r="AJ1430" i="2"/>
  <c r="AJ1431" i="2"/>
  <c r="AJ1432" i="2"/>
  <c r="AJ1433" i="2"/>
  <c r="AJ1434" i="2"/>
  <c r="AJ1435" i="2"/>
  <c r="AJ1436" i="2"/>
  <c r="AJ1437" i="2"/>
  <c r="AJ1438" i="2"/>
  <c r="AJ1439" i="2"/>
  <c r="AJ1440" i="2"/>
  <c r="AJ1441" i="2"/>
  <c r="AJ1442" i="2"/>
  <c r="AJ1443" i="2"/>
  <c r="AJ1444" i="2"/>
  <c r="AJ1445" i="2"/>
  <c r="AJ1446" i="2"/>
  <c r="AJ1447" i="2"/>
  <c r="AJ1448" i="2"/>
  <c r="AJ1449" i="2"/>
  <c r="AJ1450" i="2"/>
  <c r="AJ1451" i="2"/>
  <c r="AJ1452" i="2"/>
  <c r="AJ1453" i="2"/>
  <c r="AJ1454" i="2"/>
  <c r="AJ1455" i="2"/>
  <c r="AJ1456" i="2"/>
  <c r="AJ1457" i="2"/>
  <c r="AJ1458" i="2"/>
  <c r="AJ1459" i="2"/>
  <c r="AJ1460" i="2"/>
  <c r="AJ1461" i="2"/>
  <c r="AJ1462" i="2"/>
  <c r="AJ1463" i="2"/>
  <c r="AJ1464" i="2"/>
  <c r="AJ1465" i="2"/>
  <c r="AJ1466" i="2"/>
  <c r="AJ1467" i="2"/>
  <c r="AJ1468" i="2"/>
  <c r="AJ1469" i="2"/>
  <c r="AJ1470" i="2"/>
  <c r="AJ1471" i="2"/>
  <c r="AI2" i="2"/>
  <c r="AI3" i="2"/>
  <c r="AI4" i="2"/>
  <c r="AI5" i="2"/>
  <c r="AI6" i="2"/>
  <c r="AI7" i="2"/>
  <c r="AI8" i="2"/>
  <c r="AI9" i="2"/>
  <c r="AI10" i="2"/>
  <c r="AI11" i="2"/>
  <c r="AI12" i="2"/>
  <c r="AI13" i="2"/>
  <c r="AI14" i="2"/>
  <c r="AI15" i="2"/>
  <c r="AI16" i="2"/>
  <c r="AI17" i="2"/>
  <c r="AI18" i="2"/>
  <c r="AI19" i="2"/>
  <c r="AI20" i="2"/>
  <c r="AI21" i="2"/>
  <c r="AI22" i="2"/>
  <c r="AI23" i="2"/>
  <c r="AI24" i="2"/>
  <c r="AI25" i="2"/>
  <c r="AI26" i="2"/>
  <c r="AI27" i="2"/>
  <c r="AI28" i="2"/>
  <c r="AI29" i="2"/>
  <c r="AI30" i="2"/>
  <c r="AI31" i="2"/>
  <c r="AI32" i="2"/>
  <c r="AI33" i="2"/>
  <c r="AI34" i="2"/>
  <c r="AI35" i="2"/>
  <c r="AI36" i="2"/>
  <c r="AI37" i="2"/>
  <c r="AI38" i="2"/>
  <c r="AI39" i="2"/>
  <c r="AI40" i="2"/>
  <c r="AI41" i="2"/>
  <c r="AI42" i="2"/>
  <c r="AI43" i="2"/>
  <c r="AI44" i="2"/>
  <c r="AI45" i="2"/>
  <c r="AI46" i="2"/>
  <c r="AI47" i="2"/>
  <c r="AI48" i="2"/>
  <c r="AI49" i="2"/>
  <c r="AI50" i="2"/>
  <c r="AI51" i="2"/>
  <c r="AI52" i="2"/>
  <c r="AI53" i="2"/>
  <c r="AI54" i="2"/>
  <c r="AI55" i="2"/>
  <c r="AI56" i="2"/>
  <c r="AI57" i="2"/>
  <c r="AI58" i="2"/>
  <c r="AI59" i="2"/>
  <c r="AI60" i="2"/>
  <c r="AI61" i="2"/>
  <c r="AI62" i="2"/>
  <c r="AI63" i="2"/>
  <c r="AI64" i="2"/>
  <c r="AI65" i="2"/>
  <c r="AI66" i="2"/>
  <c r="AI67" i="2"/>
  <c r="AI68" i="2"/>
  <c r="AI69" i="2"/>
  <c r="AI70" i="2"/>
  <c r="AI71" i="2"/>
  <c r="AI72" i="2"/>
  <c r="AI73" i="2"/>
  <c r="AI74" i="2"/>
  <c r="AI75" i="2"/>
  <c r="AI76" i="2"/>
  <c r="AI77" i="2"/>
  <c r="AI78" i="2"/>
  <c r="AI79" i="2"/>
  <c r="AI80" i="2"/>
  <c r="AI81" i="2"/>
  <c r="AI82" i="2"/>
  <c r="AI83" i="2"/>
  <c r="AI84" i="2"/>
  <c r="AI85" i="2"/>
  <c r="AI86" i="2"/>
  <c r="AI87" i="2"/>
  <c r="AI88" i="2"/>
  <c r="AI89" i="2"/>
  <c r="AI90" i="2"/>
  <c r="AI91" i="2"/>
  <c r="AI92" i="2"/>
  <c r="AI93" i="2"/>
  <c r="AI94" i="2"/>
  <c r="AI95" i="2"/>
  <c r="AI96" i="2"/>
  <c r="AI97" i="2"/>
  <c r="AI98" i="2"/>
  <c r="AI99" i="2"/>
  <c r="AI100" i="2"/>
  <c r="AI101" i="2"/>
  <c r="AI102" i="2"/>
  <c r="AI103" i="2"/>
  <c r="AI104" i="2"/>
  <c r="AI105" i="2"/>
  <c r="AI106" i="2"/>
  <c r="AI107" i="2"/>
  <c r="AI108" i="2"/>
  <c r="AI109" i="2"/>
  <c r="AI110" i="2"/>
  <c r="AI111" i="2"/>
  <c r="AI112" i="2"/>
  <c r="AI113" i="2"/>
  <c r="AI114" i="2"/>
  <c r="AI115" i="2"/>
  <c r="AI116" i="2"/>
  <c r="AI117" i="2"/>
  <c r="AI118" i="2"/>
  <c r="AI119" i="2"/>
  <c r="AI120" i="2"/>
  <c r="AI121" i="2"/>
  <c r="AI122" i="2"/>
  <c r="AI123" i="2"/>
  <c r="AI124" i="2"/>
  <c r="AI125" i="2"/>
  <c r="AI126" i="2"/>
  <c r="AI127" i="2"/>
  <c r="AI128" i="2"/>
  <c r="AI129" i="2"/>
  <c r="AI130" i="2"/>
  <c r="AI131" i="2"/>
  <c r="AI132" i="2"/>
  <c r="AI133" i="2"/>
  <c r="AI134" i="2"/>
  <c r="AI135" i="2"/>
  <c r="AI136" i="2"/>
  <c r="AI137" i="2"/>
  <c r="AI138" i="2"/>
  <c r="AI139" i="2"/>
  <c r="AI140" i="2"/>
  <c r="AI141" i="2"/>
  <c r="AI142" i="2"/>
  <c r="AI143" i="2"/>
  <c r="AI144" i="2"/>
  <c r="AI145" i="2"/>
  <c r="AI146" i="2"/>
  <c r="AI147" i="2"/>
  <c r="AI148" i="2"/>
  <c r="AI149" i="2"/>
  <c r="AI150" i="2"/>
  <c r="AI151" i="2"/>
  <c r="AI152" i="2"/>
  <c r="AI153" i="2"/>
  <c r="AI154" i="2"/>
  <c r="AI155" i="2"/>
  <c r="AI156" i="2"/>
  <c r="AI157" i="2"/>
  <c r="AI158" i="2"/>
  <c r="AI159" i="2"/>
  <c r="AI160" i="2"/>
  <c r="AI161" i="2"/>
  <c r="AI162" i="2"/>
  <c r="AI163" i="2"/>
  <c r="AI164" i="2"/>
  <c r="AI165" i="2"/>
  <c r="AI166" i="2"/>
  <c r="AI167" i="2"/>
  <c r="AI168" i="2"/>
  <c r="AI169" i="2"/>
  <c r="AI170" i="2"/>
  <c r="AI171" i="2"/>
  <c r="AI172" i="2"/>
  <c r="AI173" i="2"/>
  <c r="AI174" i="2"/>
  <c r="AI175" i="2"/>
  <c r="AI176" i="2"/>
  <c r="AI177" i="2"/>
  <c r="AI178" i="2"/>
  <c r="AI179" i="2"/>
  <c r="AI180" i="2"/>
  <c r="AI181" i="2"/>
  <c r="AI182" i="2"/>
  <c r="AI183" i="2"/>
  <c r="AI184" i="2"/>
  <c r="AI185" i="2"/>
  <c r="AI186" i="2"/>
  <c r="AI187" i="2"/>
  <c r="AI188" i="2"/>
  <c r="AI189" i="2"/>
  <c r="AI190" i="2"/>
  <c r="AI191" i="2"/>
  <c r="AI192" i="2"/>
  <c r="AI193" i="2"/>
  <c r="AI194" i="2"/>
  <c r="AI195" i="2"/>
  <c r="AI196" i="2"/>
  <c r="AI197" i="2"/>
  <c r="AI198" i="2"/>
  <c r="AI199" i="2"/>
  <c r="AI200" i="2"/>
  <c r="AI201" i="2"/>
  <c r="AI202" i="2"/>
  <c r="AI203" i="2"/>
  <c r="AI204" i="2"/>
  <c r="AI205" i="2"/>
  <c r="AI206" i="2"/>
  <c r="AI207" i="2"/>
  <c r="AI208" i="2"/>
  <c r="AI209" i="2"/>
  <c r="AI210" i="2"/>
  <c r="AI211" i="2"/>
  <c r="AI212" i="2"/>
  <c r="AI213" i="2"/>
  <c r="AI214" i="2"/>
  <c r="AI215" i="2"/>
  <c r="AI216" i="2"/>
  <c r="AI217" i="2"/>
  <c r="AI218" i="2"/>
  <c r="AI219" i="2"/>
  <c r="AI220" i="2"/>
  <c r="AI221" i="2"/>
  <c r="AI222" i="2"/>
  <c r="AI223" i="2"/>
  <c r="AI224" i="2"/>
  <c r="AI225" i="2"/>
  <c r="AI226" i="2"/>
  <c r="AI227" i="2"/>
  <c r="AI228" i="2"/>
  <c r="AI229" i="2"/>
  <c r="AI230" i="2"/>
  <c r="AI231" i="2"/>
  <c r="AI232" i="2"/>
  <c r="AI233" i="2"/>
  <c r="AI234" i="2"/>
  <c r="AI235" i="2"/>
  <c r="AI236" i="2"/>
  <c r="AI237" i="2"/>
  <c r="AI238" i="2"/>
  <c r="AI239" i="2"/>
  <c r="AI240" i="2"/>
  <c r="AI241" i="2"/>
  <c r="AI242" i="2"/>
  <c r="AI243" i="2"/>
  <c r="AI244" i="2"/>
  <c r="AI245" i="2"/>
  <c r="AI246" i="2"/>
  <c r="AI247" i="2"/>
  <c r="AI248" i="2"/>
  <c r="AI249" i="2"/>
  <c r="AI250" i="2"/>
  <c r="AI251" i="2"/>
  <c r="AI252" i="2"/>
  <c r="AI253" i="2"/>
  <c r="AI254" i="2"/>
  <c r="AI255" i="2"/>
  <c r="AI256" i="2"/>
  <c r="AI257" i="2"/>
  <c r="AI258" i="2"/>
  <c r="AI259" i="2"/>
  <c r="AI260" i="2"/>
  <c r="AI261" i="2"/>
  <c r="AI262" i="2"/>
  <c r="AI263" i="2"/>
  <c r="AI264" i="2"/>
  <c r="AI265" i="2"/>
  <c r="AI266" i="2"/>
  <c r="AI267" i="2"/>
  <c r="AI268" i="2"/>
  <c r="AI269" i="2"/>
  <c r="AI270" i="2"/>
  <c r="AI271" i="2"/>
  <c r="AI272" i="2"/>
  <c r="AI273" i="2"/>
  <c r="AI274" i="2"/>
  <c r="AI275" i="2"/>
  <c r="AI276" i="2"/>
  <c r="AI277" i="2"/>
  <c r="AI278" i="2"/>
  <c r="AI279" i="2"/>
  <c r="AI280" i="2"/>
  <c r="AI281" i="2"/>
  <c r="AI282" i="2"/>
  <c r="AI283" i="2"/>
  <c r="AI284" i="2"/>
  <c r="AI285" i="2"/>
  <c r="AI286" i="2"/>
  <c r="AI287" i="2"/>
  <c r="AI288" i="2"/>
  <c r="AI289" i="2"/>
  <c r="AI290" i="2"/>
  <c r="AI291" i="2"/>
  <c r="AI292" i="2"/>
  <c r="AI293" i="2"/>
  <c r="AI294" i="2"/>
  <c r="AI295" i="2"/>
  <c r="AI296" i="2"/>
  <c r="AI297" i="2"/>
  <c r="AI298" i="2"/>
  <c r="AI299" i="2"/>
  <c r="AI300" i="2"/>
  <c r="AI301" i="2"/>
  <c r="AI302" i="2"/>
  <c r="AI303" i="2"/>
  <c r="AI304" i="2"/>
  <c r="AI305" i="2"/>
  <c r="AI306" i="2"/>
  <c r="AI307" i="2"/>
  <c r="AI308" i="2"/>
  <c r="AI309" i="2"/>
  <c r="AI310" i="2"/>
  <c r="AI311" i="2"/>
  <c r="AI312" i="2"/>
  <c r="AI313" i="2"/>
  <c r="AI314" i="2"/>
  <c r="AI315" i="2"/>
  <c r="AI316" i="2"/>
  <c r="AI317" i="2"/>
  <c r="AI318" i="2"/>
  <c r="AI319" i="2"/>
  <c r="AI320" i="2"/>
  <c r="AI321" i="2"/>
  <c r="AI322" i="2"/>
  <c r="AI323" i="2"/>
  <c r="AI324" i="2"/>
  <c r="AI325" i="2"/>
  <c r="AI326" i="2"/>
  <c r="AI327" i="2"/>
  <c r="AI328" i="2"/>
  <c r="AI329" i="2"/>
  <c r="AI330" i="2"/>
  <c r="AI331" i="2"/>
  <c r="AI332" i="2"/>
  <c r="AI333" i="2"/>
  <c r="AI334" i="2"/>
  <c r="AI335" i="2"/>
  <c r="AI336" i="2"/>
  <c r="AI337" i="2"/>
  <c r="AI338" i="2"/>
  <c r="AI339" i="2"/>
  <c r="AI340" i="2"/>
  <c r="AI341" i="2"/>
  <c r="AI342" i="2"/>
  <c r="AI343" i="2"/>
  <c r="AI344" i="2"/>
  <c r="AI345" i="2"/>
  <c r="AI346" i="2"/>
  <c r="AI347" i="2"/>
  <c r="AI348" i="2"/>
  <c r="AI349" i="2"/>
  <c r="AI350" i="2"/>
  <c r="AI351" i="2"/>
  <c r="AI352" i="2"/>
  <c r="AI353" i="2"/>
  <c r="AI354" i="2"/>
  <c r="AI355" i="2"/>
  <c r="AI356" i="2"/>
  <c r="AI357" i="2"/>
  <c r="AI358" i="2"/>
  <c r="AI359" i="2"/>
  <c r="AI360" i="2"/>
  <c r="AI361" i="2"/>
  <c r="AI362" i="2"/>
  <c r="AI363" i="2"/>
  <c r="AI364" i="2"/>
  <c r="AI365" i="2"/>
  <c r="AI366" i="2"/>
  <c r="AI367" i="2"/>
  <c r="AI368" i="2"/>
  <c r="AI369" i="2"/>
  <c r="AI370" i="2"/>
  <c r="AI371" i="2"/>
  <c r="AI372" i="2"/>
  <c r="AI373" i="2"/>
  <c r="AI374" i="2"/>
  <c r="AI375" i="2"/>
  <c r="AI376" i="2"/>
  <c r="AI377" i="2"/>
  <c r="AI378" i="2"/>
  <c r="AI379" i="2"/>
  <c r="AI380" i="2"/>
  <c r="AI381" i="2"/>
  <c r="AI382" i="2"/>
  <c r="AI383" i="2"/>
  <c r="AI384" i="2"/>
  <c r="AI385" i="2"/>
  <c r="AI386" i="2"/>
  <c r="AI387" i="2"/>
  <c r="AI388" i="2"/>
  <c r="AI389" i="2"/>
  <c r="AI390" i="2"/>
  <c r="AI391" i="2"/>
  <c r="AI392" i="2"/>
  <c r="AI393" i="2"/>
  <c r="AI394" i="2"/>
  <c r="AI395" i="2"/>
  <c r="AI396" i="2"/>
  <c r="AI397" i="2"/>
  <c r="AI398" i="2"/>
  <c r="AI399" i="2"/>
  <c r="AI400" i="2"/>
  <c r="AI401" i="2"/>
  <c r="AI402" i="2"/>
  <c r="AI403" i="2"/>
  <c r="AI404" i="2"/>
  <c r="AI405" i="2"/>
  <c r="AI406" i="2"/>
  <c r="AI407" i="2"/>
  <c r="AI408" i="2"/>
  <c r="AI409" i="2"/>
  <c r="AI410" i="2"/>
  <c r="AI411" i="2"/>
  <c r="AI412" i="2"/>
  <c r="AI413" i="2"/>
  <c r="AI414" i="2"/>
  <c r="AI415" i="2"/>
  <c r="AI416" i="2"/>
  <c r="AI417" i="2"/>
  <c r="AI418" i="2"/>
  <c r="AI419" i="2"/>
  <c r="AI420" i="2"/>
  <c r="AI421" i="2"/>
  <c r="AI422" i="2"/>
  <c r="AI423" i="2"/>
  <c r="AI424" i="2"/>
  <c r="AI425" i="2"/>
  <c r="AI426" i="2"/>
  <c r="AI427" i="2"/>
  <c r="AI428" i="2"/>
  <c r="AI429" i="2"/>
  <c r="AI430" i="2"/>
  <c r="AI431" i="2"/>
  <c r="AI432" i="2"/>
  <c r="AI433" i="2"/>
  <c r="AI434" i="2"/>
  <c r="AI435" i="2"/>
  <c r="AI436" i="2"/>
  <c r="AI437" i="2"/>
  <c r="AI438" i="2"/>
  <c r="AI439" i="2"/>
  <c r="AI440" i="2"/>
  <c r="AI441" i="2"/>
  <c r="AI442" i="2"/>
  <c r="AI443" i="2"/>
  <c r="AI444" i="2"/>
  <c r="AI445" i="2"/>
  <c r="AI446" i="2"/>
  <c r="AI447" i="2"/>
  <c r="AI448" i="2"/>
  <c r="AI449" i="2"/>
  <c r="AI450" i="2"/>
  <c r="AI451" i="2"/>
  <c r="AI452" i="2"/>
  <c r="AI453" i="2"/>
  <c r="AI454" i="2"/>
  <c r="AI455" i="2"/>
  <c r="AI456" i="2"/>
  <c r="AI457" i="2"/>
  <c r="AI458" i="2"/>
  <c r="AI459" i="2"/>
  <c r="AI460" i="2"/>
  <c r="AI461" i="2"/>
  <c r="AI462" i="2"/>
  <c r="AI463" i="2"/>
  <c r="AI464" i="2"/>
  <c r="AI465" i="2"/>
  <c r="AI466" i="2"/>
  <c r="AI467" i="2"/>
  <c r="AI468" i="2"/>
  <c r="AI469" i="2"/>
  <c r="AI470" i="2"/>
  <c r="AI471" i="2"/>
  <c r="AI472" i="2"/>
  <c r="AI473" i="2"/>
  <c r="AI474" i="2"/>
  <c r="AI475" i="2"/>
  <c r="AI476" i="2"/>
  <c r="AI477" i="2"/>
  <c r="AI478" i="2"/>
  <c r="AI479" i="2"/>
  <c r="AI480" i="2"/>
  <c r="AI481" i="2"/>
  <c r="AI482" i="2"/>
  <c r="AI483" i="2"/>
  <c r="AI484" i="2"/>
  <c r="AI485" i="2"/>
  <c r="AI486" i="2"/>
  <c r="AI487" i="2"/>
  <c r="AI488" i="2"/>
  <c r="AI489" i="2"/>
  <c r="AI490" i="2"/>
  <c r="AI491" i="2"/>
  <c r="AI492" i="2"/>
  <c r="AI493" i="2"/>
  <c r="AI494" i="2"/>
  <c r="AI495" i="2"/>
  <c r="AI496" i="2"/>
  <c r="AI497" i="2"/>
  <c r="AI498" i="2"/>
  <c r="AI499" i="2"/>
  <c r="AI500" i="2"/>
  <c r="AI501" i="2"/>
  <c r="AI502" i="2"/>
  <c r="AI503" i="2"/>
  <c r="AI504" i="2"/>
  <c r="AI505" i="2"/>
  <c r="AI506" i="2"/>
  <c r="AI507" i="2"/>
  <c r="AI508" i="2"/>
  <c r="AI509" i="2"/>
  <c r="AI510" i="2"/>
  <c r="AI511" i="2"/>
  <c r="AI512" i="2"/>
  <c r="AI513" i="2"/>
  <c r="AI514" i="2"/>
  <c r="AI515" i="2"/>
  <c r="AI516" i="2"/>
  <c r="AI517" i="2"/>
  <c r="AI518" i="2"/>
  <c r="AI519" i="2"/>
  <c r="AI520" i="2"/>
  <c r="AI521" i="2"/>
  <c r="AI522" i="2"/>
  <c r="AI523" i="2"/>
  <c r="AI524" i="2"/>
  <c r="AI525" i="2"/>
  <c r="AI526" i="2"/>
  <c r="AI527" i="2"/>
  <c r="AI528" i="2"/>
  <c r="AI529" i="2"/>
  <c r="AI530" i="2"/>
  <c r="AI531" i="2"/>
  <c r="AI532" i="2"/>
  <c r="AI533" i="2"/>
  <c r="AI534" i="2"/>
  <c r="AI535" i="2"/>
  <c r="AI536" i="2"/>
  <c r="AI537" i="2"/>
  <c r="AI538" i="2"/>
  <c r="AI539" i="2"/>
  <c r="AI540" i="2"/>
  <c r="AI541" i="2"/>
  <c r="AI542" i="2"/>
  <c r="AI543" i="2"/>
  <c r="AI544" i="2"/>
  <c r="AI545" i="2"/>
  <c r="AI546" i="2"/>
  <c r="AI547" i="2"/>
  <c r="AI548" i="2"/>
  <c r="AI549" i="2"/>
  <c r="AI550" i="2"/>
  <c r="AI551" i="2"/>
  <c r="AI552" i="2"/>
  <c r="AI553" i="2"/>
  <c r="AI554" i="2"/>
  <c r="AI555" i="2"/>
  <c r="AI556" i="2"/>
  <c r="AI557" i="2"/>
  <c r="AI558" i="2"/>
  <c r="AI559" i="2"/>
  <c r="AI560" i="2"/>
  <c r="AI561" i="2"/>
  <c r="AI562" i="2"/>
  <c r="AI563" i="2"/>
  <c r="AI564" i="2"/>
  <c r="AI565" i="2"/>
  <c r="AI566" i="2"/>
  <c r="AI567" i="2"/>
  <c r="AI568" i="2"/>
  <c r="AI569" i="2"/>
  <c r="AI570" i="2"/>
  <c r="AI571" i="2"/>
  <c r="AI572" i="2"/>
  <c r="AI573" i="2"/>
  <c r="AI574" i="2"/>
  <c r="AI575" i="2"/>
  <c r="AI576" i="2"/>
  <c r="AI577" i="2"/>
  <c r="AI578" i="2"/>
  <c r="AI579" i="2"/>
  <c r="AI580" i="2"/>
  <c r="AI581" i="2"/>
  <c r="AI582" i="2"/>
  <c r="AI583" i="2"/>
  <c r="AI584" i="2"/>
  <c r="AI585" i="2"/>
  <c r="AI586" i="2"/>
  <c r="AI587" i="2"/>
  <c r="AI588" i="2"/>
  <c r="AI589" i="2"/>
  <c r="AI590" i="2"/>
  <c r="AI591" i="2"/>
  <c r="AI592" i="2"/>
  <c r="AI593" i="2"/>
  <c r="AI594" i="2"/>
  <c r="AI595" i="2"/>
  <c r="AI596" i="2"/>
  <c r="AI597" i="2"/>
  <c r="AI598" i="2"/>
  <c r="AI599" i="2"/>
  <c r="AI600" i="2"/>
  <c r="AI601" i="2"/>
  <c r="AI602" i="2"/>
  <c r="AI603" i="2"/>
  <c r="AI604" i="2"/>
  <c r="AI605" i="2"/>
  <c r="AI606" i="2"/>
  <c r="AI607" i="2"/>
  <c r="AI608" i="2"/>
  <c r="AI609" i="2"/>
  <c r="AI610" i="2"/>
  <c r="AI611" i="2"/>
  <c r="AI612" i="2"/>
  <c r="AI613" i="2"/>
  <c r="AI614" i="2"/>
  <c r="AI615" i="2"/>
  <c r="AI616" i="2"/>
  <c r="AI617" i="2"/>
  <c r="AI618" i="2"/>
  <c r="AI619" i="2"/>
  <c r="AI620" i="2"/>
  <c r="AI621" i="2"/>
  <c r="AI622" i="2"/>
  <c r="AI623" i="2"/>
  <c r="AI624" i="2"/>
  <c r="AI625" i="2"/>
  <c r="AI626" i="2"/>
  <c r="AI627" i="2"/>
  <c r="AI628" i="2"/>
  <c r="AI629" i="2"/>
  <c r="AI630" i="2"/>
  <c r="AI631" i="2"/>
  <c r="AI632" i="2"/>
  <c r="AI633" i="2"/>
  <c r="AI634" i="2"/>
  <c r="AI635" i="2"/>
  <c r="AI636" i="2"/>
  <c r="AI637" i="2"/>
  <c r="AI638" i="2"/>
  <c r="AI639" i="2"/>
  <c r="AI640" i="2"/>
  <c r="AI641" i="2"/>
  <c r="AI642" i="2"/>
  <c r="AI643" i="2"/>
  <c r="AI644" i="2"/>
  <c r="AI645" i="2"/>
  <c r="AI646" i="2"/>
  <c r="AI647" i="2"/>
  <c r="AI648" i="2"/>
  <c r="AI649" i="2"/>
  <c r="AI650" i="2"/>
  <c r="AI651" i="2"/>
  <c r="AI652" i="2"/>
  <c r="AI653" i="2"/>
  <c r="AI654" i="2"/>
  <c r="AI655" i="2"/>
  <c r="AI656" i="2"/>
  <c r="AI657" i="2"/>
  <c r="AI658" i="2"/>
  <c r="AI659" i="2"/>
  <c r="AI660" i="2"/>
  <c r="AI661" i="2"/>
  <c r="AI662" i="2"/>
  <c r="AI663" i="2"/>
  <c r="AI664" i="2"/>
  <c r="AI665" i="2"/>
  <c r="AI666" i="2"/>
  <c r="AI667" i="2"/>
  <c r="AI668" i="2"/>
  <c r="AI669" i="2"/>
  <c r="AI670" i="2"/>
  <c r="AI671" i="2"/>
  <c r="AI672" i="2"/>
  <c r="AI673" i="2"/>
  <c r="AI674" i="2"/>
  <c r="AI675" i="2"/>
  <c r="AI676" i="2"/>
  <c r="AI677" i="2"/>
  <c r="AI678" i="2"/>
  <c r="AI679" i="2"/>
  <c r="AI680" i="2"/>
  <c r="AI681" i="2"/>
  <c r="AI682" i="2"/>
  <c r="AI683" i="2"/>
  <c r="AI684" i="2"/>
  <c r="AI685" i="2"/>
  <c r="AI686" i="2"/>
  <c r="AI687" i="2"/>
  <c r="AI688" i="2"/>
  <c r="AI689" i="2"/>
  <c r="AI690" i="2"/>
  <c r="AI691" i="2"/>
  <c r="AI692" i="2"/>
  <c r="AI693" i="2"/>
  <c r="AI694" i="2"/>
  <c r="AI695" i="2"/>
  <c r="AI696" i="2"/>
  <c r="AI697" i="2"/>
  <c r="AI698" i="2"/>
  <c r="AI699" i="2"/>
  <c r="AI700" i="2"/>
  <c r="AI701" i="2"/>
  <c r="AI702" i="2"/>
  <c r="AI703" i="2"/>
  <c r="AI704" i="2"/>
  <c r="AI705" i="2"/>
  <c r="AI706" i="2"/>
  <c r="AI707" i="2"/>
  <c r="AI708" i="2"/>
  <c r="AI709" i="2"/>
  <c r="AI710" i="2"/>
  <c r="AI711" i="2"/>
  <c r="AI712" i="2"/>
  <c r="AI713" i="2"/>
  <c r="AI714" i="2"/>
  <c r="AI715" i="2"/>
  <c r="AI716" i="2"/>
  <c r="AI717" i="2"/>
  <c r="AI718" i="2"/>
  <c r="AI719" i="2"/>
  <c r="AI720" i="2"/>
  <c r="AI721" i="2"/>
  <c r="AI722" i="2"/>
  <c r="AI723" i="2"/>
  <c r="AI724" i="2"/>
  <c r="AI725" i="2"/>
  <c r="AI726" i="2"/>
  <c r="AI727" i="2"/>
  <c r="AI728" i="2"/>
  <c r="AI729" i="2"/>
  <c r="AI730" i="2"/>
  <c r="AI731" i="2"/>
  <c r="AI732" i="2"/>
  <c r="AI733" i="2"/>
  <c r="AI734" i="2"/>
  <c r="AI735" i="2"/>
  <c r="AI736" i="2"/>
  <c r="AI737" i="2"/>
  <c r="AI738" i="2"/>
  <c r="AI739" i="2"/>
  <c r="AI740" i="2"/>
  <c r="AI741" i="2"/>
  <c r="AI742" i="2"/>
  <c r="AI743" i="2"/>
  <c r="AI744" i="2"/>
  <c r="AI745" i="2"/>
  <c r="AI746" i="2"/>
  <c r="AI747" i="2"/>
  <c r="AI748" i="2"/>
  <c r="AI749" i="2"/>
  <c r="AI750" i="2"/>
  <c r="AI751" i="2"/>
  <c r="AI752" i="2"/>
  <c r="AI753" i="2"/>
  <c r="AI754" i="2"/>
  <c r="AI755" i="2"/>
  <c r="AI756" i="2"/>
  <c r="AI757" i="2"/>
  <c r="AI758" i="2"/>
  <c r="AI759" i="2"/>
  <c r="AI760" i="2"/>
  <c r="AI761" i="2"/>
  <c r="AI762" i="2"/>
  <c r="AI763" i="2"/>
  <c r="AI764" i="2"/>
  <c r="AI765" i="2"/>
  <c r="AI766" i="2"/>
  <c r="AI767" i="2"/>
  <c r="AI768" i="2"/>
  <c r="AI769" i="2"/>
  <c r="AI770" i="2"/>
  <c r="AI771" i="2"/>
  <c r="AI772" i="2"/>
  <c r="AI773" i="2"/>
  <c r="AI774" i="2"/>
  <c r="AI775" i="2"/>
  <c r="AI776" i="2"/>
  <c r="AI777" i="2"/>
  <c r="AI778" i="2"/>
  <c r="AI779" i="2"/>
  <c r="AI780" i="2"/>
  <c r="AI781" i="2"/>
  <c r="AI782" i="2"/>
  <c r="AI783" i="2"/>
  <c r="AI784" i="2"/>
  <c r="AI785" i="2"/>
  <c r="AI786" i="2"/>
  <c r="AI787" i="2"/>
  <c r="AI788" i="2"/>
  <c r="AI789" i="2"/>
  <c r="AI790" i="2"/>
  <c r="AI791" i="2"/>
  <c r="AI792" i="2"/>
  <c r="AI793" i="2"/>
  <c r="AI794" i="2"/>
  <c r="AI795" i="2"/>
  <c r="AI796" i="2"/>
  <c r="AI797" i="2"/>
  <c r="AI798" i="2"/>
  <c r="AI799" i="2"/>
  <c r="AI800" i="2"/>
  <c r="AI801" i="2"/>
  <c r="AI802" i="2"/>
  <c r="AI803" i="2"/>
  <c r="AI804" i="2"/>
  <c r="AI805" i="2"/>
  <c r="AI806" i="2"/>
  <c r="AI807" i="2"/>
  <c r="AI808" i="2"/>
  <c r="AI809" i="2"/>
  <c r="AI810" i="2"/>
  <c r="AI811" i="2"/>
  <c r="AI812" i="2"/>
  <c r="AI813" i="2"/>
  <c r="AI814" i="2"/>
  <c r="AI815" i="2"/>
  <c r="AI816" i="2"/>
  <c r="AI817" i="2"/>
  <c r="AI818" i="2"/>
  <c r="AI819" i="2"/>
  <c r="AI820" i="2"/>
  <c r="AI821" i="2"/>
  <c r="AI822" i="2"/>
  <c r="AI823" i="2"/>
  <c r="AI824" i="2"/>
  <c r="AI825" i="2"/>
  <c r="AI826" i="2"/>
  <c r="AI827" i="2"/>
  <c r="AI828" i="2"/>
  <c r="AI829" i="2"/>
  <c r="AI830" i="2"/>
  <c r="AI831" i="2"/>
  <c r="AI832" i="2"/>
  <c r="AI833" i="2"/>
  <c r="AI834" i="2"/>
  <c r="AI835" i="2"/>
  <c r="AI836" i="2"/>
  <c r="AI837" i="2"/>
  <c r="AI838" i="2"/>
  <c r="AI839" i="2"/>
  <c r="AI840" i="2"/>
  <c r="AI841" i="2"/>
  <c r="AI842" i="2"/>
  <c r="AI843" i="2"/>
  <c r="AI844" i="2"/>
  <c r="AI845" i="2"/>
  <c r="AI846" i="2"/>
  <c r="AI847" i="2"/>
  <c r="AI848" i="2"/>
  <c r="AI849" i="2"/>
  <c r="AI850" i="2"/>
  <c r="AI851" i="2"/>
  <c r="AI852" i="2"/>
  <c r="AI853" i="2"/>
  <c r="AI854" i="2"/>
  <c r="AI855" i="2"/>
  <c r="AI856" i="2"/>
  <c r="AI857" i="2"/>
  <c r="AI858" i="2"/>
  <c r="AI859" i="2"/>
  <c r="AI860" i="2"/>
  <c r="AI861" i="2"/>
  <c r="AI862" i="2"/>
  <c r="AI863" i="2"/>
  <c r="AI864" i="2"/>
  <c r="AI865" i="2"/>
  <c r="AI866" i="2"/>
  <c r="AI867" i="2"/>
  <c r="AI868" i="2"/>
  <c r="AI869" i="2"/>
  <c r="AI870" i="2"/>
  <c r="AI871" i="2"/>
  <c r="AI872" i="2"/>
  <c r="AI873" i="2"/>
  <c r="AI874" i="2"/>
  <c r="AI875" i="2"/>
  <c r="AI876" i="2"/>
  <c r="AI877" i="2"/>
  <c r="AI878" i="2"/>
  <c r="AI879" i="2"/>
  <c r="AI880" i="2"/>
  <c r="AI881" i="2"/>
  <c r="AI882" i="2"/>
  <c r="AI883" i="2"/>
  <c r="AI884" i="2"/>
  <c r="AI885" i="2"/>
  <c r="AI886" i="2"/>
  <c r="AI887" i="2"/>
  <c r="AI888" i="2"/>
  <c r="AI889" i="2"/>
  <c r="AI890" i="2"/>
  <c r="AI891" i="2"/>
  <c r="AI892" i="2"/>
  <c r="AI893" i="2"/>
  <c r="AI894" i="2"/>
  <c r="AI895" i="2"/>
  <c r="AI896" i="2"/>
  <c r="AI897" i="2"/>
  <c r="AI898" i="2"/>
  <c r="AI899" i="2"/>
  <c r="AI900" i="2"/>
  <c r="AI901" i="2"/>
  <c r="AI902" i="2"/>
  <c r="AI903" i="2"/>
  <c r="AI904" i="2"/>
  <c r="AI905" i="2"/>
  <c r="AI906" i="2"/>
  <c r="AI907" i="2"/>
  <c r="AI908" i="2"/>
  <c r="AI909" i="2"/>
  <c r="AI910" i="2"/>
  <c r="AI911" i="2"/>
  <c r="AI912" i="2"/>
  <c r="AI913" i="2"/>
  <c r="AI914" i="2"/>
  <c r="AI915" i="2"/>
  <c r="AI916" i="2"/>
  <c r="AI917" i="2"/>
  <c r="AI918" i="2"/>
  <c r="AI919" i="2"/>
  <c r="AI920" i="2"/>
  <c r="AI921" i="2"/>
  <c r="AI922" i="2"/>
  <c r="AI923" i="2"/>
  <c r="AI924" i="2"/>
  <c r="AI925" i="2"/>
  <c r="AI926" i="2"/>
  <c r="AI927" i="2"/>
  <c r="AI928" i="2"/>
  <c r="AI929" i="2"/>
  <c r="AI930" i="2"/>
  <c r="AI931" i="2"/>
  <c r="AI932" i="2"/>
  <c r="AI933" i="2"/>
  <c r="AI934" i="2"/>
  <c r="AI935" i="2"/>
  <c r="AI936" i="2"/>
  <c r="AI937" i="2"/>
  <c r="AI938" i="2"/>
  <c r="AI939" i="2"/>
  <c r="AI940" i="2"/>
  <c r="AI941" i="2"/>
  <c r="AI942" i="2"/>
  <c r="AI943" i="2"/>
  <c r="AI944" i="2"/>
  <c r="AI945" i="2"/>
  <c r="AI946" i="2"/>
  <c r="AI947" i="2"/>
  <c r="AI948" i="2"/>
  <c r="AI949" i="2"/>
  <c r="AI950" i="2"/>
  <c r="AI951" i="2"/>
  <c r="AI952" i="2"/>
  <c r="AI953" i="2"/>
  <c r="AI954" i="2"/>
  <c r="AI955" i="2"/>
  <c r="AI956" i="2"/>
  <c r="AI957" i="2"/>
  <c r="AI958" i="2"/>
  <c r="AI959" i="2"/>
  <c r="AI960" i="2"/>
  <c r="AI961" i="2"/>
  <c r="AI962" i="2"/>
  <c r="AI963" i="2"/>
  <c r="AI964" i="2"/>
  <c r="AI965" i="2"/>
  <c r="AI966" i="2"/>
  <c r="AI967" i="2"/>
  <c r="AI968" i="2"/>
  <c r="AI969" i="2"/>
  <c r="AI970" i="2"/>
  <c r="AI971" i="2"/>
  <c r="AI972" i="2"/>
  <c r="AI973" i="2"/>
  <c r="AI974" i="2"/>
  <c r="AI975" i="2"/>
  <c r="AI976" i="2"/>
  <c r="AI977" i="2"/>
  <c r="AI978" i="2"/>
  <c r="AI979" i="2"/>
  <c r="AI980" i="2"/>
  <c r="AI981" i="2"/>
  <c r="AI982" i="2"/>
  <c r="AI983" i="2"/>
  <c r="AI984" i="2"/>
  <c r="AI985" i="2"/>
  <c r="AI986" i="2"/>
  <c r="AI987" i="2"/>
  <c r="AI988" i="2"/>
  <c r="AI989" i="2"/>
  <c r="AI990" i="2"/>
  <c r="AI991" i="2"/>
  <c r="AI992" i="2"/>
  <c r="AI993" i="2"/>
  <c r="AI994" i="2"/>
  <c r="AI995" i="2"/>
  <c r="AI996" i="2"/>
  <c r="AI997" i="2"/>
  <c r="AI998" i="2"/>
  <c r="AI999" i="2"/>
  <c r="AI1000" i="2"/>
  <c r="AI1001" i="2"/>
  <c r="AI1002" i="2"/>
  <c r="AI1003" i="2"/>
  <c r="AI1004" i="2"/>
  <c r="AI1005" i="2"/>
  <c r="AI1006" i="2"/>
  <c r="AI1007" i="2"/>
  <c r="AI1008" i="2"/>
  <c r="AI1009" i="2"/>
  <c r="AI1010" i="2"/>
  <c r="AI1011" i="2"/>
  <c r="AI1012" i="2"/>
  <c r="AI1013" i="2"/>
  <c r="AI1014" i="2"/>
  <c r="AI1015" i="2"/>
  <c r="AI1016" i="2"/>
  <c r="AI1017" i="2"/>
  <c r="AI1018" i="2"/>
  <c r="AI1019" i="2"/>
  <c r="AI1020" i="2"/>
  <c r="AI1021" i="2"/>
  <c r="AI1022" i="2"/>
  <c r="AI1023" i="2"/>
  <c r="AI1024" i="2"/>
  <c r="AI1025" i="2"/>
  <c r="AI1026" i="2"/>
  <c r="AI1027" i="2"/>
  <c r="AI1028" i="2"/>
  <c r="AI1029" i="2"/>
  <c r="AI1030" i="2"/>
  <c r="AI1031" i="2"/>
  <c r="AI1032" i="2"/>
  <c r="AI1033" i="2"/>
  <c r="AI1034" i="2"/>
  <c r="AI1035" i="2"/>
  <c r="AI1036" i="2"/>
  <c r="AI1037" i="2"/>
  <c r="AI1038" i="2"/>
  <c r="AI1039" i="2"/>
  <c r="AI1040" i="2"/>
  <c r="AI1041" i="2"/>
  <c r="AI1042" i="2"/>
  <c r="AI1043" i="2"/>
  <c r="AI1044" i="2"/>
  <c r="AI1045" i="2"/>
  <c r="AI1046" i="2"/>
  <c r="AI1047" i="2"/>
  <c r="AI1048" i="2"/>
  <c r="AI1049" i="2"/>
  <c r="AI1050" i="2"/>
  <c r="AI1051" i="2"/>
  <c r="AI1052" i="2"/>
  <c r="AI1053" i="2"/>
  <c r="AI1054" i="2"/>
  <c r="AI1055" i="2"/>
  <c r="AI1056" i="2"/>
  <c r="AI1057" i="2"/>
  <c r="AI1058" i="2"/>
  <c r="AI1059" i="2"/>
  <c r="AI1060" i="2"/>
  <c r="AI1061" i="2"/>
  <c r="AI1062" i="2"/>
  <c r="AI1063" i="2"/>
  <c r="AI1064" i="2"/>
  <c r="AI1065" i="2"/>
  <c r="AI1066" i="2"/>
  <c r="AI1067" i="2"/>
  <c r="AI1068" i="2"/>
  <c r="AI1069" i="2"/>
  <c r="AI1070" i="2"/>
  <c r="AI1071" i="2"/>
  <c r="AI1072" i="2"/>
  <c r="AI1073" i="2"/>
  <c r="AI1074" i="2"/>
  <c r="AI1075" i="2"/>
  <c r="AI1076" i="2"/>
  <c r="AI1077" i="2"/>
  <c r="AI1078" i="2"/>
  <c r="AI1079" i="2"/>
  <c r="AI1080" i="2"/>
  <c r="AI1081" i="2"/>
  <c r="AI1082" i="2"/>
  <c r="AI1083" i="2"/>
  <c r="AI1084" i="2"/>
  <c r="AI1085" i="2"/>
  <c r="AI1086" i="2"/>
  <c r="AI1087" i="2"/>
  <c r="AI1088" i="2"/>
  <c r="AI1089" i="2"/>
  <c r="AI1090" i="2"/>
  <c r="AI1091" i="2"/>
  <c r="AI1092" i="2"/>
  <c r="AI1093" i="2"/>
  <c r="AI1094" i="2"/>
  <c r="AI1095" i="2"/>
  <c r="AI1096" i="2"/>
  <c r="AI1097" i="2"/>
  <c r="AI1098" i="2"/>
  <c r="AI1099" i="2"/>
  <c r="AI1100" i="2"/>
  <c r="AI1101" i="2"/>
  <c r="AI1102" i="2"/>
  <c r="AI1103" i="2"/>
  <c r="AI1104" i="2"/>
  <c r="AI1105" i="2"/>
  <c r="AI1106" i="2"/>
  <c r="AI1107" i="2"/>
  <c r="AI1108" i="2"/>
  <c r="AI1109" i="2"/>
  <c r="AI1110" i="2"/>
  <c r="AI1111" i="2"/>
  <c r="AI1112" i="2"/>
  <c r="AI1113" i="2"/>
  <c r="AI1114" i="2"/>
  <c r="AI1115" i="2"/>
  <c r="AI1116" i="2"/>
  <c r="AI1117" i="2"/>
  <c r="AI1118" i="2"/>
  <c r="AI1119" i="2"/>
  <c r="AI1120" i="2"/>
  <c r="AI1121" i="2"/>
  <c r="AI1122" i="2"/>
  <c r="AI1123" i="2"/>
  <c r="AI1124" i="2"/>
  <c r="AI1125" i="2"/>
  <c r="AI1126" i="2"/>
  <c r="AI1127" i="2"/>
  <c r="AI1128" i="2"/>
  <c r="AI1129" i="2"/>
  <c r="AI1130" i="2"/>
  <c r="AI1131" i="2"/>
  <c r="AI1132" i="2"/>
  <c r="AI1133" i="2"/>
  <c r="AI1134" i="2"/>
  <c r="AI1135" i="2"/>
  <c r="AI1136" i="2"/>
  <c r="AI1137" i="2"/>
  <c r="AI1138" i="2"/>
  <c r="AI1139" i="2"/>
  <c r="AI1140" i="2"/>
  <c r="AI1141" i="2"/>
  <c r="AI1142" i="2"/>
  <c r="AI1143" i="2"/>
  <c r="AI1144" i="2"/>
  <c r="AI1145" i="2"/>
  <c r="AI1146" i="2"/>
  <c r="AI1147" i="2"/>
  <c r="AI1148" i="2"/>
  <c r="AI1149" i="2"/>
  <c r="AI1150" i="2"/>
  <c r="AI1151" i="2"/>
  <c r="AI1152" i="2"/>
  <c r="AI1153" i="2"/>
  <c r="AI1154" i="2"/>
  <c r="AI1155" i="2"/>
  <c r="AI1156" i="2"/>
  <c r="AI1157" i="2"/>
  <c r="AI1158" i="2"/>
  <c r="AI1159" i="2"/>
  <c r="AI1160" i="2"/>
  <c r="AI1161" i="2"/>
  <c r="AI1162" i="2"/>
  <c r="AI1163" i="2"/>
  <c r="AI1164" i="2"/>
  <c r="AI1165" i="2"/>
  <c r="AI1166" i="2"/>
  <c r="AI1167" i="2"/>
  <c r="AI1168" i="2"/>
  <c r="AI1169" i="2"/>
  <c r="AI1170" i="2"/>
  <c r="AI1171" i="2"/>
  <c r="AI1172" i="2"/>
  <c r="AI1173" i="2"/>
  <c r="AI1174" i="2"/>
  <c r="AI1175" i="2"/>
  <c r="AI1176" i="2"/>
  <c r="AI1177" i="2"/>
  <c r="AI1178" i="2"/>
  <c r="AI1179" i="2"/>
  <c r="AI1180" i="2"/>
  <c r="AI1181" i="2"/>
  <c r="AI1182" i="2"/>
  <c r="AI1183" i="2"/>
  <c r="AI1184" i="2"/>
  <c r="AI1185" i="2"/>
  <c r="AI1186" i="2"/>
  <c r="AI1187" i="2"/>
  <c r="AI1188" i="2"/>
  <c r="AI1189" i="2"/>
  <c r="AI1190" i="2"/>
  <c r="AI1191" i="2"/>
  <c r="AI1192" i="2"/>
  <c r="AI1193" i="2"/>
  <c r="AI1194" i="2"/>
  <c r="AI1195" i="2"/>
  <c r="AI1196" i="2"/>
  <c r="AI1197" i="2"/>
  <c r="AI1198" i="2"/>
  <c r="AI1199" i="2"/>
  <c r="AI1200" i="2"/>
  <c r="AI1201" i="2"/>
  <c r="AI1202" i="2"/>
  <c r="AI1203" i="2"/>
  <c r="AI1204" i="2"/>
  <c r="AI1205" i="2"/>
  <c r="AI1206" i="2"/>
  <c r="AI1207" i="2"/>
  <c r="AI1208" i="2"/>
  <c r="AI1209" i="2"/>
  <c r="AI1210" i="2"/>
  <c r="AI1211" i="2"/>
  <c r="AI1212" i="2"/>
  <c r="AI1213" i="2"/>
  <c r="AI1214" i="2"/>
  <c r="AI1215" i="2"/>
  <c r="AI1216" i="2"/>
  <c r="AI1217" i="2"/>
  <c r="AI1218" i="2"/>
  <c r="AI1219" i="2"/>
  <c r="AI1220" i="2"/>
  <c r="AI1221" i="2"/>
  <c r="AI1222" i="2"/>
  <c r="AI1223" i="2"/>
  <c r="AI1224" i="2"/>
  <c r="AI1225" i="2"/>
  <c r="AI1226" i="2"/>
  <c r="AI1227" i="2"/>
  <c r="AI1228" i="2"/>
  <c r="AI1229" i="2"/>
  <c r="AI1230" i="2"/>
  <c r="AI1231" i="2"/>
  <c r="AI1232" i="2"/>
  <c r="AI1233" i="2"/>
  <c r="AI1234" i="2"/>
  <c r="AI1235" i="2"/>
  <c r="AI1236" i="2"/>
  <c r="AI1237" i="2"/>
  <c r="AI1238" i="2"/>
  <c r="AI1239" i="2"/>
  <c r="AI1240" i="2"/>
  <c r="AI1241" i="2"/>
  <c r="AI1242" i="2"/>
  <c r="AI1243" i="2"/>
  <c r="AI1244" i="2"/>
  <c r="AI1245" i="2"/>
  <c r="AI1246" i="2"/>
  <c r="AI1247" i="2"/>
  <c r="AI1248" i="2"/>
  <c r="AI1249" i="2"/>
  <c r="AI1250" i="2"/>
  <c r="AI1251" i="2"/>
  <c r="AI1252" i="2"/>
  <c r="AI1253" i="2"/>
  <c r="AI1254" i="2"/>
  <c r="AI1255" i="2"/>
  <c r="AI1256" i="2"/>
  <c r="AI1257" i="2"/>
  <c r="AI1258" i="2"/>
  <c r="AI1259" i="2"/>
  <c r="AI1260" i="2"/>
  <c r="AI1261" i="2"/>
  <c r="AI1262" i="2"/>
  <c r="AI1263" i="2"/>
  <c r="AI1264" i="2"/>
  <c r="AI1265" i="2"/>
  <c r="AI1266" i="2"/>
  <c r="AI1267" i="2"/>
  <c r="AI1268" i="2"/>
  <c r="AI1269" i="2"/>
  <c r="AI1270" i="2"/>
  <c r="AI1271" i="2"/>
  <c r="AI1272" i="2"/>
  <c r="AI1273" i="2"/>
  <c r="AI1274" i="2"/>
  <c r="AI1275" i="2"/>
  <c r="AI1276" i="2"/>
  <c r="AI1277" i="2"/>
  <c r="AI1278" i="2"/>
  <c r="AI1279" i="2"/>
  <c r="AI1280" i="2"/>
  <c r="AI1281" i="2"/>
  <c r="AI1282" i="2"/>
  <c r="AI1283" i="2"/>
  <c r="AI1284" i="2"/>
  <c r="AI1285" i="2"/>
  <c r="AI1286" i="2"/>
  <c r="AI1287" i="2"/>
  <c r="AI1288" i="2"/>
  <c r="AI1289" i="2"/>
  <c r="AI1290" i="2"/>
  <c r="AI1291" i="2"/>
  <c r="AI1292" i="2"/>
  <c r="AI1293" i="2"/>
  <c r="AI1294" i="2"/>
  <c r="AI1295" i="2"/>
  <c r="AI1296" i="2"/>
  <c r="AI1297" i="2"/>
  <c r="AI1298" i="2"/>
  <c r="AI1299" i="2"/>
  <c r="AI1300" i="2"/>
  <c r="AI1301" i="2"/>
  <c r="AI1302" i="2"/>
  <c r="AI1303" i="2"/>
  <c r="AI1304" i="2"/>
  <c r="AI1305" i="2"/>
  <c r="AI1306" i="2"/>
  <c r="AI1307" i="2"/>
  <c r="AI1308" i="2"/>
  <c r="AI1309" i="2"/>
  <c r="AI1310" i="2"/>
  <c r="AI1311" i="2"/>
  <c r="AI1312" i="2"/>
  <c r="AI1313" i="2"/>
  <c r="AI1314" i="2"/>
  <c r="AI1315" i="2"/>
  <c r="AI1316" i="2"/>
  <c r="AI1317" i="2"/>
  <c r="AI1318" i="2"/>
  <c r="AI1319" i="2"/>
  <c r="AI1320" i="2"/>
  <c r="AI1321" i="2"/>
  <c r="AI1322" i="2"/>
  <c r="AI1323" i="2"/>
  <c r="AI1324" i="2"/>
  <c r="AI1325" i="2"/>
  <c r="AI1326" i="2"/>
  <c r="AI1327" i="2"/>
  <c r="AI1328" i="2"/>
  <c r="AI1329" i="2"/>
  <c r="AI1330" i="2"/>
  <c r="AI1331" i="2"/>
  <c r="AI1332" i="2"/>
  <c r="AI1333" i="2"/>
  <c r="AI1334" i="2"/>
  <c r="AI1335" i="2"/>
  <c r="AI1336" i="2"/>
  <c r="AI1337" i="2"/>
  <c r="AI1338" i="2"/>
  <c r="AI1339" i="2"/>
  <c r="AI1340" i="2"/>
  <c r="AI1341" i="2"/>
  <c r="AI1342" i="2"/>
  <c r="AI1343" i="2"/>
  <c r="AI1344" i="2"/>
  <c r="AI1345" i="2"/>
  <c r="AI1346" i="2"/>
  <c r="AI1347" i="2"/>
  <c r="AI1348" i="2"/>
  <c r="AI1349" i="2"/>
  <c r="AI1350" i="2"/>
  <c r="AI1351" i="2"/>
  <c r="AI1352" i="2"/>
  <c r="AI1353" i="2"/>
  <c r="AI1354" i="2"/>
  <c r="AI1355" i="2"/>
  <c r="AI1356" i="2"/>
  <c r="AI1357" i="2"/>
  <c r="AI1358" i="2"/>
  <c r="AI1359" i="2"/>
  <c r="AI1360" i="2"/>
  <c r="AI1361" i="2"/>
  <c r="AI1362" i="2"/>
  <c r="AI1363" i="2"/>
  <c r="AI1364" i="2"/>
  <c r="AI1365" i="2"/>
  <c r="AI1366" i="2"/>
  <c r="AI1367" i="2"/>
  <c r="AI1368" i="2"/>
  <c r="AI1369" i="2"/>
  <c r="AI1370" i="2"/>
  <c r="AI1371" i="2"/>
  <c r="AI1372" i="2"/>
  <c r="AI1373" i="2"/>
  <c r="AI1374" i="2"/>
  <c r="AI1375" i="2"/>
  <c r="AI1376" i="2"/>
  <c r="AI1377" i="2"/>
  <c r="AI1378" i="2"/>
  <c r="AI1379" i="2"/>
  <c r="AI1380" i="2"/>
  <c r="AI1381" i="2"/>
  <c r="AI1382" i="2"/>
  <c r="AI1383" i="2"/>
  <c r="AI1384" i="2"/>
  <c r="AI1385" i="2"/>
  <c r="AI1386" i="2"/>
  <c r="AI1387" i="2"/>
  <c r="AI1388" i="2"/>
  <c r="AI1389" i="2"/>
  <c r="AI1390" i="2"/>
  <c r="AI1391" i="2"/>
  <c r="AI1392" i="2"/>
  <c r="AI1393" i="2"/>
  <c r="AI1394" i="2"/>
  <c r="AI1395" i="2"/>
  <c r="AI1396" i="2"/>
  <c r="AI1397" i="2"/>
  <c r="AI1398" i="2"/>
  <c r="AI1399" i="2"/>
  <c r="AI1400" i="2"/>
  <c r="AI1401" i="2"/>
  <c r="AI1402" i="2"/>
  <c r="AI1403" i="2"/>
  <c r="AI1404" i="2"/>
  <c r="AI1405" i="2"/>
  <c r="AI1406" i="2"/>
  <c r="AI1407" i="2"/>
  <c r="AI1408" i="2"/>
  <c r="AI1409" i="2"/>
  <c r="AI1410" i="2"/>
  <c r="AI1411" i="2"/>
  <c r="AI1412" i="2"/>
  <c r="AI1413" i="2"/>
  <c r="AI1414" i="2"/>
  <c r="AI1415" i="2"/>
  <c r="AI1416" i="2"/>
  <c r="AI1417" i="2"/>
  <c r="AI1418" i="2"/>
  <c r="AI1419" i="2"/>
  <c r="AI1420" i="2"/>
  <c r="AI1421" i="2"/>
  <c r="AI1422" i="2"/>
  <c r="AI1423" i="2"/>
  <c r="AI1424" i="2"/>
  <c r="AI1425" i="2"/>
  <c r="AI1426" i="2"/>
  <c r="AI1427" i="2"/>
  <c r="AI1428" i="2"/>
  <c r="AI1429" i="2"/>
  <c r="AI1430" i="2"/>
  <c r="AI1431" i="2"/>
  <c r="AI1432" i="2"/>
  <c r="AI1433" i="2"/>
  <c r="AI1434" i="2"/>
  <c r="AI1435" i="2"/>
  <c r="AI1436" i="2"/>
  <c r="AI1437" i="2"/>
  <c r="AI1438" i="2"/>
  <c r="AI1439" i="2"/>
  <c r="AI1440" i="2"/>
  <c r="AI1441" i="2"/>
  <c r="AI1442" i="2"/>
  <c r="AI1443" i="2"/>
  <c r="AI1444" i="2"/>
  <c r="AI1445" i="2"/>
  <c r="AI1446" i="2"/>
  <c r="AI1447" i="2"/>
  <c r="AI1448" i="2"/>
  <c r="AI1449" i="2"/>
  <c r="AI1450" i="2"/>
  <c r="AI1451" i="2"/>
  <c r="AI1452" i="2"/>
  <c r="AI1453" i="2"/>
  <c r="AI1454" i="2"/>
  <c r="AI1455" i="2"/>
  <c r="AI1456" i="2"/>
  <c r="AI1457" i="2"/>
  <c r="AI1458" i="2"/>
  <c r="AI1459" i="2"/>
  <c r="AI1460" i="2"/>
  <c r="AI1461" i="2"/>
  <c r="AI1462" i="2"/>
  <c r="AI1463" i="2"/>
  <c r="AI1464" i="2"/>
  <c r="AI1465" i="2"/>
  <c r="AI1466" i="2"/>
  <c r="AI1467" i="2"/>
  <c r="AI1468" i="2"/>
  <c r="AI1469" i="2"/>
  <c r="AI1470" i="2"/>
  <c r="AI1471" i="2"/>
  <c r="C4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7F49208-D318-488F-92CB-D9BB139B65A3}" keepAlive="1" name="Query - WA_Fn-UseC_-HR-Employee-Attrition" description="Connection to the 'WA_Fn-UseC_-HR-Employee-Attrition' query in the workbook." type="5" refreshedVersion="8" background="1" saveData="1">
    <dbPr connection="Provider=Microsoft.Mashup.OleDb.1;Data Source=$Workbook$;Location=WA_Fn-UseC_-HR-Employee-Attrition;Extended Properties=&quot;&quot;" command="SELECT * FROM [WA_Fn-UseC_-HR-Employee-Attrition]"/>
  </connection>
</connections>
</file>

<file path=xl/sharedStrings.xml><?xml version="1.0" encoding="utf-8"?>
<sst xmlns="http://schemas.openxmlformats.org/spreadsheetml/2006/main" count="11805" uniqueCount="69">
  <si>
    <t>Age</t>
  </si>
  <si>
    <t>Attrition</t>
  </si>
  <si>
    <t>BusinessTravel</t>
  </si>
  <si>
    <t>DailyRate</t>
  </si>
  <si>
    <t>Department</t>
  </si>
  <si>
    <t>DistanceFromHome</t>
  </si>
  <si>
    <t>Education</t>
  </si>
  <si>
    <t>EducationField</t>
  </si>
  <si>
    <t>EmployeeNumber</t>
  </si>
  <si>
    <t>EnvironmentSatisfaction</t>
  </si>
  <si>
    <t>Gender</t>
  </si>
  <si>
    <t>HourlyRate</t>
  </si>
  <si>
    <t>JobInvolvement</t>
  </si>
  <si>
    <t>JobLevel</t>
  </si>
  <si>
    <t>JobRole</t>
  </si>
  <si>
    <t>JobSatisfaction</t>
  </si>
  <si>
    <t>MaritalStatus</t>
  </si>
  <si>
    <t>MonthlyIncome</t>
  </si>
  <si>
    <t>MonthlyRate</t>
  </si>
  <si>
    <t>NumCompaniesWorked</t>
  </si>
  <si>
    <t>OverTime</t>
  </si>
  <si>
    <t>PercentSalaryHike</t>
  </si>
  <si>
    <t>PerformanceRating</t>
  </si>
  <si>
    <t>RelationshipSatisfaction</t>
  </si>
  <si>
    <t>StandardHours</t>
  </si>
  <si>
    <t>StockOptionLevel</t>
  </si>
  <si>
    <t>TotalWorkingYears</t>
  </si>
  <si>
    <t>TrainingTimesLastYear</t>
  </si>
  <si>
    <t>WorkLifeBalance</t>
  </si>
  <si>
    <t>YearsAtCompany</t>
  </si>
  <si>
    <t>YearsInCurrentRole</t>
  </si>
  <si>
    <t>YearsSinceLastPromotion</t>
  </si>
  <si>
    <t>YearsWithCurrManager</t>
  </si>
  <si>
    <t>Yes</t>
  </si>
  <si>
    <t>Travel_Rarely</t>
  </si>
  <si>
    <t>Sales</t>
  </si>
  <si>
    <t>Life Sciences</t>
  </si>
  <si>
    <t>Female</t>
  </si>
  <si>
    <t>Sales Executive</t>
  </si>
  <si>
    <t>Single</t>
  </si>
  <si>
    <t>No</t>
  </si>
  <si>
    <t>Travel_Frequently</t>
  </si>
  <si>
    <t>Research &amp; Development</t>
  </si>
  <si>
    <t>Male</t>
  </si>
  <si>
    <t>Research Scientist</t>
  </si>
  <si>
    <t>Married</t>
  </si>
  <si>
    <t>Other</t>
  </si>
  <si>
    <t>Laboratory Technician</t>
  </si>
  <si>
    <t>Medical</t>
  </si>
  <si>
    <t>Divorced</t>
  </si>
  <si>
    <t>Manufacturing Director</t>
  </si>
  <si>
    <t>Healthcare Representative</t>
  </si>
  <si>
    <t>Non-Travel</t>
  </si>
  <si>
    <t>Manager</t>
  </si>
  <si>
    <t>Sales Representative</t>
  </si>
  <si>
    <t>Research Director</t>
  </si>
  <si>
    <t>Marketing</t>
  </si>
  <si>
    <t>Technical Degree</t>
  </si>
  <si>
    <t>Human Resources</t>
  </si>
  <si>
    <t>Attrition_Flag</t>
  </si>
  <si>
    <t>Active_Employee</t>
  </si>
  <si>
    <t>Age_Group</t>
  </si>
  <si>
    <t>Income_Band</t>
  </si>
  <si>
    <t>Service_Band</t>
  </si>
  <si>
    <t>ID</t>
  </si>
  <si>
    <t>Row Labels</t>
  </si>
  <si>
    <t>Grand Total</t>
  </si>
  <si>
    <t>Count of ID</t>
  </si>
  <si>
    <t>Attrition Rate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</si>
</sst>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2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6">
    <xf numFmtId="0" fontId="0" fillId="0" borderId="0" xfId="0"/>
    <xf numFmtId="0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2" fillId="2" borderId="1" xfId="0" applyFont="1" applyFill="1" applyBorder="1"/>
    <xf numFmtId="10" fontId="2" fillId="0" borderId="0" xfId="1" applyNumberFormat="1" applyFont="1"/>
  </cellXfs>
  <cellStyles count="2">
    <cellStyle name="Normal" xfId="0" builtinId="0"/>
    <cellStyle name="Percent" xfId="1" builtinId="5"/>
  </cellStyles>
  <dxfs count="1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pivotCacheDefinition" Target="pivotCache/pivotCacheDefinition1.xml"/><Relationship Id="rId9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19</xdr:col>
      <xdr:colOff>12700</xdr:colOff>
      <xdr:row>23</xdr:row>
      <xdr:rowOff>133350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54A8F28-C300-8283-524B-685F641D588A}"/>
            </a:ext>
          </a:extLst>
        </xdr:cNvPr>
        <xdr:cNvSpPr txBox="1"/>
      </xdr:nvSpPr>
      <xdr:spPr>
        <a:xfrm>
          <a:off x="0" y="0"/>
          <a:ext cx="11595100" cy="43688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IN" sz="1400" b="1"/>
            <a:t>Basic Questions:</a:t>
          </a:r>
        </a:p>
        <a:p>
          <a:r>
            <a:rPr lang="en-IN"/>
            <a:t>1. Adecco India has an overall attrition rate of </a:t>
          </a:r>
          <a:r>
            <a:rPr lang="en-IN" b="1"/>
            <a:t>16.12%</a:t>
          </a:r>
          <a:r>
            <a:rPr lang="en-IN"/>
            <a:t>, meaning approximately </a:t>
          </a:r>
          <a:r>
            <a:rPr lang="en-IN" b="1"/>
            <a:t>1 out of every 6 employees</a:t>
          </a:r>
          <a:r>
            <a:rPr lang="en-IN"/>
            <a:t> has left the organization. </a:t>
          </a:r>
        </a:p>
        <a:p>
          <a:r>
            <a:rPr lang="en-IN"/>
            <a:t>    This indicates a moderate level of employee turnover and highlights the need to identify the key drivers of attrition, such as job role, </a:t>
          </a:r>
        </a:p>
        <a:p>
          <a:r>
            <a:rPr lang="en-IN"/>
            <a:t>    department, overtime, salary, or work-life balance, to improve employee retention.</a:t>
          </a:r>
          <a:endParaRPr lang="en-IN" sz="1100"/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tkarsh Dhangar" refreshedDate="46222.629128472225" createdVersion="8" refreshedVersion="8" minRefreshableVersion="3" recordCount="1470" xr:uid="{AF4B53F6-F7EA-4A9E-977B-4C8D7BC9D2EB}">
  <cacheSource type="worksheet">
    <worksheetSource name="tbl_HRData"/>
  </cacheSource>
  <cacheFields count="39">
    <cacheField name="ID" numFmtId="0">
      <sharedItems containsSemiMixedTypes="0" containsString="0" containsNumber="1" containsInteger="1" minValue="1" maxValue="1470"/>
    </cacheField>
    <cacheField name="Age" numFmtId="0">
      <sharedItems containsSemiMixedTypes="0" containsString="0" containsNumber="1" containsInteger="1" minValue="18" maxValue="60"/>
    </cacheField>
    <cacheField name="Attrition" numFmtId="0">
      <sharedItems count="2">
        <s v="Yes"/>
        <s v="No"/>
      </sharedItems>
    </cacheField>
    <cacheField name="BusinessTravel" numFmtId="0">
      <sharedItems/>
    </cacheField>
    <cacheField name="DailyRate" numFmtId="0">
      <sharedItems containsSemiMixedTypes="0" containsString="0" containsNumber="1" containsInteger="1" minValue="102" maxValue="1499"/>
    </cacheField>
    <cacheField name="Department" numFmtId="0">
      <sharedItems/>
    </cacheField>
    <cacheField name="DistanceFromHome" numFmtId="0">
      <sharedItems containsSemiMixedTypes="0" containsString="0" containsNumber="1" containsInteger="1" minValue="1" maxValue="29"/>
    </cacheField>
    <cacheField name="Education" numFmtId="0">
      <sharedItems containsSemiMixedTypes="0" containsString="0" containsNumber="1" containsInteger="1" minValue="1" maxValue="5"/>
    </cacheField>
    <cacheField name="EducationField" numFmtId="0">
      <sharedItems/>
    </cacheField>
    <cacheField name="EmployeeNumber" numFmtId="0">
      <sharedItems containsSemiMixedTypes="0" containsString="0" containsNumber="1" containsInteger="1" minValue="1" maxValue="2068"/>
    </cacheField>
    <cacheField name="EnvironmentSatisfaction" numFmtId="0">
      <sharedItems containsSemiMixedTypes="0" containsString="0" containsNumber="1" containsInteger="1" minValue="1" maxValue="4"/>
    </cacheField>
    <cacheField name="Gender" numFmtId="0">
      <sharedItems/>
    </cacheField>
    <cacheField name="HourlyRate" numFmtId="0">
      <sharedItems containsSemiMixedTypes="0" containsString="0" containsNumber="1" containsInteger="1" minValue="30" maxValue="100"/>
    </cacheField>
    <cacheField name="JobInvolvement" numFmtId="0">
      <sharedItems containsSemiMixedTypes="0" containsString="0" containsNumber="1" containsInteger="1" minValue="1" maxValue="4"/>
    </cacheField>
    <cacheField name="JobLevel" numFmtId="0">
      <sharedItems containsSemiMixedTypes="0" containsString="0" containsNumber="1" containsInteger="1" minValue="1" maxValue="5"/>
    </cacheField>
    <cacheField name="JobRole" numFmtId="0">
      <sharedItems/>
    </cacheField>
    <cacheField name="JobSatisfaction" numFmtId="0">
      <sharedItems containsSemiMixedTypes="0" containsString="0" containsNumber="1" containsInteger="1" minValue="1" maxValue="4"/>
    </cacheField>
    <cacheField name="MaritalStatus" numFmtId="0">
      <sharedItems/>
    </cacheField>
    <cacheField name="MonthlyIncome" numFmtId="0">
      <sharedItems containsSemiMixedTypes="0" containsString="0" containsNumber="1" containsInteger="1" minValue="1009" maxValue="19999"/>
    </cacheField>
    <cacheField name="MonthlyRate" numFmtId="0">
      <sharedItems containsSemiMixedTypes="0" containsString="0" containsNumber="1" containsInteger="1" minValue="2094" maxValue="26999"/>
    </cacheField>
    <cacheField name="NumCompaniesWorked" numFmtId="0">
      <sharedItems containsSemiMixedTypes="0" containsString="0" containsNumber="1" containsInteger="1" minValue="0" maxValue="9"/>
    </cacheField>
    <cacheField name="OverTime" numFmtId="0">
      <sharedItems/>
    </cacheField>
    <cacheField name="PercentSalaryHike" numFmtId="0">
      <sharedItems containsSemiMixedTypes="0" containsString="0" containsNumber="1" containsInteger="1" minValue="11" maxValue="25"/>
    </cacheField>
    <cacheField name="PerformanceRating" numFmtId="0">
      <sharedItems containsSemiMixedTypes="0" containsString="0" containsNumber="1" containsInteger="1" minValue="3" maxValue="4"/>
    </cacheField>
    <cacheField name="RelationshipSatisfaction" numFmtId="0">
      <sharedItems containsSemiMixedTypes="0" containsString="0" containsNumber="1" containsInteger="1" minValue="1" maxValue="4"/>
    </cacheField>
    <cacheField name="StandardHours" numFmtId="0">
      <sharedItems containsSemiMixedTypes="0" containsString="0" containsNumber="1" containsInteger="1" minValue="80" maxValue="80"/>
    </cacheField>
    <cacheField name="StockOptionLevel" numFmtId="0">
      <sharedItems containsSemiMixedTypes="0" containsString="0" containsNumber="1" containsInteger="1" minValue="0" maxValue="3"/>
    </cacheField>
    <cacheField name="TotalWorkingYears" numFmtId="0">
      <sharedItems containsSemiMixedTypes="0" containsString="0" containsNumber="1" containsInteger="1" minValue="0" maxValue="40"/>
    </cacheField>
    <cacheField name="TrainingTimesLastYear" numFmtId="0">
      <sharedItems containsSemiMixedTypes="0" containsString="0" containsNumber="1" containsInteger="1" minValue="0" maxValue="6"/>
    </cacheField>
    <cacheField name="WorkLifeBalance" numFmtId="0">
      <sharedItems containsSemiMixedTypes="0" containsString="0" containsNumber="1" containsInteger="1" minValue="1" maxValue="4"/>
    </cacheField>
    <cacheField name="YearsAtCompany" numFmtId="0">
      <sharedItems containsSemiMixedTypes="0" containsString="0" containsNumber="1" containsInteger="1" minValue="0" maxValue="40"/>
    </cacheField>
    <cacheField name="YearsInCurrentRole" numFmtId="0">
      <sharedItems containsSemiMixedTypes="0" containsString="0" containsNumber="1" containsInteger="1" minValue="0" maxValue="18"/>
    </cacheField>
    <cacheField name="YearsSinceLastPromotion" numFmtId="0">
      <sharedItems containsSemiMixedTypes="0" containsString="0" containsNumber="1" containsInteger="1" minValue="0" maxValue="15"/>
    </cacheField>
    <cacheField name="YearsWithCurrManager" numFmtId="0">
      <sharedItems containsSemiMixedTypes="0" containsString="0" containsNumber="1" containsInteger="1" minValue="0" maxValue="17"/>
    </cacheField>
    <cacheField name="Attrition_Flag" numFmtId="0">
      <sharedItems containsSemiMixedTypes="0" containsString="0" containsNumber="1" containsInteger="1" minValue="0" maxValue="1"/>
    </cacheField>
    <cacheField name="Active_Employee" numFmtId="0">
      <sharedItems containsSemiMixedTypes="0" containsString="0" containsNumber="1" containsInteger="1" minValue="0" maxValue="1"/>
    </cacheField>
    <cacheField name="Age_Group" numFmtId="0">
      <sharedItems/>
    </cacheField>
    <cacheField name="Income_Band" numFmtId="0">
      <sharedItems/>
    </cacheField>
    <cacheField name="Service_Band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70">
  <r>
    <n v="1"/>
    <n v="41"/>
    <x v="0"/>
    <s v="Travel_Rarely"/>
    <n v="1102"/>
    <s v="Sales"/>
    <n v="1"/>
    <n v="2"/>
    <s v="Life Sciences"/>
    <n v="1"/>
    <n v="2"/>
    <s v="Female"/>
    <n v="94"/>
    <n v="3"/>
    <n v="2"/>
    <s v="Sales Executive"/>
    <n v="4"/>
    <s v="Single"/>
    <n v="5993"/>
    <n v="19479"/>
    <n v="8"/>
    <s v="Yes"/>
    <n v="11"/>
    <n v="3"/>
    <n v="1"/>
    <n v="80"/>
    <n v="0"/>
    <n v="8"/>
    <n v="0"/>
    <n v="1"/>
    <n v="6"/>
    <n v="4"/>
    <n v="0"/>
    <n v="5"/>
    <n v="1"/>
    <n v="0"/>
    <s v="35-44"/>
    <s v="Medium"/>
    <s v="6-10 Years"/>
  </r>
  <r>
    <n v="2"/>
    <n v="49"/>
    <x v="1"/>
    <s v="Travel_Frequently"/>
    <n v="279"/>
    <s v="Research &amp; Development"/>
    <n v="8"/>
    <n v="1"/>
    <s v="Life Sciences"/>
    <n v="2"/>
    <n v="3"/>
    <s v="Male"/>
    <n v="61"/>
    <n v="2"/>
    <n v="2"/>
    <s v="Research Scientist"/>
    <n v="2"/>
    <s v="Married"/>
    <n v="5130"/>
    <n v="24907"/>
    <n v="1"/>
    <s v="No"/>
    <n v="23"/>
    <n v="4"/>
    <n v="4"/>
    <n v="80"/>
    <n v="1"/>
    <n v="10"/>
    <n v="3"/>
    <n v="3"/>
    <n v="10"/>
    <n v="7"/>
    <n v="1"/>
    <n v="7"/>
    <n v="0"/>
    <n v="1"/>
    <s v="45-54"/>
    <s v="Medium"/>
    <s v="6-10 Years"/>
  </r>
  <r>
    <n v="3"/>
    <n v="37"/>
    <x v="0"/>
    <s v="Travel_Rarely"/>
    <n v="1373"/>
    <s v="Research &amp; Development"/>
    <n v="2"/>
    <n v="2"/>
    <s v="Other"/>
    <n v="4"/>
    <n v="4"/>
    <s v="Male"/>
    <n v="92"/>
    <n v="2"/>
    <n v="1"/>
    <s v="Laboratory Technician"/>
    <n v="3"/>
    <s v="Single"/>
    <n v="2090"/>
    <n v="2396"/>
    <n v="6"/>
    <s v="Yes"/>
    <n v="15"/>
    <n v="3"/>
    <n v="2"/>
    <n v="80"/>
    <n v="0"/>
    <n v="7"/>
    <n v="3"/>
    <n v="3"/>
    <n v="0"/>
    <n v="0"/>
    <n v="0"/>
    <n v="0"/>
    <n v="1"/>
    <n v="0"/>
    <s v="35-44"/>
    <s v="Low"/>
    <s v="0-5 Years"/>
  </r>
  <r>
    <n v="4"/>
    <n v="33"/>
    <x v="1"/>
    <s v="Travel_Frequently"/>
    <n v="1392"/>
    <s v="Research &amp; Development"/>
    <n v="3"/>
    <n v="4"/>
    <s v="Life Sciences"/>
    <n v="5"/>
    <n v="4"/>
    <s v="Female"/>
    <n v="56"/>
    <n v="3"/>
    <n v="1"/>
    <s v="Research Scientist"/>
    <n v="3"/>
    <s v="Married"/>
    <n v="2909"/>
    <n v="23159"/>
    <n v="1"/>
    <s v="Yes"/>
    <n v="11"/>
    <n v="3"/>
    <n v="3"/>
    <n v="80"/>
    <n v="0"/>
    <n v="8"/>
    <n v="3"/>
    <n v="3"/>
    <n v="8"/>
    <n v="7"/>
    <n v="3"/>
    <n v="0"/>
    <n v="0"/>
    <n v="1"/>
    <s v="25-34"/>
    <s v="Low"/>
    <s v="6-10 Years"/>
  </r>
  <r>
    <n v="5"/>
    <n v="27"/>
    <x v="1"/>
    <s v="Travel_Rarely"/>
    <n v="591"/>
    <s v="Research &amp; Development"/>
    <n v="2"/>
    <n v="1"/>
    <s v="Medical"/>
    <n v="7"/>
    <n v="1"/>
    <s v="Male"/>
    <n v="40"/>
    <n v="3"/>
    <n v="1"/>
    <s v="Laboratory Technician"/>
    <n v="2"/>
    <s v="Married"/>
    <n v="3468"/>
    <n v="16632"/>
    <n v="9"/>
    <s v="No"/>
    <n v="12"/>
    <n v="3"/>
    <n v="4"/>
    <n v="80"/>
    <n v="1"/>
    <n v="6"/>
    <n v="3"/>
    <n v="3"/>
    <n v="2"/>
    <n v="2"/>
    <n v="2"/>
    <n v="2"/>
    <n v="0"/>
    <n v="1"/>
    <s v="25-34"/>
    <s v="Low"/>
    <s v="0-5 Years"/>
  </r>
  <r>
    <n v="6"/>
    <n v="32"/>
    <x v="1"/>
    <s v="Travel_Frequently"/>
    <n v="1005"/>
    <s v="Research &amp; Development"/>
    <n v="2"/>
    <n v="2"/>
    <s v="Life Sciences"/>
    <n v="8"/>
    <n v="4"/>
    <s v="Male"/>
    <n v="79"/>
    <n v="3"/>
    <n v="1"/>
    <s v="Laboratory Technician"/>
    <n v="4"/>
    <s v="Single"/>
    <n v="3068"/>
    <n v="11864"/>
    <n v="0"/>
    <s v="No"/>
    <n v="13"/>
    <n v="3"/>
    <n v="3"/>
    <n v="80"/>
    <n v="0"/>
    <n v="8"/>
    <n v="2"/>
    <n v="2"/>
    <n v="7"/>
    <n v="7"/>
    <n v="3"/>
    <n v="6"/>
    <n v="0"/>
    <n v="1"/>
    <s v="25-34"/>
    <s v="Low"/>
    <s v="6-10 Years"/>
  </r>
  <r>
    <n v="7"/>
    <n v="59"/>
    <x v="1"/>
    <s v="Travel_Rarely"/>
    <n v="1324"/>
    <s v="Research &amp; Development"/>
    <n v="3"/>
    <n v="3"/>
    <s v="Medical"/>
    <n v="10"/>
    <n v="3"/>
    <s v="Female"/>
    <n v="81"/>
    <n v="4"/>
    <n v="1"/>
    <s v="Laboratory Technician"/>
    <n v="1"/>
    <s v="Married"/>
    <n v="2670"/>
    <n v="9964"/>
    <n v="4"/>
    <s v="Yes"/>
    <n v="20"/>
    <n v="4"/>
    <n v="1"/>
    <n v="80"/>
    <n v="3"/>
    <n v="12"/>
    <n v="3"/>
    <n v="2"/>
    <n v="1"/>
    <n v="0"/>
    <n v="0"/>
    <n v="0"/>
    <n v="0"/>
    <n v="1"/>
    <s v="55+"/>
    <s v="Low"/>
    <s v="0-5 Years"/>
  </r>
  <r>
    <n v="8"/>
    <n v="30"/>
    <x v="1"/>
    <s v="Travel_Rarely"/>
    <n v="1358"/>
    <s v="Research &amp; Development"/>
    <n v="24"/>
    <n v="1"/>
    <s v="Life Sciences"/>
    <n v="11"/>
    <n v="4"/>
    <s v="Male"/>
    <n v="67"/>
    <n v="3"/>
    <n v="1"/>
    <s v="Laboratory Technician"/>
    <n v="3"/>
    <s v="Divorced"/>
    <n v="2693"/>
    <n v="13335"/>
    <n v="1"/>
    <s v="No"/>
    <n v="22"/>
    <n v="4"/>
    <n v="2"/>
    <n v="80"/>
    <n v="1"/>
    <n v="1"/>
    <n v="2"/>
    <n v="3"/>
    <n v="1"/>
    <n v="0"/>
    <n v="0"/>
    <n v="0"/>
    <n v="0"/>
    <n v="1"/>
    <s v="25-34"/>
    <s v="Low"/>
    <s v="0-5 Years"/>
  </r>
  <r>
    <n v="9"/>
    <n v="38"/>
    <x v="1"/>
    <s v="Travel_Frequently"/>
    <n v="216"/>
    <s v="Research &amp; Development"/>
    <n v="23"/>
    <n v="3"/>
    <s v="Life Sciences"/>
    <n v="12"/>
    <n v="4"/>
    <s v="Male"/>
    <n v="44"/>
    <n v="2"/>
    <n v="3"/>
    <s v="Manufacturing Director"/>
    <n v="3"/>
    <s v="Single"/>
    <n v="9526"/>
    <n v="8787"/>
    <n v="0"/>
    <s v="No"/>
    <n v="21"/>
    <n v="4"/>
    <n v="2"/>
    <n v="80"/>
    <n v="0"/>
    <n v="10"/>
    <n v="2"/>
    <n v="3"/>
    <n v="9"/>
    <n v="7"/>
    <n v="1"/>
    <n v="8"/>
    <n v="0"/>
    <n v="1"/>
    <s v="35-44"/>
    <s v="Medium"/>
    <s v="6-10 Years"/>
  </r>
  <r>
    <n v="10"/>
    <n v="36"/>
    <x v="1"/>
    <s v="Travel_Rarely"/>
    <n v="1299"/>
    <s v="Research &amp; Development"/>
    <n v="27"/>
    <n v="3"/>
    <s v="Medical"/>
    <n v="13"/>
    <n v="3"/>
    <s v="Male"/>
    <n v="94"/>
    <n v="3"/>
    <n v="2"/>
    <s v="Healthcare Representative"/>
    <n v="3"/>
    <s v="Married"/>
    <n v="5237"/>
    <n v="16577"/>
    <n v="6"/>
    <s v="No"/>
    <n v="13"/>
    <n v="3"/>
    <n v="2"/>
    <n v="80"/>
    <n v="2"/>
    <n v="17"/>
    <n v="3"/>
    <n v="2"/>
    <n v="7"/>
    <n v="7"/>
    <n v="7"/>
    <n v="7"/>
    <n v="0"/>
    <n v="1"/>
    <s v="35-44"/>
    <s v="Medium"/>
    <s v="6-10 Years"/>
  </r>
  <r>
    <n v="11"/>
    <n v="35"/>
    <x v="1"/>
    <s v="Travel_Rarely"/>
    <n v="809"/>
    <s v="Research &amp; Development"/>
    <n v="16"/>
    <n v="3"/>
    <s v="Medical"/>
    <n v="14"/>
    <n v="1"/>
    <s v="Male"/>
    <n v="84"/>
    <n v="4"/>
    <n v="1"/>
    <s v="Laboratory Technician"/>
    <n v="2"/>
    <s v="Married"/>
    <n v="2426"/>
    <n v="16479"/>
    <n v="0"/>
    <s v="No"/>
    <n v="13"/>
    <n v="3"/>
    <n v="3"/>
    <n v="80"/>
    <n v="1"/>
    <n v="6"/>
    <n v="5"/>
    <n v="3"/>
    <n v="5"/>
    <n v="4"/>
    <n v="0"/>
    <n v="3"/>
    <n v="0"/>
    <n v="1"/>
    <s v="35-44"/>
    <s v="Low"/>
    <s v="0-5 Years"/>
  </r>
  <r>
    <n v="12"/>
    <n v="29"/>
    <x v="1"/>
    <s v="Travel_Rarely"/>
    <n v="153"/>
    <s v="Research &amp; Development"/>
    <n v="15"/>
    <n v="2"/>
    <s v="Life Sciences"/>
    <n v="15"/>
    <n v="4"/>
    <s v="Female"/>
    <n v="49"/>
    <n v="2"/>
    <n v="2"/>
    <s v="Laboratory Technician"/>
    <n v="3"/>
    <s v="Single"/>
    <n v="4193"/>
    <n v="12682"/>
    <n v="0"/>
    <s v="Yes"/>
    <n v="12"/>
    <n v="3"/>
    <n v="4"/>
    <n v="80"/>
    <n v="0"/>
    <n v="10"/>
    <n v="3"/>
    <n v="3"/>
    <n v="9"/>
    <n v="5"/>
    <n v="0"/>
    <n v="8"/>
    <n v="0"/>
    <n v="1"/>
    <s v="25-34"/>
    <s v="Low"/>
    <s v="6-10 Years"/>
  </r>
  <r>
    <n v="13"/>
    <n v="31"/>
    <x v="1"/>
    <s v="Travel_Rarely"/>
    <n v="670"/>
    <s v="Research &amp; Development"/>
    <n v="26"/>
    <n v="1"/>
    <s v="Life Sciences"/>
    <n v="16"/>
    <n v="1"/>
    <s v="Male"/>
    <n v="31"/>
    <n v="3"/>
    <n v="1"/>
    <s v="Research Scientist"/>
    <n v="3"/>
    <s v="Divorced"/>
    <n v="2911"/>
    <n v="15170"/>
    <n v="1"/>
    <s v="No"/>
    <n v="17"/>
    <n v="3"/>
    <n v="4"/>
    <n v="80"/>
    <n v="1"/>
    <n v="5"/>
    <n v="1"/>
    <n v="2"/>
    <n v="5"/>
    <n v="2"/>
    <n v="4"/>
    <n v="3"/>
    <n v="0"/>
    <n v="1"/>
    <s v="25-34"/>
    <s v="Low"/>
    <s v="0-5 Years"/>
  </r>
  <r>
    <n v="14"/>
    <n v="34"/>
    <x v="1"/>
    <s v="Travel_Rarely"/>
    <n v="1346"/>
    <s v="Research &amp; Development"/>
    <n v="19"/>
    <n v="2"/>
    <s v="Medical"/>
    <n v="18"/>
    <n v="2"/>
    <s v="Male"/>
    <n v="93"/>
    <n v="3"/>
    <n v="1"/>
    <s v="Laboratory Technician"/>
    <n v="4"/>
    <s v="Divorced"/>
    <n v="2661"/>
    <n v="8758"/>
    <n v="0"/>
    <s v="No"/>
    <n v="11"/>
    <n v="3"/>
    <n v="3"/>
    <n v="80"/>
    <n v="1"/>
    <n v="3"/>
    <n v="2"/>
    <n v="3"/>
    <n v="2"/>
    <n v="2"/>
    <n v="1"/>
    <n v="2"/>
    <n v="0"/>
    <n v="1"/>
    <s v="25-34"/>
    <s v="Low"/>
    <s v="0-5 Years"/>
  </r>
  <r>
    <n v="15"/>
    <n v="28"/>
    <x v="0"/>
    <s v="Travel_Rarely"/>
    <n v="103"/>
    <s v="Research &amp; Development"/>
    <n v="24"/>
    <n v="3"/>
    <s v="Life Sciences"/>
    <n v="19"/>
    <n v="3"/>
    <s v="Male"/>
    <n v="50"/>
    <n v="2"/>
    <n v="1"/>
    <s v="Laboratory Technician"/>
    <n v="3"/>
    <s v="Single"/>
    <n v="2028"/>
    <n v="12947"/>
    <n v="5"/>
    <s v="Yes"/>
    <n v="14"/>
    <n v="3"/>
    <n v="2"/>
    <n v="80"/>
    <n v="0"/>
    <n v="6"/>
    <n v="4"/>
    <n v="3"/>
    <n v="4"/>
    <n v="2"/>
    <n v="0"/>
    <n v="3"/>
    <n v="1"/>
    <n v="0"/>
    <s v="25-34"/>
    <s v="Low"/>
    <s v="0-5 Years"/>
  </r>
  <r>
    <n v="16"/>
    <n v="29"/>
    <x v="1"/>
    <s v="Travel_Rarely"/>
    <n v="1389"/>
    <s v="Research &amp; Development"/>
    <n v="21"/>
    <n v="4"/>
    <s v="Life Sciences"/>
    <n v="20"/>
    <n v="2"/>
    <s v="Female"/>
    <n v="51"/>
    <n v="4"/>
    <n v="3"/>
    <s v="Manufacturing Director"/>
    <n v="1"/>
    <s v="Divorced"/>
    <n v="9980"/>
    <n v="10195"/>
    <n v="1"/>
    <s v="No"/>
    <n v="11"/>
    <n v="3"/>
    <n v="3"/>
    <n v="80"/>
    <n v="1"/>
    <n v="10"/>
    <n v="1"/>
    <n v="3"/>
    <n v="10"/>
    <n v="9"/>
    <n v="8"/>
    <n v="8"/>
    <n v="0"/>
    <n v="1"/>
    <s v="25-34"/>
    <s v="Medium"/>
    <s v="6-10 Years"/>
  </r>
  <r>
    <n v="17"/>
    <n v="32"/>
    <x v="1"/>
    <s v="Travel_Rarely"/>
    <n v="334"/>
    <s v="Research &amp; Development"/>
    <n v="5"/>
    <n v="2"/>
    <s v="Life Sciences"/>
    <n v="21"/>
    <n v="1"/>
    <s v="Male"/>
    <n v="80"/>
    <n v="4"/>
    <n v="1"/>
    <s v="Research Scientist"/>
    <n v="2"/>
    <s v="Divorced"/>
    <n v="3298"/>
    <n v="15053"/>
    <n v="0"/>
    <s v="Yes"/>
    <n v="12"/>
    <n v="3"/>
    <n v="4"/>
    <n v="80"/>
    <n v="2"/>
    <n v="7"/>
    <n v="5"/>
    <n v="2"/>
    <n v="6"/>
    <n v="2"/>
    <n v="0"/>
    <n v="5"/>
    <n v="0"/>
    <n v="1"/>
    <s v="25-34"/>
    <s v="Low"/>
    <s v="6-10 Years"/>
  </r>
  <r>
    <n v="18"/>
    <n v="22"/>
    <x v="1"/>
    <s v="Non-Travel"/>
    <n v="1123"/>
    <s v="Research &amp; Development"/>
    <n v="16"/>
    <n v="2"/>
    <s v="Medical"/>
    <n v="22"/>
    <n v="4"/>
    <s v="Male"/>
    <n v="96"/>
    <n v="4"/>
    <n v="1"/>
    <s v="Laboratory Technician"/>
    <n v="4"/>
    <s v="Divorced"/>
    <n v="2935"/>
    <n v="7324"/>
    <n v="1"/>
    <s v="Yes"/>
    <n v="13"/>
    <n v="3"/>
    <n v="2"/>
    <n v="80"/>
    <n v="2"/>
    <n v="1"/>
    <n v="2"/>
    <n v="2"/>
    <n v="1"/>
    <n v="0"/>
    <n v="0"/>
    <n v="0"/>
    <n v="0"/>
    <n v="1"/>
    <s v="Under 25"/>
    <s v="Low"/>
    <s v="0-5 Years"/>
  </r>
  <r>
    <n v="19"/>
    <n v="53"/>
    <x v="1"/>
    <s v="Travel_Rarely"/>
    <n v="1219"/>
    <s v="Sales"/>
    <n v="2"/>
    <n v="4"/>
    <s v="Life Sciences"/>
    <n v="23"/>
    <n v="1"/>
    <s v="Female"/>
    <n v="78"/>
    <n v="2"/>
    <n v="4"/>
    <s v="Manager"/>
    <n v="4"/>
    <s v="Married"/>
    <n v="15427"/>
    <n v="22021"/>
    <n v="2"/>
    <s v="No"/>
    <n v="16"/>
    <n v="3"/>
    <n v="3"/>
    <n v="80"/>
    <n v="0"/>
    <n v="31"/>
    <n v="3"/>
    <n v="3"/>
    <n v="25"/>
    <n v="8"/>
    <n v="3"/>
    <n v="7"/>
    <n v="0"/>
    <n v="1"/>
    <s v="45-54"/>
    <s v="High"/>
    <s v="21+ Years"/>
  </r>
  <r>
    <n v="20"/>
    <n v="38"/>
    <x v="1"/>
    <s v="Travel_Rarely"/>
    <n v="371"/>
    <s v="Research &amp; Development"/>
    <n v="2"/>
    <n v="3"/>
    <s v="Life Sciences"/>
    <n v="24"/>
    <n v="4"/>
    <s v="Male"/>
    <n v="45"/>
    <n v="3"/>
    <n v="1"/>
    <s v="Research Scientist"/>
    <n v="4"/>
    <s v="Single"/>
    <n v="3944"/>
    <n v="4306"/>
    <n v="5"/>
    <s v="Yes"/>
    <n v="11"/>
    <n v="3"/>
    <n v="3"/>
    <n v="80"/>
    <n v="0"/>
    <n v="6"/>
    <n v="3"/>
    <n v="3"/>
    <n v="3"/>
    <n v="2"/>
    <n v="1"/>
    <n v="2"/>
    <n v="0"/>
    <n v="1"/>
    <s v="35-44"/>
    <s v="Low"/>
    <s v="0-5 Years"/>
  </r>
  <r>
    <n v="21"/>
    <n v="24"/>
    <x v="1"/>
    <s v="Non-Travel"/>
    <n v="673"/>
    <s v="Research &amp; Development"/>
    <n v="11"/>
    <n v="2"/>
    <s v="Other"/>
    <n v="26"/>
    <n v="1"/>
    <s v="Female"/>
    <n v="96"/>
    <n v="4"/>
    <n v="2"/>
    <s v="Manufacturing Director"/>
    <n v="3"/>
    <s v="Divorced"/>
    <n v="4011"/>
    <n v="8232"/>
    <n v="0"/>
    <s v="No"/>
    <n v="18"/>
    <n v="3"/>
    <n v="4"/>
    <n v="80"/>
    <n v="1"/>
    <n v="5"/>
    <n v="5"/>
    <n v="2"/>
    <n v="4"/>
    <n v="2"/>
    <n v="1"/>
    <n v="3"/>
    <n v="0"/>
    <n v="1"/>
    <s v="Under 25"/>
    <s v="Low"/>
    <s v="0-5 Years"/>
  </r>
  <r>
    <n v="22"/>
    <n v="36"/>
    <x v="0"/>
    <s v="Travel_Rarely"/>
    <n v="1218"/>
    <s v="Sales"/>
    <n v="9"/>
    <n v="4"/>
    <s v="Life Sciences"/>
    <n v="27"/>
    <n v="3"/>
    <s v="Male"/>
    <n v="82"/>
    <n v="2"/>
    <n v="1"/>
    <s v="Sales Representative"/>
    <n v="1"/>
    <s v="Single"/>
    <n v="3407"/>
    <n v="6986"/>
    <n v="7"/>
    <s v="No"/>
    <n v="23"/>
    <n v="4"/>
    <n v="2"/>
    <n v="80"/>
    <n v="0"/>
    <n v="10"/>
    <n v="4"/>
    <n v="3"/>
    <n v="5"/>
    <n v="3"/>
    <n v="0"/>
    <n v="3"/>
    <n v="1"/>
    <n v="0"/>
    <s v="35-44"/>
    <s v="Low"/>
    <s v="0-5 Years"/>
  </r>
  <r>
    <n v="23"/>
    <n v="34"/>
    <x v="1"/>
    <s v="Travel_Rarely"/>
    <n v="419"/>
    <s v="Research &amp; Development"/>
    <n v="7"/>
    <n v="4"/>
    <s v="Life Sciences"/>
    <n v="28"/>
    <n v="1"/>
    <s v="Female"/>
    <n v="53"/>
    <n v="3"/>
    <n v="3"/>
    <s v="Research Director"/>
    <n v="2"/>
    <s v="Single"/>
    <n v="11994"/>
    <n v="21293"/>
    <n v="0"/>
    <s v="No"/>
    <n v="11"/>
    <n v="3"/>
    <n v="3"/>
    <n v="80"/>
    <n v="0"/>
    <n v="13"/>
    <n v="4"/>
    <n v="3"/>
    <n v="12"/>
    <n v="6"/>
    <n v="2"/>
    <n v="11"/>
    <n v="0"/>
    <n v="1"/>
    <s v="25-34"/>
    <s v="Upper Medium"/>
    <s v="11-20 Years"/>
  </r>
  <r>
    <n v="24"/>
    <n v="21"/>
    <x v="1"/>
    <s v="Travel_Rarely"/>
    <n v="391"/>
    <s v="Research &amp; Development"/>
    <n v="15"/>
    <n v="2"/>
    <s v="Life Sciences"/>
    <n v="30"/>
    <n v="3"/>
    <s v="Male"/>
    <n v="96"/>
    <n v="3"/>
    <n v="1"/>
    <s v="Research Scientist"/>
    <n v="4"/>
    <s v="Single"/>
    <n v="1232"/>
    <n v="19281"/>
    <n v="1"/>
    <s v="No"/>
    <n v="14"/>
    <n v="3"/>
    <n v="4"/>
    <n v="80"/>
    <n v="0"/>
    <n v="0"/>
    <n v="6"/>
    <n v="3"/>
    <n v="0"/>
    <n v="0"/>
    <n v="0"/>
    <n v="0"/>
    <n v="0"/>
    <n v="1"/>
    <s v="Under 25"/>
    <s v="Low"/>
    <s v="0-5 Years"/>
  </r>
  <r>
    <n v="25"/>
    <n v="34"/>
    <x v="0"/>
    <s v="Travel_Rarely"/>
    <n v="699"/>
    <s v="Research &amp; Development"/>
    <n v="6"/>
    <n v="1"/>
    <s v="Medical"/>
    <n v="31"/>
    <n v="2"/>
    <s v="Male"/>
    <n v="83"/>
    <n v="3"/>
    <n v="1"/>
    <s v="Research Scientist"/>
    <n v="1"/>
    <s v="Single"/>
    <n v="2960"/>
    <n v="17102"/>
    <n v="2"/>
    <s v="No"/>
    <n v="11"/>
    <n v="3"/>
    <n v="3"/>
    <n v="80"/>
    <n v="0"/>
    <n v="8"/>
    <n v="2"/>
    <n v="3"/>
    <n v="4"/>
    <n v="2"/>
    <n v="1"/>
    <n v="3"/>
    <n v="1"/>
    <n v="0"/>
    <s v="25-34"/>
    <s v="Low"/>
    <s v="0-5 Years"/>
  </r>
  <r>
    <n v="26"/>
    <n v="53"/>
    <x v="1"/>
    <s v="Travel_Rarely"/>
    <n v="1282"/>
    <s v="Research &amp; Development"/>
    <n v="5"/>
    <n v="3"/>
    <s v="Other"/>
    <n v="32"/>
    <n v="3"/>
    <s v="Female"/>
    <n v="58"/>
    <n v="3"/>
    <n v="5"/>
    <s v="Manager"/>
    <n v="3"/>
    <s v="Divorced"/>
    <n v="19094"/>
    <n v="10735"/>
    <n v="4"/>
    <s v="No"/>
    <n v="11"/>
    <n v="3"/>
    <n v="4"/>
    <n v="80"/>
    <n v="1"/>
    <n v="26"/>
    <n v="3"/>
    <n v="2"/>
    <n v="14"/>
    <n v="13"/>
    <n v="4"/>
    <n v="8"/>
    <n v="0"/>
    <n v="1"/>
    <s v="45-54"/>
    <s v="High"/>
    <s v="11-20 Years"/>
  </r>
  <r>
    <n v="27"/>
    <n v="32"/>
    <x v="0"/>
    <s v="Travel_Frequently"/>
    <n v="1125"/>
    <s v="Research &amp; Development"/>
    <n v="16"/>
    <n v="1"/>
    <s v="Life Sciences"/>
    <n v="33"/>
    <n v="2"/>
    <s v="Female"/>
    <n v="72"/>
    <n v="1"/>
    <n v="1"/>
    <s v="Research Scientist"/>
    <n v="1"/>
    <s v="Single"/>
    <n v="3919"/>
    <n v="4681"/>
    <n v="1"/>
    <s v="Yes"/>
    <n v="22"/>
    <n v="4"/>
    <n v="2"/>
    <n v="80"/>
    <n v="0"/>
    <n v="10"/>
    <n v="5"/>
    <n v="3"/>
    <n v="10"/>
    <n v="2"/>
    <n v="6"/>
    <n v="7"/>
    <n v="1"/>
    <n v="0"/>
    <s v="25-34"/>
    <s v="Low"/>
    <s v="6-10 Years"/>
  </r>
  <r>
    <n v="28"/>
    <n v="42"/>
    <x v="1"/>
    <s v="Travel_Rarely"/>
    <n v="691"/>
    <s v="Sales"/>
    <n v="8"/>
    <n v="4"/>
    <s v="Marketing"/>
    <n v="35"/>
    <n v="3"/>
    <s v="Male"/>
    <n v="48"/>
    <n v="3"/>
    <n v="2"/>
    <s v="Sales Executive"/>
    <n v="2"/>
    <s v="Married"/>
    <n v="6825"/>
    <n v="21173"/>
    <n v="0"/>
    <s v="No"/>
    <n v="11"/>
    <n v="3"/>
    <n v="4"/>
    <n v="80"/>
    <n v="1"/>
    <n v="10"/>
    <n v="2"/>
    <n v="3"/>
    <n v="9"/>
    <n v="7"/>
    <n v="4"/>
    <n v="2"/>
    <n v="0"/>
    <n v="1"/>
    <s v="35-44"/>
    <s v="Medium"/>
    <s v="6-10 Years"/>
  </r>
  <r>
    <n v="29"/>
    <n v="44"/>
    <x v="1"/>
    <s v="Travel_Rarely"/>
    <n v="477"/>
    <s v="Research &amp; Development"/>
    <n v="7"/>
    <n v="4"/>
    <s v="Medical"/>
    <n v="36"/>
    <n v="1"/>
    <s v="Female"/>
    <n v="42"/>
    <n v="2"/>
    <n v="3"/>
    <s v="Healthcare Representative"/>
    <n v="4"/>
    <s v="Married"/>
    <n v="10248"/>
    <n v="2094"/>
    <n v="3"/>
    <s v="No"/>
    <n v="14"/>
    <n v="3"/>
    <n v="4"/>
    <n v="80"/>
    <n v="1"/>
    <n v="24"/>
    <n v="4"/>
    <n v="3"/>
    <n v="22"/>
    <n v="6"/>
    <n v="5"/>
    <n v="17"/>
    <n v="0"/>
    <n v="1"/>
    <s v="35-44"/>
    <s v="Upper Medium"/>
    <s v="21+ Years"/>
  </r>
  <r>
    <n v="30"/>
    <n v="46"/>
    <x v="1"/>
    <s v="Travel_Rarely"/>
    <n v="705"/>
    <s v="Sales"/>
    <n v="2"/>
    <n v="4"/>
    <s v="Marketing"/>
    <n v="38"/>
    <n v="2"/>
    <s v="Female"/>
    <n v="83"/>
    <n v="3"/>
    <n v="5"/>
    <s v="Manager"/>
    <n v="1"/>
    <s v="Single"/>
    <n v="18947"/>
    <n v="22822"/>
    <n v="3"/>
    <s v="No"/>
    <n v="12"/>
    <n v="3"/>
    <n v="4"/>
    <n v="80"/>
    <n v="0"/>
    <n v="22"/>
    <n v="2"/>
    <n v="2"/>
    <n v="2"/>
    <n v="2"/>
    <n v="2"/>
    <n v="1"/>
    <n v="0"/>
    <n v="1"/>
    <s v="45-54"/>
    <s v="High"/>
    <s v="0-5 Years"/>
  </r>
  <r>
    <n v="31"/>
    <n v="33"/>
    <x v="1"/>
    <s v="Travel_Rarely"/>
    <n v="924"/>
    <s v="Research &amp; Development"/>
    <n v="2"/>
    <n v="3"/>
    <s v="Medical"/>
    <n v="39"/>
    <n v="3"/>
    <s v="Male"/>
    <n v="78"/>
    <n v="3"/>
    <n v="1"/>
    <s v="Laboratory Technician"/>
    <n v="4"/>
    <s v="Single"/>
    <n v="2496"/>
    <n v="6670"/>
    <n v="4"/>
    <s v="No"/>
    <n v="11"/>
    <n v="3"/>
    <n v="4"/>
    <n v="80"/>
    <n v="0"/>
    <n v="7"/>
    <n v="3"/>
    <n v="3"/>
    <n v="1"/>
    <n v="1"/>
    <n v="0"/>
    <n v="0"/>
    <n v="0"/>
    <n v="1"/>
    <s v="25-34"/>
    <s v="Low"/>
    <s v="0-5 Years"/>
  </r>
  <r>
    <n v="32"/>
    <n v="44"/>
    <x v="1"/>
    <s v="Travel_Rarely"/>
    <n v="1459"/>
    <s v="Research &amp; Development"/>
    <n v="10"/>
    <n v="4"/>
    <s v="Other"/>
    <n v="40"/>
    <n v="4"/>
    <s v="Male"/>
    <n v="41"/>
    <n v="3"/>
    <n v="2"/>
    <s v="Healthcare Representative"/>
    <n v="4"/>
    <s v="Married"/>
    <n v="6465"/>
    <n v="19121"/>
    <n v="2"/>
    <s v="Yes"/>
    <n v="13"/>
    <n v="3"/>
    <n v="4"/>
    <n v="80"/>
    <n v="0"/>
    <n v="9"/>
    <n v="5"/>
    <n v="4"/>
    <n v="4"/>
    <n v="2"/>
    <n v="1"/>
    <n v="3"/>
    <n v="0"/>
    <n v="1"/>
    <s v="35-44"/>
    <s v="Medium"/>
    <s v="0-5 Years"/>
  </r>
  <r>
    <n v="33"/>
    <n v="30"/>
    <x v="1"/>
    <s v="Travel_Rarely"/>
    <n v="125"/>
    <s v="Research &amp; Development"/>
    <n v="9"/>
    <n v="2"/>
    <s v="Medical"/>
    <n v="41"/>
    <n v="4"/>
    <s v="Male"/>
    <n v="83"/>
    <n v="2"/>
    <n v="1"/>
    <s v="Laboratory Technician"/>
    <n v="3"/>
    <s v="Single"/>
    <n v="2206"/>
    <n v="16117"/>
    <n v="1"/>
    <s v="No"/>
    <n v="13"/>
    <n v="3"/>
    <n v="1"/>
    <n v="80"/>
    <n v="0"/>
    <n v="10"/>
    <n v="5"/>
    <n v="3"/>
    <n v="10"/>
    <n v="0"/>
    <n v="1"/>
    <n v="8"/>
    <n v="0"/>
    <n v="1"/>
    <s v="25-34"/>
    <s v="Low"/>
    <s v="6-10 Years"/>
  </r>
  <r>
    <n v="34"/>
    <n v="39"/>
    <x v="0"/>
    <s v="Travel_Rarely"/>
    <n v="895"/>
    <s v="Sales"/>
    <n v="5"/>
    <n v="3"/>
    <s v="Technical Degree"/>
    <n v="42"/>
    <n v="4"/>
    <s v="Male"/>
    <n v="56"/>
    <n v="3"/>
    <n v="2"/>
    <s v="Sales Representative"/>
    <n v="4"/>
    <s v="Married"/>
    <n v="2086"/>
    <n v="3335"/>
    <n v="3"/>
    <s v="No"/>
    <n v="14"/>
    <n v="3"/>
    <n v="3"/>
    <n v="80"/>
    <n v="1"/>
    <n v="19"/>
    <n v="6"/>
    <n v="4"/>
    <n v="1"/>
    <n v="0"/>
    <n v="0"/>
    <n v="0"/>
    <n v="1"/>
    <n v="0"/>
    <s v="35-44"/>
    <s v="Low"/>
    <s v="0-5 Years"/>
  </r>
  <r>
    <n v="35"/>
    <n v="24"/>
    <x v="0"/>
    <s v="Travel_Rarely"/>
    <n v="813"/>
    <s v="Research &amp; Development"/>
    <n v="1"/>
    <n v="3"/>
    <s v="Medical"/>
    <n v="45"/>
    <n v="2"/>
    <s v="Male"/>
    <n v="61"/>
    <n v="3"/>
    <n v="1"/>
    <s v="Research Scientist"/>
    <n v="4"/>
    <s v="Married"/>
    <n v="2293"/>
    <n v="3020"/>
    <n v="2"/>
    <s v="Yes"/>
    <n v="16"/>
    <n v="3"/>
    <n v="1"/>
    <n v="80"/>
    <n v="1"/>
    <n v="6"/>
    <n v="2"/>
    <n v="2"/>
    <n v="2"/>
    <n v="0"/>
    <n v="2"/>
    <n v="0"/>
    <n v="1"/>
    <n v="0"/>
    <s v="Under 25"/>
    <s v="Low"/>
    <s v="0-5 Years"/>
  </r>
  <r>
    <n v="36"/>
    <n v="43"/>
    <x v="1"/>
    <s v="Travel_Rarely"/>
    <n v="1273"/>
    <s v="Research &amp; Development"/>
    <n v="2"/>
    <n v="2"/>
    <s v="Medical"/>
    <n v="46"/>
    <n v="4"/>
    <s v="Female"/>
    <n v="72"/>
    <n v="4"/>
    <n v="1"/>
    <s v="Research Scientist"/>
    <n v="3"/>
    <s v="Divorced"/>
    <n v="2645"/>
    <n v="21923"/>
    <n v="1"/>
    <s v="No"/>
    <n v="12"/>
    <n v="3"/>
    <n v="4"/>
    <n v="80"/>
    <n v="2"/>
    <n v="6"/>
    <n v="3"/>
    <n v="2"/>
    <n v="5"/>
    <n v="3"/>
    <n v="1"/>
    <n v="4"/>
    <n v="0"/>
    <n v="1"/>
    <s v="35-44"/>
    <s v="Low"/>
    <s v="0-5 Years"/>
  </r>
  <r>
    <n v="37"/>
    <n v="50"/>
    <x v="0"/>
    <s v="Travel_Rarely"/>
    <n v="869"/>
    <s v="Sales"/>
    <n v="3"/>
    <n v="2"/>
    <s v="Marketing"/>
    <n v="47"/>
    <n v="1"/>
    <s v="Male"/>
    <n v="86"/>
    <n v="2"/>
    <n v="1"/>
    <s v="Sales Representative"/>
    <n v="3"/>
    <s v="Married"/>
    <n v="2683"/>
    <n v="3810"/>
    <n v="1"/>
    <s v="Yes"/>
    <n v="14"/>
    <n v="3"/>
    <n v="3"/>
    <n v="80"/>
    <n v="0"/>
    <n v="3"/>
    <n v="2"/>
    <n v="3"/>
    <n v="3"/>
    <n v="2"/>
    <n v="0"/>
    <n v="2"/>
    <n v="1"/>
    <n v="0"/>
    <s v="45-54"/>
    <s v="Low"/>
    <s v="0-5 Years"/>
  </r>
  <r>
    <n v="38"/>
    <n v="35"/>
    <x v="1"/>
    <s v="Travel_Rarely"/>
    <n v="890"/>
    <s v="Sales"/>
    <n v="2"/>
    <n v="3"/>
    <s v="Marketing"/>
    <n v="49"/>
    <n v="4"/>
    <s v="Female"/>
    <n v="97"/>
    <n v="3"/>
    <n v="1"/>
    <s v="Sales Representative"/>
    <n v="4"/>
    <s v="Married"/>
    <n v="2014"/>
    <n v="9687"/>
    <n v="1"/>
    <s v="No"/>
    <n v="13"/>
    <n v="3"/>
    <n v="1"/>
    <n v="80"/>
    <n v="0"/>
    <n v="2"/>
    <n v="3"/>
    <n v="3"/>
    <n v="2"/>
    <n v="2"/>
    <n v="2"/>
    <n v="2"/>
    <n v="0"/>
    <n v="1"/>
    <s v="35-44"/>
    <s v="Low"/>
    <s v="0-5 Years"/>
  </r>
  <r>
    <n v="39"/>
    <n v="36"/>
    <x v="1"/>
    <s v="Travel_Rarely"/>
    <n v="852"/>
    <s v="Research &amp; Development"/>
    <n v="5"/>
    <n v="4"/>
    <s v="Life Sciences"/>
    <n v="51"/>
    <n v="2"/>
    <s v="Female"/>
    <n v="82"/>
    <n v="2"/>
    <n v="1"/>
    <s v="Research Scientist"/>
    <n v="1"/>
    <s v="Married"/>
    <n v="3419"/>
    <n v="13072"/>
    <n v="9"/>
    <s v="Yes"/>
    <n v="14"/>
    <n v="3"/>
    <n v="4"/>
    <n v="80"/>
    <n v="1"/>
    <n v="6"/>
    <n v="3"/>
    <n v="4"/>
    <n v="1"/>
    <n v="1"/>
    <n v="0"/>
    <n v="0"/>
    <n v="0"/>
    <n v="1"/>
    <s v="35-44"/>
    <s v="Low"/>
    <s v="0-5 Years"/>
  </r>
  <r>
    <n v="40"/>
    <n v="33"/>
    <x v="1"/>
    <s v="Travel_Frequently"/>
    <n v="1141"/>
    <s v="Sales"/>
    <n v="1"/>
    <n v="3"/>
    <s v="Life Sciences"/>
    <n v="52"/>
    <n v="3"/>
    <s v="Female"/>
    <n v="42"/>
    <n v="4"/>
    <n v="2"/>
    <s v="Sales Executive"/>
    <n v="1"/>
    <s v="Married"/>
    <n v="5376"/>
    <n v="3193"/>
    <n v="2"/>
    <s v="No"/>
    <n v="19"/>
    <n v="3"/>
    <n v="1"/>
    <n v="80"/>
    <n v="2"/>
    <n v="10"/>
    <n v="3"/>
    <n v="3"/>
    <n v="5"/>
    <n v="3"/>
    <n v="1"/>
    <n v="3"/>
    <n v="0"/>
    <n v="1"/>
    <s v="25-34"/>
    <s v="Medium"/>
    <s v="0-5 Years"/>
  </r>
  <r>
    <n v="41"/>
    <n v="35"/>
    <x v="1"/>
    <s v="Travel_Rarely"/>
    <n v="464"/>
    <s v="Research &amp; Development"/>
    <n v="4"/>
    <n v="2"/>
    <s v="Other"/>
    <n v="53"/>
    <n v="3"/>
    <s v="Male"/>
    <n v="75"/>
    <n v="3"/>
    <n v="1"/>
    <s v="Laboratory Technician"/>
    <n v="4"/>
    <s v="Divorced"/>
    <n v="1951"/>
    <n v="10910"/>
    <n v="1"/>
    <s v="No"/>
    <n v="12"/>
    <n v="3"/>
    <n v="3"/>
    <n v="80"/>
    <n v="1"/>
    <n v="1"/>
    <n v="3"/>
    <n v="3"/>
    <n v="1"/>
    <n v="0"/>
    <n v="0"/>
    <n v="0"/>
    <n v="0"/>
    <n v="1"/>
    <s v="35-44"/>
    <s v="Low"/>
    <s v="0-5 Years"/>
  </r>
  <r>
    <n v="42"/>
    <n v="27"/>
    <x v="1"/>
    <s v="Travel_Rarely"/>
    <n v="1240"/>
    <s v="Research &amp; Development"/>
    <n v="2"/>
    <n v="4"/>
    <s v="Life Sciences"/>
    <n v="54"/>
    <n v="4"/>
    <s v="Female"/>
    <n v="33"/>
    <n v="3"/>
    <n v="1"/>
    <s v="Laboratory Technician"/>
    <n v="1"/>
    <s v="Divorced"/>
    <n v="2341"/>
    <n v="19715"/>
    <n v="1"/>
    <s v="No"/>
    <n v="13"/>
    <n v="3"/>
    <n v="4"/>
    <n v="80"/>
    <n v="1"/>
    <n v="1"/>
    <n v="6"/>
    <n v="3"/>
    <n v="1"/>
    <n v="0"/>
    <n v="0"/>
    <n v="0"/>
    <n v="0"/>
    <n v="1"/>
    <s v="25-34"/>
    <s v="Low"/>
    <s v="0-5 Years"/>
  </r>
  <r>
    <n v="43"/>
    <n v="26"/>
    <x v="0"/>
    <s v="Travel_Rarely"/>
    <n v="1357"/>
    <s v="Research &amp; Development"/>
    <n v="25"/>
    <n v="3"/>
    <s v="Life Sciences"/>
    <n v="55"/>
    <n v="1"/>
    <s v="Male"/>
    <n v="48"/>
    <n v="1"/>
    <n v="1"/>
    <s v="Laboratory Technician"/>
    <n v="3"/>
    <s v="Single"/>
    <n v="2293"/>
    <n v="10558"/>
    <n v="1"/>
    <s v="No"/>
    <n v="12"/>
    <n v="3"/>
    <n v="3"/>
    <n v="80"/>
    <n v="0"/>
    <n v="1"/>
    <n v="2"/>
    <n v="2"/>
    <n v="1"/>
    <n v="0"/>
    <n v="0"/>
    <n v="1"/>
    <n v="1"/>
    <n v="0"/>
    <s v="25-34"/>
    <s v="Low"/>
    <s v="0-5 Years"/>
  </r>
  <r>
    <n v="44"/>
    <n v="27"/>
    <x v="1"/>
    <s v="Travel_Frequently"/>
    <n v="994"/>
    <s v="Sales"/>
    <n v="8"/>
    <n v="3"/>
    <s v="Life Sciences"/>
    <n v="56"/>
    <n v="4"/>
    <s v="Male"/>
    <n v="37"/>
    <n v="3"/>
    <n v="3"/>
    <s v="Sales Executive"/>
    <n v="3"/>
    <s v="Single"/>
    <n v="8726"/>
    <n v="2975"/>
    <n v="1"/>
    <s v="No"/>
    <n v="15"/>
    <n v="3"/>
    <n v="4"/>
    <n v="80"/>
    <n v="0"/>
    <n v="9"/>
    <n v="0"/>
    <n v="3"/>
    <n v="9"/>
    <n v="8"/>
    <n v="1"/>
    <n v="7"/>
    <n v="0"/>
    <n v="1"/>
    <s v="25-34"/>
    <s v="Medium"/>
    <s v="6-10 Years"/>
  </r>
  <r>
    <n v="45"/>
    <n v="30"/>
    <x v="1"/>
    <s v="Travel_Frequently"/>
    <n v="721"/>
    <s v="Research &amp; Development"/>
    <n v="1"/>
    <n v="2"/>
    <s v="Medical"/>
    <n v="57"/>
    <n v="3"/>
    <s v="Female"/>
    <n v="58"/>
    <n v="3"/>
    <n v="2"/>
    <s v="Laboratory Technician"/>
    <n v="4"/>
    <s v="Single"/>
    <n v="4011"/>
    <n v="10781"/>
    <n v="1"/>
    <s v="No"/>
    <n v="23"/>
    <n v="4"/>
    <n v="4"/>
    <n v="80"/>
    <n v="0"/>
    <n v="12"/>
    <n v="2"/>
    <n v="3"/>
    <n v="12"/>
    <n v="8"/>
    <n v="3"/>
    <n v="7"/>
    <n v="0"/>
    <n v="1"/>
    <s v="25-34"/>
    <s v="Low"/>
    <s v="11-20 Years"/>
  </r>
  <r>
    <n v="46"/>
    <n v="41"/>
    <x v="0"/>
    <s v="Travel_Rarely"/>
    <n v="1360"/>
    <s v="Research &amp; Development"/>
    <n v="12"/>
    <n v="3"/>
    <s v="Technical Degree"/>
    <n v="58"/>
    <n v="2"/>
    <s v="Female"/>
    <n v="49"/>
    <n v="3"/>
    <n v="5"/>
    <s v="Research Director"/>
    <n v="3"/>
    <s v="Married"/>
    <n v="19545"/>
    <n v="16280"/>
    <n v="1"/>
    <s v="No"/>
    <n v="12"/>
    <n v="3"/>
    <n v="4"/>
    <n v="80"/>
    <n v="0"/>
    <n v="23"/>
    <n v="0"/>
    <n v="3"/>
    <n v="22"/>
    <n v="15"/>
    <n v="15"/>
    <n v="8"/>
    <n v="1"/>
    <n v="0"/>
    <s v="35-44"/>
    <s v="High"/>
    <s v="21+ Years"/>
  </r>
  <r>
    <n v="47"/>
    <n v="34"/>
    <x v="1"/>
    <s v="Non-Travel"/>
    <n v="1065"/>
    <s v="Sales"/>
    <n v="23"/>
    <n v="4"/>
    <s v="Marketing"/>
    <n v="60"/>
    <n v="2"/>
    <s v="Male"/>
    <n v="72"/>
    <n v="3"/>
    <n v="2"/>
    <s v="Sales Executive"/>
    <n v="3"/>
    <s v="Single"/>
    <n v="4568"/>
    <n v="10034"/>
    <n v="0"/>
    <s v="No"/>
    <n v="20"/>
    <n v="4"/>
    <n v="3"/>
    <n v="80"/>
    <n v="0"/>
    <n v="10"/>
    <n v="2"/>
    <n v="3"/>
    <n v="9"/>
    <n v="5"/>
    <n v="8"/>
    <n v="7"/>
    <n v="0"/>
    <n v="1"/>
    <s v="25-34"/>
    <s v="Low"/>
    <s v="6-10 Years"/>
  </r>
  <r>
    <n v="48"/>
    <n v="37"/>
    <x v="1"/>
    <s v="Travel_Rarely"/>
    <n v="408"/>
    <s v="Research &amp; Development"/>
    <n v="19"/>
    <n v="2"/>
    <s v="Life Sciences"/>
    <n v="61"/>
    <n v="2"/>
    <s v="Male"/>
    <n v="73"/>
    <n v="3"/>
    <n v="1"/>
    <s v="Research Scientist"/>
    <n v="2"/>
    <s v="Married"/>
    <n v="3022"/>
    <n v="10227"/>
    <n v="4"/>
    <s v="No"/>
    <n v="21"/>
    <n v="4"/>
    <n v="1"/>
    <n v="80"/>
    <n v="0"/>
    <n v="8"/>
    <n v="1"/>
    <n v="3"/>
    <n v="1"/>
    <n v="0"/>
    <n v="0"/>
    <n v="0"/>
    <n v="0"/>
    <n v="1"/>
    <s v="35-44"/>
    <s v="Low"/>
    <s v="0-5 Years"/>
  </r>
  <r>
    <n v="49"/>
    <n v="46"/>
    <x v="1"/>
    <s v="Travel_Frequently"/>
    <n v="1211"/>
    <s v="Sales"/>
    <n v="5"/>
    <n v="4"/>
    <s v="Marketing"/>
    <n v="62"/>
    <n v="1"/>
    <s v="Male"/>
    <n v="98"/>
    <n v="3"/>
    <n v="2"/>
    <s v="Sales Executive"/>
    <n v="4"/>
    <s v="Single"/>
    <n v="5772"/>
    <n v="20445"/>
    <n v="4"/>
    <s v="Yes"/>
    <n v="21"/>
    <n v="4"/>
    <n v="3"/>
    <n v="80"/>
    <n v="0"/>
    <n v="14"/>
    <n v="4"/>
    <n v="3"/>
    <n v="9"/>
    <n v="6"/>
    <n v="0"/>
    <n v="8"/>
    <n v="0"/>
    <n v="1"/>
    <s v="45-54"/>
    <s v="Medium"/>
    <s v="6-10 Years"/>
  </r>
  <r>
    <n v="50"/>
    <n v="35"/>
    <x v="1"/>
    <s v="Travel_Rarely"/>
    <n v="1229"/>
    <s v="Research &amp; Development"/>
    <n v="8"/>
    <n v="1"/>
    <s v="Life Sciences"/>
    <n v="63"/>
    <n v="4"/>
    <s v="Male"/>
    <n v="36"/>
    <n v="4"/>
    <n v="1"/>
    <s v="Laboratory Technician"/>
    <n v="4"/>
    <s v="Married"/>
    <n v="2269"/>
    <n v="4892"/>
    <n v="1"/>
    <s v="No"/>
    <n v="19"/>
    <n v="3"/>
    <n v="4"/>
    <n v="80"/>
    <n v="0"/>
    <n v="1"/>
    <n v="2"/>
    <n v="3"/>
    <n v="1"/>
    <n v="0"/>
    <n v="0"/>
    <n v="1"/>
    <n v="0"/>
    <n v="1"/>
    <s v="35-44"/>
    <s v="Low"/>
    <s v="0-5 Years"/>
  </r>
  <r>
    <n v="51"/>
    <n v="48"/>
    <x v="0"/>
    <s v="Travel_Rarely"/>
    <n v="626"/>
    <s v="Research &amp; Development"/>
    <n v="1"/>
    <n v="2"/>
    <s v="Life Sciences"/>
    <n v="64"/>
    <n v="1"/>
    <s v="Male"/>
    <n v="98"/>
    <n v="2"/>
    <n v="3"/>
    <s v="Laboratory Technician"/>
    <n v="3"/>
    <s v="Single"/>
    <n v="5381"/>
    <n v="19294"/>
    <n v="9"/>
    <s v="Yes"/>
    <n v="13"/>
    <n v="3"/>
    <n v="4"/>
    <n v="80"/>
    <n v="0"/>
    <n v="23"/>
    <n v="2"/>
    <n v="3"/>
    <n v="1"/>
    <n v="0"/>
    <n v="0"/>
    <n v="0"/>
    <n v="1"/>
    <n v="0"/>
    <s v="45-54"/>
    <s v="Medium"/>
    <s v="0-5 Years"/>
  </r>
  <r>
    <n v="52"/>
    <n v="28"/>
    <x v="0"/>
    <s v="Travel_Rarely"/>
    <n v="1434"/>
    <s v="Research &amp; Development"/>
    <n v="5"/>
    <n v="4"/>
    <s v="Technical Degree"/>
    <n v="65"/>
    <n v="3"/>
    <s v="Male"/>
    <n v="50"/>
    <n v="3"/>
    <n v="1"/>
    <s v="Laboratory Technician"/>
    <n v="3"/>
    <s v="Single"/>
    <n v="3441"/>
    <n v="11179"/>
    <n v="1"/>
    <s v="Yes"/>
    <n v="13"/>
    <n v="3"/>
    <n v="3"/>
    <n v="80"/>
    <n v="0"/>
    <n v="2"/>
    <n v="3"/>
    <n v="2"/>
    <n v="2"/>
    <n v="2"/>
    <n v="2"/>
    <n v="2"/>
    <n v="1"/>
    <n v="0"/>
    <s v="25-34"/>
    <s v="Low"/>
    <s v="0-5 Years"/>
  </r>
  <r>
    <n v="53"/>
    <n v="44"/>
    <x v="1"/>
    <s v="Travel_Rarely"/>
    <n v="1488"/>
    <s v="Sales"/>
    <n v="1"/>
    <n v="5"/>
    <s v="Marketing"/>
    <n v="68"/>
    <n v="2"/>
    <s v="Female"/>
    <n v="75"/>
    <n v="3"/>
    <n v="2"/>
    <s v="Sales Executive"/>
    <n v="1"/>
    <s v="Divorced"/>
    <n v="5454"/>
    <n v="4009"/>
    <n v="5"/>
    <s v="Yes"/>
    <n v="21"/>
    <n v="4"/>
    <n v="3"/>
    <n v="80"/>
    <n v="1"/>
    <n v="9"/>
    <n v="2"/>
    <n v="2"/>
    <n v="4"/>
    <n v="3"/>
    <n v="1"/>
    <n v="3"/>
    <n v="0"/>
    <n v="1"/>
    <s v="35-44"/>
    <s v="Medium"/>
    <s v="0-5 Years"/>
  </r>
  <r>
    <n v="54"/>
    <n v="35"/>
    <x v="1"/>
    <s v="Non-Travel"/>
    <n v="1097"/>
    <s v="Research &amp; Development"/>
    <n v="11"/>
    <n v="2"/>
    <s v="Medical"/>
    <n v="70"/>
    <n v="3"/>
    <s v="Male"/>
    <n v="79"/>
    <n v="2"/>
    <n v="3"/>
    <s v="Healthcare Representative"/>
    <n v="1"/>
    <s v="Married"/>
    <n v="9884"/>
    <n v="8302"/>
    <n v="2"/>
    <s v="Yes"/>
    <n v="13"/>
    <n v="3"/>
    <n v="3"/>
    <n v="80"/>
    <n v="1"/>
    <n v="10"/>
    <n v="3"/>
    <n v="3"/>
    <n v="4"/>
    <n v="0"/>
    <n v="2"/>
    <n v="3"/>
    <n v="0"/>
    <n v="1"/>
    <s v="35-44"/>
    <s v="Medium"/>
    <s v="0-5 Years"/>
  </r>
  <r>
    <n v="55"/>
    <n v="26"/>
    <x v="1"/>
    <s v="Travel_Rarely"/>
    <n v="1443"/>
    <s v="Sales"/>
    <n v="23"/>
    <n v="3"/>
    <s v="Marketing"/>
    <n v="72"/>
    <n v="3"/>
    <s v="Female"/>
    <n v="47"/>
    <n v="2"/>
    <n v="2"/>
    <s v="Sales Executive"/>
    <n v="4"/>
    <s v="Married"/>
    <n v="4157"/>
    <n v="21436"/>
    <n v="7"/>
    <s v="Yes"/>
    <n v="19"/>
    <n v="3"/>
    <n v="3"/>
    <n v="80"/>
    <n v="1"/>
    <n v="5"/>
    <n v="2"/>
    <n v="2"/>
    <n v="2"/>
    <n v="2"/>
    <n v="0"/>
    <n v="0"/>
    <n v="0"/>
    <n v="1"/>
    <s v="25-34"/>
    <s v="Low"/>
    <s v="0-5 Years"/>
  </r>
  <r>
    <n v="56"/>
    <n v="33"/>
    <x v="1"/>
    <s v="Travel_Frequently"/>
    <n v="515"/>
    <s v="Research &amp; Development"/>
    <n v="1"/>
    <n v="2"/>
    <s v="Life Sciences"/>
    <n v="73"/>
    <n v="1"/>
    <s v="Female"/>
    <n v="98"/>
    <n v="3"/>
    <n v="3"/>
    <s v="Research Director"/>
    <n v="4"/>
    <s v="Single"/>
    <n v="13458"/>
    <n v="15146"/>
    <n v="1"/>
    <s v="Yes"/>
    <n v="12"/>
    <n v="3"/>
    <n v="3"/>
    <n v="80"/>
    <n v="0"/>
    <n v="15"/>
    <n v="1"/>
    <n v="3"/>
    <n v="15"/>
    <n v="14"/>
    <n v="8"/>
    <n v="12"/>
    <n v="0"/>
    <n v="1"/>
    <s v="25-34"/>
    <s v="Upper Medium"/>
    <s v="11-20 Years"/>
  </r>
  <r>
    <n v="57"/>
    <n v="35"/>
    <x v="1"/>
    <s v="Travel_Frequently"/>
    <n v="853"/>
    <s v="Sales"/>
    <n v="18"/>
    <n v="5"/>
    <s v="Life Sciences"/>
    <n v="74"/>
    <n v="2"/>
    <s v="Male"/>
    <n v="71"/>
    <n v="3"/>
    <n v="3"/>
    <s v="Sales Executive"/>
    <n v="1"/>
    <s v="Married"/>
    <n v="9069"/>
    <n v="11031"/>
    <n v="1"/>
    <s v="No"/>
    <n v="22"/>
    <n v="4"/>
    <n v="4"/>
    <n v="80"/>
    <n v="1"/>
    <n v="9"/>
    <n v="3"/>
    <n v="2"/>
    <n v="9"/>
    <n v="8"/>
    <n v="1"/>
    <n v="8"/>
    <n v="0"/>
    <n v="1"/>
    <s v="35-44"/>
    <s v="Medium"/>
    <s v="6-10 Years"/>
  </r>
  <r>
    <n v="58"/>
    <n v="35"/>
    <x v="1"/>
    <s v="Travel_Rarely"/>
    <n v="1142"/>
    <s v="Research &amp; Development"/>
    <n v="23"/>
    <n v="4"/>
    <s v="Medical"/>
    <n v="75"/>
    <n v="3"/>
    <s v="Female"/>
    <n v="30"/>
    <n v="3"/>
    <n v="1"/>
    <s v="Laboratory Technician"/>
    <n v="1"/>
    <s v="Married"/>
    <n v="4014"/>
    <n v="16002"/>
    <n v="3"/>
    <s v="Yes"/>
    <n v="15"/>
    <n v="3"/>
    <n v="3"/>
    <n v="80"/>
    <n v="1"/>
    <n v="4"/>
    <n v="3"/>
    <n v="3"/>
    <n v="2"/>
    <n v="2"/>
    <n v="2"/>
    <n v="2"/>
    <n v="0"/>
    <n v="1"/>
    <s v="35-44"/>
    <s v="Low"/>
    <s v="0-5 Years"/>
  </r>
  <r>
    <n v="59"/>
    <n v="31"/>
    <x v="1"/>
    <s v="Travel_Rarely"/>
    <n v="655"/>
    <s v="Research &amp; Development"/>
    <n v="7"/>
    <n v="4"/>
    <s v="Life Sciences"/>
    <n v="76"/>
    <n v="4"/>
    <s v="Male"/>
    <n v="48"/>
    <n v="3"/>
    <n v="2"/>
    <s v="Laboratory Technician"/>
    <n v="4"/>
    <s v="Divorced"/>
    <n v="5915"/>
    <n v="9528"/>
    <n v="3"/>
    <s v="No"/>
    <n v="22"/>
    <n v="4"/>
    <n v="4"/>
    <n v="80"/>
    <n v="1"/>
    <n v="10"/>
    <n v="3"/>
    <n v="2"/>
    <n v="7"/>
    <n v="7"/>
    <n v="1"/>
    <n v="7"/>
    <n v="0"/>
    <n v="1"/>
    <s v="25-34"/>
    <s v="Medium"/>
    <s v="6-10 Years"/>
  </r>
  <r>
    <n v="60"/>
    <n v="37"/>
    <x v="1"/>
    <s v="Travel_Rarely"/>
    <n v="1115"/>
    <s v="Research &amp; Development"/>
    <n v="1"/>
    <n v="4"/>
    <s v="Life Sciences"/>
    <n v="77"/>
    <n v="1"/>
    <s v="Male"/>
    <n v="51"/>
    <n v="2"/>
    <n v="2"/>
    <s v="Manufacturing Director"/>
    <n v="3"/>
    <s v="Divorced"/>
    <n v="5993"/>
    <n v="2689"/>
    <n v="1"/>
    <s v="No"/>
    <n v="18"/>
    <n v="3"/>
    <n v="3"/>
    <n v="80"/>
    <n v="1"/>
    <n v="7"/>
    <n v="2"/>
    <n v="4"/>
    <n v="7"/>
    <n v="5"/>
    <n v="0"/>
    <n v="7"/>
    <n v="0"/>
    <n v="1"/>
    <s v="35-44"/>
    <s v="Medium"/>
    <s v="6-10 Years"/>
  </r>
  <r>
    <n v="61"/>
    <n v="32"/>
    <x v="1"/>
    <s v="Travel_Rarely"/>
    <n v="427"/>
    <s v="Research &amp; Development"/>
    <n v="1"/>
    <n v="3"/>
    <s v="Medical"/>
    <n v="78"/>
    <n v="1"/>
    <s v="Male"/>
    <n v="33"/>
    <n v="3"/>
    <n v="2"/>
    <s v="Manufacturing Director"/>
    <n v="4"/>
    <s v="Married"/>
    <n v="6162"/>
    <n v="10877"/>
    <n v="1"/>
    <s v="Yes"/>
    <n v="22"/>
    <n v="4"/>
    <n v="2"/>
    <n v="80"/>
    <n v="1"/>
    <n v="9"/>
    <n v="3"/>
    <n v="3"/>
    <n v="9"/>
    <n v="8"/>
    <n v="7"/>
    <n v="8"/>
    <n v="0"/>
    <n v="1"/>
    <s v="25-34"/>
    <s v="Medium"/>
    <s v="6-10 Years"/>
  </r>
  <r>
    <n v="62"/>
    <n v="38"/>
    <x v="1"/>
    <s v="Travel_Frequently"/>
    <n v="653"/>
    <s v="Research &amp; Development"/>
    <n v="29"/>
    <n v="5"/>
    <s v="Life Sciences"/>
    <n v="79"/>
    <n v="4"/>
    <s v="Female"/>
    <n v="50"/>
    <n v="3"/>
    <n v="2"/>
    <s v="Laboratory Technician"/>
    <n v="4"/>
    <s v="Single"/>
    <n v="2406"/>
    <n v="5456"/>
    <n v="1"/>
    <s v="No"/>
    <n v="11"/>
    <n v="3"/>
    <n v="4"/>
    <n v="80"/>
    <n v="0"/>
    <n v="10"/>
    <n v="2"/>
    <n v="3"/>
    <n v="10"/>
    <n v="3"/>
    <n v="9"/>
    <n v="9"/>
    <n v="0"/>
    <n v="1"/>
    <s v="35-44"/>
    <s v="Low"/>
    <s v="6-10 Years"/>
  </r>
  <r>
    <n v="63"/>
    <n v="50"/>
    <x v="1"/>
    <s v="Travel_Rarely"/>
    <n v="989"/>
    <s v="Research &amp; Development"/>
    <n v="7"/>
    <n v="2"/>
    <s v="Medical"/>
    <n v="80"/>
    <n v="2"/>
    <s v="Female"/>
    <n v="43"/>
    <n v="2"/>
    <n v="5"/>
    <s v="Research Director"/>
    <n v="3"/>
    <s v="Divorced"/>
    <n v="18740"/>
    <n v="16701"/>
    <n v="5"/>
    <s v="Yes"/>
    <n v="12"/>
    <n v="3"/>
    <n v="4"/>
    <n v="80"/>
    <n v="1"/>
    <n v="29"/>
    <n v="2"/>
    <n v="2"/>
    <n v="27"/>
    <n v="3"/>
    <n v="13"/>
    <n v="8"/>
    <n v="0"/>
    <n v="1"/>
    <s v="45-54"/>
    <s v="High"/>
    <s v="21+ Years"/>
  </r>
  <r>
    <n v="64"/>
    <n v="59"/>
    <x v="1"/>
    <s v="Travel_Rarely"/>
    <n v="1435"/>
    <s v="Sales"/>
    <n v="25"/>
    <n v="3"/>
    <s v="Life Sciences"/>
    <n v="81"/>
    <n v="1"/>
    <s v="Female"/>
    <n v="99"/>
    <n v="3"/>
    <n v="3"/>
    <s v="Sales Executive"/>
    <n v="1"/>
    <s v="Single"/>
    <n v="7637"/>
    <n v="2354"/>
    <n v="7"/>
    <s v="No"/>
    <n v="11"/>
    <n v="3"/>
    <n v="4"/>
    <n v="80"/>
    <n v="0"/>
    <n v="28"/>
    <n v="3"/>
    <n v="2"/>
    <n v="21"/>
    <n v="16"/>
    <n v="7"/>
    <n v="9"/>
    <n v="0"/>
    <n v="1"/>
    <s v="55+"/>
    <s v="Medium"/>
    <s v="21+ Years"/>
  </r>
  <r>
    <n v="65"/>
    <n v="36"/>
    <x v="1"/>
    <s v="Travel_Rarely"/>
    <n v="1223"/>
    <s v="Research &amp; Development"/>
    <n v="8"/>
    <n v="3"/>
    <s v="Technical Degree"/>
    <n v="83"/>
    <n v="3"/>
    <s v="Female"/>
    <n v="59"/>
    <n v="3"/>
    <n v="3"/>
    <s v="Healthcare Representative"/>
    <n v="3"/>
    <s v="Divorced"/>
    <n v="10096"/>
    <n v="8202"/>
    <n v="1"/>
    <s v="No"/>
    <n v="13"/>
    <n v="3"/>
    <n v="2"/>
    <n v="80"/>
    <n v="3"/>
    <n v="17"/>
    <n v="2"/>
    <n v="3"/>
    <n v="17"/>
    <n v="14"/>
    <n v="12"/>
    <n v="8"/>
    <n v="0"/>
    <n v="1"/>
    <s v="35-44"/>
    <s v="Upper Medium"/>
    <s v="11-20 Years"/>
  </r>
  <r>
    <n v="66"/>
    <n v="55"/>
    <x v="1"/>
    <s v="Travel_Rarely"/>
    <n v="836"/>
    <s v="Research &amp; Development"/>
    <n v="8"/>
    <n v="3"/>
    <s v="Medical"/>
    <n v="84"/>
    <n v="4"/>
    <s v="Female"/>
    <n v="33"/>
    <n v="3"/>
    <n v="4"/>
    <s v="Manager"/>
    <n v="3"/>
    <s v="Divorced"/>
    <n v="14756"/>
    <n v="19730"/>
    <n v="2"/>
    <s v="Yes"/>
    <n v="14"/>
    <n v="3"/>
    <n v="3"/>
    <n v="80"/>
    <n v="3"/>
    <n v="21"/>
    <n v="2"/>
    <n v="3"/>
    <n v="5"/>
    <n v="0"/>
    <n v="0"/>
    <n v="2"/>
    <n v="0"/>
    <n v="1"/>
    <s v="55+"/>
    <s v="Upper Medium"/>
    <s v="0-5 Years"/>
  </r>
  <r>
    <n v="67"/>
    <n v="36"/>
    <x v="1"/>
    <s v="Travel_Frequently"/>
    <n v="1195"/>
    <s v="Research &amp; Development"/>
    <n v="11"/>
    <n v="3"/>
    <s v="Life Sciences"/>
    <n v="85"/>
    <n v="2"/>
    <s v="Male"/>
    <n v="95"/>
    <n v="2"/>
    <n v="2"/>
    <s v="Manufacturing Director"/>
    <n v="2"/>
    <s v="Single"/>
    <n v="6499"/>
    <n v="22656"/>
    <n v="1"/>
    <s v="No"/>
    <n v="13"/>
    <n v="3"/>
    <n v="3"/>
    <n v="80"/>
    <n v="0"/>
    <n v="6"/>
    <n v="3"/>
    <n v="3"/>
    <n v="6"/>
    <n v="5"/>
    <n v="0"/>
    <n v="3"/>
    <n v="0"/>
    <n v="1"/>
    <s v="35-44"/>
    <s v="Medium"/>
    <s v="6-10 Years"/>
  </r>
  <r>
    <n v="68"/>
    <n v="45"/>
    <x v="1"/>
    <s v="Travel_Rarely"/>
    <n v="1339"/>
    <s v="Research &amp; Development"/>
    <n v="7"/>
    <n v="3"/>
    <s v="Life Sciences"/>
    <n v="86"/>
    <n v="2"/>
    <s v="Male"/>
    <n v="59"/>
    <n v="3"/>
    <n v="3"/>
    <s v="Research Scientist"/>
    <n v="1"/>
    <s v="Divorced"/>
    <n v="9724"/>
    <n v="18787"/>
    <n v="2"/>
    <s v="No"/>
    <n v="17"/>
    <n v="3"/>
    <n v="3"/>
    <n v="80"/>
    <n v="1"/>
    <n v="25"/>
    <n v="2"/>
    <n v="3"/>
    <n v="1"/>
    <n v="0"/>
    <n v="0"/>
    <n v="0"/>
    <n v="0"/>
    <n v="1"/>
    <s v="45-54"/>
    <s v="Medium"/>
    <s v="0-5 Years"/>
  </r>
  <r>
    <n v="69"/>
    <n v="35"/>
    <x v="1"/>
    <s v="Travel_Frequently"/>
    <n v="664"/>
    <s v="Research &amp; Development"/>
    <n v="1"/>
    <n v="3"/>
    <s v="Medical"/>
    <n v="88"/>
    <n v="2"/>
    <s v="Male"/>
    <n v="79"/>
    <n v="3"/>
    <n v="1"/>
    <s v="Research Scientist"/>
    <n v="1"/>
    <s v="Married"/>
    <n v="2194"/>
    <n v="5868"/>
    <n v="4"/>
    <s v="No"/>
    <n v="13"/>
    <n v="3"/>
    <n v="4"/>
    <n v="80"/>
    <n v="1"/>
    <n v="5"/>
    <n v="2"/>
    <n v="2"/>
    <n v="3"/>
    <n v="2"/>
    <n v="1"/>
    <n v="2"/>
    <n v="0"/>
    <n v="1"/>
    <s v="35-44"/>
    <s v="Low"/>
    <s v="0-5 Years"/>
  </r>
  <r>
    <n v="70"/>
    <n v="36"/>
    <x v="0"/>
    <s v="Travel_Rarely"/>
    <n v="318"/>
    <s v="Research &amp; Development"/>
    <n v="9"/>
    <n v="3"/>
    <s v="Medical"/>
    <n v="90"/>
    <n v="4"/>
    <s v="Male"/>
    <n v="79"/>
    <n v="2"/>
    <n v="1"/>
    <s v="Research Scientist"/>
    <n v="3"/>
    <s v="Married"/>
    <n v="3388"/>
    <n v="21777"/>
    <n v="0"/>
    <s v="Yes"/>
    <n v="17"/>
    <n v="3"/>
    <n v="1"/>
    <n v="80"/>
    <n v="1"/>
    <n v="2"/>
    <n v="0"/>
    <n v="2"/>
    <n v="1"/>
    <n v="0"/>
    <n v="0"/>
    <n v="0"/>
    <n v="1"/>
    <n v="0"/>
    <s v="35-44"/>
    <s v="Low"/>
    <s v="0-5 Years"/>
  </r>
  <r>
    <n v="71"/>
    <n v="59"/>
    <x v="1"/>
    <s v="Travel_Frequently"/>
    <n v="1225"/>
    <s v="Sales"/>
    <n v="1"/>
    <n v="1"/>
    <s v="Life Sciences"/>
    <n v="91"/>
    <n v="1"/>
    <s v="Female"/>
    <n v="57"/>
    <n v="2"/>
    <n v="2"/>
    <s v="Sales Executive"/>
    <n v="3"/>
    <s v="Single"/>
    <n v="5473"/>
    <n v="24668"/>
    <n v="7"/>
    <s v="No"/>
    <n v="11"/>
    <n v="3"/>
    <n v="4"/>
    <n v="80"/>
    <n v="0"/>
    <n v="20"/>
    <n v="2"/>
    <n v="2"/>
    <n v="4"/>
    <n v="3"/>
    <n v="1"/>
    <n v="3"/>
    <n v="0"/>
    <n v="1"/>
    <s v="55+"/>
    <s v="Medium"/>
    <s v="0-5 Years"/>
  </r>
  <r>
    <n v="72"/>
    <n v="29"/>
    <x v="1"/>
    <s v="Travel_Rarely"/>
    <n v="1328"/>
    <s v="Research &amp; Development"/>
    <n v="2"/>
    <n v="3"/>
    <s v="Life Sciences"/>
    <n v="94"/>
    <n v="3"/>
    <s v="Male"/>
    <n v="76"/>
    <n v="3"/>
    <n v="1"/>
    <s v="Research Scientist"/>
    <n v="2"/>
    <s v="Married"/>
    <n v="2703"/>
    <n v="4956"/>
    <n v="0"/>
    <s v="No"/>
    <n v="23"/>
    <n v="4"/>
    <n v="4"/>
    <n v="80"/>
    <n v="1"/>
    <n v="6"/>
    <n v="3"/>
    <n v="3"/>
    <n v="5"/>
    <n v="4"/>
    <n v="0"/>
    <n v="4"/>
    <n v="0"/>
    <n v="1"/>
    <s v="25-34"/>
    <s v="Low"/>
    <s v="0-5 Years"/>
  </r>
  <r>
    <n v="73"/>
    <n v="31"/>
    <x v="1"/>
    <s v="Travel_Rarely"/>
    <n v="1082"/>
    <s v="Research &amp; Development"/>
    <n v="1"/>
    <n v="4"/>
    <s v="Medical"/>
    <n v="95"/>
    <n v="3"/>
    <s v="Male"/>
    <n v="87"/>
    <n v="3"/>
    <n v="1"/>
    <s v="Research Scientist"/>
    <n v="2"/>
    <s v="Single"/>
    <n v="2501"/>
    <n v="18775"/>
    <n v="1"/>
    <s v="No"/>
    <n v="17"/>
    <n v="3"/>
    <n v="2"/>
    <n v="80"/>
    <n v="0"/>
    <n v="1"/>
    <n v="4"/>
    <n v="3"/>
    <n v="1"/>
    <n v="1"/>
    <n v="1"/>
    <n v="0"/>
    <n v="0"/>
    <n v="1"/>
    <s v="25-34"/>
    <s v="Low"/>
    <s v="0-5 Years"/>
  </r>
  <r>
    <n v="74"/>
    <n v="32"/>
    <x v="1"/>
    <s v="Travel_Rarely"/>
    <n v="548"/>
    <s v="Research &amp; Development"/>
    <n v="1"/>
    <n v="3"/>
    <s v="Life Sciences"/>
    <n v="96"/>
    <n v="2"/>
    <s v="Male"/>
    <n v="66"/>
    <n v="3"/>
    <n v="2"/>
    <s v="Research Scientist"/>
    <n v="2"/>
    <s v="Married"/>
    <n v="6220"/>
    <n v="7346"/>
    <n v="1"/>
    <s v="No"/>
    <n v="17"/>
    <n v="3"/>
    <n v="2"/>
    <n v="80"/>
    <n v="2"/>
    <n v="10"/>
    <n v="3"/>
    <n v="3"/>
    <n v="10"/>
    <n v="4"/>
    <n v="0"/>
    <n v="9"/>
    <n v="0"/>
    <n v="1"/>
    <s v="25-34"/>
    <s v="Medium"/>
    <s v="6-10 Years"/>
  </r>
  <r>
    <n v="75"/>
    <n v="36"/>
    <x v="1"/>
    <s v="Travel_Rarely"/>
    <n v="132"/>
    <s v="Research &amp; Development"/>
    <n v="6"/>
    <n v="3"/>
    <s v="Life Sciences"/>
    <n v="97"/>
    <n v="2"/>
    <s v="Female"/>
    <n v="55"/>
    <n v="4"/>
    <n v="1"/>
    <s v="Laboratory Technician"/>
    <n v="4"/>
    <s v="Married"/>
    <n v="3038"/>
    <n v="22002"/>
    <n v="3"/>
    <s v="No"/>
    <n v="12"/>
    <n v="3"/>
    <n v="2"/>
    <n v="80"/>
    <n v="0"/>
    <n v="5"/>
    <n v="3"/>
    <n v="3"/>
    <n v="1"/>
    <n v="0"/>
    <n v="0"/>
    <n v="0"/>
    <n v="0"/>
    <n v="1"/>
    <s v="35-44"/>
    <s v="Low"/>
    <s v="0-5 Years"/>
  </r>
  <r>
    <n v="76"/>
    <n v="31"/>
    <x v="1"/>
    <s v="Travel_Rarely"/>
    <n v="746"/>
    <s v="Research &amp; Development"/>
    <n v="8"/>
    <n v="4"/>
    <s v="Life Sciences"/>
    <n v="98"/>
    <n v="3"/>
    <s v="Female"/>
    <n v="61"/>
    <n v="3"/>
    <n v="2"/>
    <s v="Manufacturing Director"/>
    <n v="4"/>
    <s v="Single"/>
    <n v="4424"/>
    <n v="20682"/>
    <n v="1"/>
    <s v="No"/>
    <n v="23"/>
    <n v="4"/>
    <n v="4"/>
    <n v="80"/>
    <n v="0"/>
    <n v="11"/>
    <n v="2"/>
    <n v="3"/>
    <n v="11"/>
    <n v="7"/>
    <n v="1"/>
    <n v="8"/>
    <n v="0"/>
    <n v="1"/>
    <s v="25-34"/>
    <s v="Low"/>
    <s v="11-20 Years"/>
  </r>
  <r>
    <n v="77"/>
    <n v="35"/>
    <x v="1"/>
    <s v="Travel_Rarely"/>
    <n v="776"/>
    <s v="Sales"/>
    <n v="1"/>
    <n v="4"/>
    <s v="Marketing"/>
    <n v="100"/>
    <n v="3"/>
    <s v="Male"/>
    <n v="32"/>
    <n v="2"/>
    <n v="2"/>
    <s v="Sales Executive"/>
    <n v="1"/>
    <s v="Single"/>
    <n v="4312"/>
    <n v="23016"/>
    <n v="0"/>
    <s v="No"/>
    <n v="14"/>
    <n v="3"/>
    <n v="2"/>
    <n v="80"/>
    <n v="0"/>
    <n v="16"/>
    <n v="2"/>
    <n v="3"/>
    <n v="15"/>
    <n v="13"/>
    <n v="2"/>
    <n v="8"/>
    <n v="0"/>
    <n v="1"/>
    <s v="35-44"/>
    <s v="Low"/>
    <s v="11-20 Years"/>
  </r>
  <r>
    <n v="78"/>
    <n v="45"/>
    <x v="1"/>
    <s v="Travel_Rarely"/>
    <n v="193"/>
    <s v="Research &amp; Development"/>
    <n v="6"/>
    <n v="4"/>
    <s v="Other"/>
    <n v="101"/>
    <n v="4"/>
    <s v="Male"/>
    <n v="52"/>
    <n v="3"/>
    <n v="3"/>
    <s v="Research Director"/>
    <n v="1"/>
    <s v="Married"/>
    <n v="13245"/>
    <n v="15067"/>
    <n v="4"/>
    <s v="Yes"/>
    <n v="14"/>
    <n v="3"/>
    <n v="2"/>
    <n v="80"/>
    <n v="0"/>
    <n v="17"/>
    <n v="3"/>
    <n v="4"/>
    <n v="0"/>
    <n v="0"/>
    <n v="0"/>
    <n v="0"/>
    <n v="0"/>
    <n v="1"/>
    <s v="45-54"/>
    <s v="Upper Medium"/>
    <s v="0-5 Years"/>
  </r>
  <r>
    <n v="79"/>
    <n v="37"/>
    <x v="1"/>
    <s v="Travel_Rarely"/>
    <n v="397"/>
    <s v="Research &amp; Development"/>
    <n v="7"/>
    <n v="4"/>
    <s v="Medical"/>
    <n v="102"/>
    <n v="1"/>
    <s v="Male"/>
    <n v="30"/>
    <n v="3"/>
    <n v="3"/>
    <s v="Research Director"/>
    <n v="3"/>
    <s v="Single"/>
    <n v="13664"/>
    <n v="25258"/>
    <n v="4"/>
    <s v="No"/>
    <n v="13"/>
    <n v="3"/>
    <n v="1"/>
    <n v="80"/>
    <n v="0"/>
    <n v="16"/>
    <n v="3"/>
    <n v="4"/>
    <n v="5"/>
    <n v="2"/>
    <n v="0"/>
    <n v="2"/>
    <n v="0"/>
    <n v="1"/>
    <s v="35-44"/>
    <s v="Upper Medium"/>
    <s v="0-5 Years"/>
  </r>
  <r>
    <n v="80"/>
    <n v="46"/>
    <x v="1"/>
    <s v="Travel_Rarely"/>
    <n v="945"/>
    <s v="Human Resources"/>
    <n v="5"/>
    <n v="2"/>
    <s v="Medical"/>
    <n v="103"/>
    <n v="2"/>
    <s v="Male"/>
    <n v="80"/>
    <n v="3"/>
    <n v="2"/>
    <s v="Human Resources"/>
    <n v="2"/>
    <s v="Divorced"/>
    <n v="5021"/>
    <n v="10425"/>
    <n v="8"/>
    <s v="Yes"/>
    <n v="22"/>
    <n v="4"/>
    <n v="4"/>
    <n v="80"/>
    <n v="1"/>
    <n v="16"/>
    <n v="2"/>
    <n v="3"/>
    <n v="4"/>
    <n v="2"/>
    <n v="0"/>
    <n v="2"/>
    <n v="0"/>
    <n v="1"/>
    <s v="45-54"/>
    <s v="Medium"/>
    <s v="0-5 Years"/>
  </r>
  <r>
    <n v="81"/>
    <n v="30"/>
    <x v="1"/>
    <s v="Travel_Rarely"/>
    <n v="852"/>
    <s v="Research &amp; Development"/>
    <n v="1"/>
    <n v="1"/>
    <s v="Life Sciences"/>
    <n v="104"/>
    <n v="4"/>
    <s v="Male"/>
    <n v="55"/>
    <n v="2"/>
    <n v="2"/>
    <s v="Laboratory Technician"/>
    <n v="4"/>
    <s v="Married"/>
    <n v="5126"/>
    <n v="15998"/>
    <n v="1"/>
    <s v="Yes"/>
    <n v="12"/>
    <n v="3"/>
    <n v="3"/>
    <n v="80"/>
    <n v="2"/>
    <n v="10"/>
    <n v="1"/>
    <n v="2"/>
    <n v="10"/>
    <n v="8"/>
    <n v="3"/>
    <n v="0"/>
    <n v="0"/>
    <n v="1"/>
    <s v="25-34"/>
    <s v="Medium"/>
    <s v="6-10 Years"/>
  </r>
  <r>
    <n v="82"/>
    <n v="35"/>
    <x v="1"/>
    <s v="Travel_Rarely"/>
    <n v="1214"/>
    <s v="Research &amp; Development"/>
    <n v="1"/>
    <n v="3"/>
    <s v="Medical"/>
    <n v="105"/>
    <n v="2"/>
    <s v="Male"/>
    <n v="30"/>
    <n v="2"/>
    <n v="1"/>
    <s v="Research Scientist"/>
    <n v="3"/>
    <s v="Single"/>
    <n v="2859"/>
    <n v="26278"/>
    <n v="1"/>
    <s v="No"/>
    <n v="18"/>
    <n v="3"/>
    <n v="1"/>
    <n v="80"/>
    <n v="0"/>
    <n v="6"/>
    <n v="3"/>
    <n v="3"/>
    <n v="6"/>
    <n v="4"/>
    <n v="0"/>
    <n v="4"/>
    <n v="0"/>
    <n v="1"/>
    <s v="35-44"/>
    <s v="Low"/>
    <s v="6-10 Years"/>
  </r>
  <r>
    <n v="83"/>
    <n v="55"/>
    <x v="1"/>
    <s v="Travel_Rarely"/>
    <n v="111"/>
    <s v="Sales"/>
    <n v="1"/>
    <n v="2"/>
    <s v="Life Sciences"/>
    <n v="106"/>
    <n v="1"/>
    <s v="Male"/>
    <n v="70"/>
    <n v="3"/>
    <n v="3"/>
    <s v="Sales Executive"/>
    <n v="4"/>
    <s v="Married"/>
    <n v="10239"/>
    <n v="18092"/>
    <n v="3"/>
    <s v="No"/>
    <n v="14"/>
    <n v="3"/>
    <n v="4"/>
    <n v="80"/>
    <n v="1"/>
    <n v="24"/>
    <n v="4"/>
    <n v="3"/>
    <n v="1"/>
    <n v="0"/>
    <n v="1"/>
    <n v="0"/>
    <n v="0"/>
    <n v="1"/>
    <s v="55+"/>
    <s v="Upper Medium"/>
    <s v="0-5 Years"/>
  </r>
  <r>
    <n v="84"/>
    <n v="38"/>
    <x v="1"/>
    <s v="Non-Travel"/>
    <n v="573"/>
    <s v="Research &amp; Development"/>
    <n v="6"/>
    <n v="3"/>
    <s v="Medical"/>
    <n v="107"/>
    <n v="2"/>
    <s v="Female"/>
    <n v="79"/>
    <n v="1"/>
    <n v="2"/>
    <s v="Research Scientist"/>
    <n v="4"/>
    <s v="Divorced"/>
    <n v="5329"/>
    <n v="15717"/>
    <n v="7"/>
    <s v="Yes"/>
    <n v="12"/>
    <n v="3"/>
    <n v="4"/>
    <n v="80"/>
    <n v="3"/>
    <n v="17"/>
    <n v="3"/>
    <n v="3"/>
    <n v="13"/>
    <n v="11"/>
    <n v="1"/>
    <n v="9"/>
    <n v="0"/>
    <n v="1"/>
    <s v="35-44"/>
    <s v="Medium"/>
    <s v="11-20 Years"/>
  </r>
  <r>
    <n v="85"/>
    <n v="34"/>
    <x v="1"/>
    <s v="Travel_Rarely"/>
    <n v="1153"/>
    <s v="Research &amp; Development"/>
    <n v="1"/>
    <n v="2"/>
    <s v="Medical"/>
    <n v="110"/>
    <n v="1"/>
    <s v="Male"/>
    <n v="94"/>
    <n v="3"/>
    <n v="2"/>
    <s v="Manufacturing Director"/>
    <n v="2"/>
    <s v="Married"/>
    <n v="4325"/>
    <n v="17736"/>
    <n v="1"/>
    <s v="No"/>
    <n v="15"/>
    <n v="3"/>
    <n v="3"/>
    <n v="80"/>
    <n v="0"/>
    <n v="5"/>
    <n v="2"/>
    <n v="3"/>
    <n v="5"/>
    <n v="2"/>
    <n v="1"/>
    <n v="3"/>
    <n v="0"/>
    <n v="1"/>
    <s v="25-34"/>
    <s v="Low"/>
    <s v="0-5 Years"/>
  </r>
  <r>
    <n v="86"/>
    <n v="56"/>
    <x v="1"/>
    <s v="Travel_Rarely"/>
    <n v="1400"/>
    <s v="Research &amp; Development"/>
    <n v="7"/>
    <n v="3"/>
    <s v="Life Sciences"/>
    <n v="112"/>
    <n v="4"/>
    <s v="Male"/>
    <n v="49"/>
    <n v="1"/>
    <n v="3"/>
    <s v="Manufacturing Director"/>
    <n v="4"/>
    <s v="Single"/>
    <n v="7260"/>
    <n v="21698"/>
    <n v="4"/>
    <s v="No"/>
    <n v="11"/>
    <n v="3"/>
    <n v="1"/>
    <n v="80"/>
    <n v="0"/>
    <n v="37"/>
    <n v="3"/>
    <n v="2"/>
    <n v="6"/>
    <n v="4"/>
    <n v="0"/>
    <n v="2"/>
    <n v="0"/>
    <n v="1"/>
    <s v="55+"/>
    <s v="Medium"/>
    <s v="6-10 Years"/>
  </r>
  <r>
    <n v="87"/>
    <n v="23"/>
    <x v="1"/>
    <s v="Travel_Rarely"/>
    <n v="541"/>
    <s v="Sales"/>
    <n v="2"/>
    <n v="1"/>
    <s v="Technical Degree"/>
    <n v="113"/>
    <n v="3"/>
    <s v="Male"/>
    <n v="62"/>
    <n v="3"/>
    <n v="1"/>
    <s v="Sales Representative"/>
    <n v="1"/>
    <s v="Divorced"/>
    <n v="2322"/>
    <n v="9518"/>
    <n v="3"/>
    <s v="No"/>
    <n v="13"/>
    <n v="3"/>
    <n v="3"/>
    <n v="80"/>
    <n v="1"/>
    <n v="3"/>
    <n v="3"/>
    <n v="3"/>
    <n v="0"/>
    <n v="0"/>
    <n v="0"/>
    <n v="0"/>
    <n v="0"/>
    <n v="1"/>
    <s v="Under 25"/>
    <s v="Low"/>
    <s v="0-5 Years"/>
  </r>
  <r>
    <n v="88"/>
    <n v="51"/>
    <x v="1"/>
    <s v="Travel_Rarely"/>
    <n v="432"/>
    <s v="Research &amp; Development"/>
    <n v="9"/>
    <n v="4"/>
    <s v="Life Sciences"/>
    <n v="116"/>
    <n v="4"/>
    <s v="Male"/>
    <n v="96"/>
    <n v="3"/>
    <n v="1"/>
    <s v="Laboratory Technician"/>
    <n v="4"/>
    <s v="Married"/>
    <n v="2075"/>
    <n v="18725"/>
    <n v="3"/>
    <s v="No"/>
    <n v="23"/>
    <n v="4"/>
    <n v="2"/>
    <n v="80"/>
    <n v="2"/>
    <n v="10"/>
    <n v="4"/>
    <n v="3"/>
    <n v="4"/>
    <n v="2"/>
    <n v="0"/>
    <n v="3"/>
    <n v="0"/>
    <n v="1"/>
    <s v="45-54"/>
    <s v="Low"/>
    <s v="0-5 Years"/>
  </r>
  <r>
    <n v="89"/>
    <n v="30"/>
    <x v="1"/>
    <s v="Travel_Rarely"/>
    <n v="288"/>
    <s v="Research &amp; Development"/>
    <n v="2"/>
    <n v="3"/>
    <s v="Life Sciences"/>
    <n v="117"/>
    <n v="3"/>
    <s v="Male"/>
    <n v="99"/>
    <n v="2"/>
    <n v="2"/>
    <s v="Healthcare Representative"/>
    <n v="4"/>
    <s v="Married"/>
    <n v="4152"/>
    <n v="15830"/>
    <n v="1"/>
    <s v="No"/>
    <n v="19"/>
    <n v="3"/>
    <n v="1"/>
    <n v="80"/>
    <n v="3"/>
    <n v="11"/>
    <n v="3"/>
    <n v="3"/>
    <n v="11"/>
    <n v="10"/>
    <n v="10"/>
    <n v="8"/>
    <n v="0"/>
    <n v="1"/>
    <s v="25-34"/>
    <s v="Low"/>
    <s v="11-20 Years"/>
  </r>
  <r>
    <n v="90"/>
    <n v="46"/>
    <x v="0"/>
    <s v="Travel_Rarely"/>
    <n v="669"/>
    <s v="Sales"/>
    <n v="9"/>
    <n v="2"/>
    <s v="Medical"/>
    <n v="118"/>
    <n v="3"/>
    <s v="Male"/>
    <n v="64"/>
    <n v="2"/>
    <n v="3"/>
    <s v="Sales Executive"/>
    <n v="4"/>
    <s v="Single"/>
    <n v="9619"/>
    <n v="13596"/>
    <n v="1"/>
    <s v="No"/>
    <n v="16"/>
    <n v="3"/>
    <n v="4"/>
    <n v="80"/>
    <n v="0"/>
    <n v="9"/>
    <n v="3"/>
    <n v="3"/>
    <n v="9"/>
    <n v="8"/>
    <n v="4"/>
    <n v="7"/>
    <n v="1"/>
    <n v="0"/>
    <s v="45-54"/>
    <s v="Medium"/>
    <s v="6-10 Years"/>
  </r>
  <r>
    <n v="91"/>
    <n v="40"/>
    <x v="1"/>
    <s v="Travel_Frequently"/>
    <n v="530"/>
    <s v="Research &amp; Development"/>
    <n v="1"/>
    <n v="4"/>
    <s v="Life Sciences"/>
    <n v="119"/>
    <n v="3"/>
    <s v="Male"/>
    <n v="78"/>
    <n v="2"/>
    <n v="4"/>
    <s v="Healthcare Representative"/>
    <n v="2"/>
    <s v="Married"/>
    <n v="13503"/>
    <n v="14115"/>
    <n v="1"/>
    <s v="No"/>
    <n v="22"/>
    <n v="4"/>
    <n v="4"/>
    <n v="80"/>
    <n v="1"/>
    <n v="22"/>
    <n v="3"/>
    <n v="2"/>
    <n v="22"/>
    <n v="3"/>
    <n v="11"/>
    <n v="11"/>
    <n v="0"/>
    <n v="1"/>
    <s v="35-44"/>
    <s v="Upper Medium"/>
    <s v="21+ Years"/>
  </r>
  <r>
    <n v="92"/>
    <n v="51"/>
    <x v="1"/>
    <s v="Travel_Rarely"/>
    <n v="632"/>
    <s v="Sales"/>
    <n v="21"/>
    <n v="4"/>
    <s v="Marketing"/>
    <n v="120"/>
    <n v="3"/>
    <s v="Male"/>
    <n v="71"/>
    <n v="3"/>
    <n v="2"/>
    <s v="Sales Executive"/>
    <n v="4"/>
    <s v="Single"/>
    <n v="5441"/>
    <n v="8423"/>
    <n v="0"/>
    <s v="Yes"/>
    <n v="22"/>
    <n v="4"/>
    <n v="4"/>
    <n v="80"/>
    <n v="0"/>
    <n v="11"/>
    <n v="2"/>
    <n v="1"/>
    <n v="10"/>
    <n v="7"/>
    <n v="1"/>
    <n v="0"/>
    <n v="0"/>
    <n v="1"/>
    <s v="45-54"/>
    <s v="Medium"/>
    <s v="6-10 Years"/>
  </r>
  <r>
    <n v="93"/>
    <n v="30"/>
    <x v="1"/>
    <s v="Travel_Rarely"/>
    <n v="1334"/>
    <s v="Sales"/>
    <n v="4"/>
    <n v="2"/>
    <s v="Medical"/>
    <n v="121"/>
    <n v="3"/>
    <s v="Female"/>
    <n v="63"/>
    <n v="2"/>
    <n v="2"/>
    <s v="Sales Executive"/>
    <n v="2"/>
    <s v="Divorced"/>
    <n v="5209"/>
    <n v="19760"/>
    <n v="1"/>
    <s v="Yes"/>
    <n v="12"/>
    <n v="3"/>
    <n v="2"/>
    <n v="80"/>
    <n v="3"/>
    <n v="11"/>
    <n v="4"/>
    <n v="2"/>
    <n v="11"/>
    <n v="8"/>
    <n v="2"/>
    <n v="7"/>
    <n v="0"/>
    <n v="1"/>
    <s v="25-34"/>
    <s v="Medium"/>
    <s v="11-20 Years"/>
  </r>
  <r>
    <n v="94"/>
    <n v="46"/>
    <x v="1"/>
    <s v="Travel_Frequently"/>
    <n v="638"/>
    <s v="Research &amp; Development"/>
    <n v="1"/>
    <n v="3"/>
    <s v="Medical"/>
    <n v="124"/>
    <n v="3"/>
    <s v="Male"/>
    <n v="40"/>
    <n v="2"/>
    <n v="3"/>
    <s v="Healthcare Representative"/>
    <n v="1"/>
    <s v="Married"/>
    <n v="10673"/>
    <n v="3142"/>
    <n v="2"/>
    <s v="Yes"/>
    <n v="13"/>
    <n v="3"/>
    <n v="3"/>
    <n v="80"/>
    <n v="1"/>
    <n v="21"/>
    <n v="5"/>
    <n v="2"/>
    <n v="10"/>
    <n v="9"/>
    <n v="9"/>
    <n v="5"/>
    <n v="0"/>
    <n v="1"/>
    <s v="45-54"/>
    <s v="Upper Medium"/>
    <s v="6-10 Years"/>
  </r>
  <r>
    <n v="95"/>
    <n v="32"/>
    <x v="1"/>
    <s v="Travel_Rarely"/>
    <n v="1093"/>
    <s v="Sales"/>
    <n v="6"/>
    <n v="4"/>
    <s v="Medical"/>
    <n v="125"/>
    <n v="2"/>
    <s v="Male"/>
    <n v="87"/>
    <n v="3"/>
    <n v="2"/>
    <s v="Sales Executive"/>
    <n v="3"/>
    <s v="Single"/>
    <n v="5010"/>
    <n v="24301"/>
    <n v="1"/>
    <s v="No"/>
    <n v="16"/>
    <n v="3"/>
    <n v="1"/>
    <n v="80"/>
    <n v="0"/>
    <n v="12"/>
    <n v="0"/>
    <n v="3"/>
    <n v="11"/>
    <n v="8"/>
    <n v="5"/>
    <n v="7"/>
    <n v="0"/>
    <n v="1"/>
    <s v="25-34"/>
    <s v="Medium"/>
    <s v="11-20 Years"/>
  </r>
  <r>
    <n v="96"/>
    <n v="54"/>
    <x v="1"/>
    <s v="Travel_Rarely"/>
    <n v="1217"/>
    <s v="Research &amp; Development"/>
    <n v="2"/>
    <n v="4"/>
    <s v="Technical Degree"/>
    <n v="126"/>
    <n v="1"/>
    <s v="Female"/>
    <n v="60"/>
    <n v="3"/>
    <n v="3"/>
    <s v="Research Director"/>
    <n v="3"/>
    <s v="Married"/>
    <n v="13549"/>
    <n v="24001"/>
    <n v="9"/>
    <s v="No"/>
    <n v="12"/>
    <n v="3"/>
    <n v="1"/>
    <n v="80"/>
    <n v="1"/>
    <n v="16"/>
    <n v="5"/>
    <n v="1"/>
    <n v="4"/>
    <n v="3"/>
    <n v="0"/>
    <n v="3"/>
    <n v="0"/>
    <n v="1"/>
    <s v="45-54"/>
    <s v="Upper Medium"/>
    <s v="0-5 Years"/>
  </r>
  <r>
    <n v="97"/>
    <n v="24"/>
    <x v="1"/>
    <s v="Travel_Rarely"/>
    <n v="1353"/>
    <s v="Sales"/>
    <n v="3"/>
    <n v="2"/>
    <s v="Other"/>
    <n v="128"/>
    <n v="1"/>
    <s v="Female"/>
    <n v="33"/>
    <n v="3"/>
    <n v="2"/>
    <s v="Sales Executive"/>
    <n v="3"/>
    <s v="Married"/>
    <n v="4999"/>
    <n v="17519"/>
    <n v="0"/>
    <s v="No"/>
    <n v="21"/>
    <n v="4"/>
    <n v="1"/>
    <n v="80"/>
    <n v="1"/>
    <n v="4"/>
    <n v="2"/>
    <n v="2"/>
    <n v="3"/>
    <n v="2"/>
    <n v="0"/>
    <n v="2"/>
    <n v="0"/>
    <n v="1"/>
    <s v="Under 25"/>
    <s v="Low"/>
    <s v="0-5 Years"/>
  </r>
  <r>
    <n v="98"/>
    <n v="28"/>
    <x v="1"/>
    <s v="Non-Travel"/>
    <n v="120"/>
    <s v="Sales"/>
    <n v="4"/>
    <n v="3"/>
    <s v="Medical"/>
    <n v="129"/>
    <n v="2"/>
    <s v="Male"/>
    <n v="43"/>
    <n v="3"/>
    <n v="2"/>
    <s v="Sales Executive"/>
    <n v="3"/>
    <s v="Married"/>
    <n v="4221"/>
    <n v="8863"/>
    <n v="1"/>
    <s v="No"/>
    <n v="15"/>
    <n v="3"/>
    <n v="2"/>
    <n v="80"/>
    <n v="0"/>
    <n v="5"/>
    <n v="3"/>
    <n v="4"/>
    <n v="5"/>
    <n v="4"/>
    <n v="0"/>
    <n v="4"/>
    <n v="0"/>
    <n v="1"/>
    <s v="25-34"/>
    <s v="Low"/>
    <s v="0-5 Years"/>
  </r>
  <r>
    <n v="99"/>
    <n v="58"/>
    <x v="1"/>
    <s v="Travel_Rarely"/>
    <n v="682"/>
    <s v="Sales"/>
    <n v="10"/>
    <n v="4"/>
    <s v="Medical"/>
    <n v="131"/>
    <n v="4"/>
    <s v="Male"/>
    <n v="37"/>
    <n v="3"/>
    <n v="4"/>
    <s v="Sales Executive"/>
    <n v="3"/>
    <s v="Single"/>
    <n v="13872"/>
    <n v="24409"/>
    <n v="0"/>
    <s v="No"/>
    <n v="13"/>
    <n v="3"/>
    <n v="3"/>
    <n v="80"/>
    <n v="0"/>
    <n v="38"/>
    <n v="1"/>
    <n v="2"/>
    <n v="37"/>
    <n v="10"/>
    <n v="1"/>
    <n v="8"/>
    <n v="0"/>
    <n v="1"/>
    <s v="55+"/>
    <s v="Upper Medium"/>
    <s v="21+ Years"/>
  </r>
  <r>
    <n v="100"/>
    <n v="44"/>
    <x v="1"/>
    <s v="Non-Travel"/>
    <n v="489"/>
    <s v="Research &amp; Development"/>
    <n v="23"/>
    <n v="3"/>
    <s v="Medical"/>
    <n v="132"/>
    <n v="2"/>
    <s v="Male"/>
    <n v="67"/>
    <n v="3"/>
    <n v="2"/>
    <s v="Laboratory Technician"/>
    <n v="2"/>
    <s v="Married"/>
    <n v="2042"/>
    <n v="25043"/>
    <n v="4"/>
    <s v="No"/>
    <n v="12"/>
    <n v="3"/>
    <n v="3"/>
    <n v="80"/>
    <n v="1"/>
    <n v="17"/>
    <n v="3"/>
    <n v="4"/>
    <n v="3"/>
    <n v="2"/>
    <n v="1"/>
    <n v="2"/>
    <n v="0"/>
    <n v="1"/>
    <s v="35-44"/>
    <s v="Low"/>
    <s v="0-5 Years"/>
  </r>
  <r>
    <n v="101"/>
    <n v="37"/>
    <x v="0"/>
    <s v="Travel_Rarely"/>
    <n v="807"/>
    <s v="Human Resources"/>
    <n v="6"/>
    <n v="4"/>
    <s v="Human Resources"/>
    <n v="133"/>
    <n v="3"/>
    <s v="Male"/>
    <n v="63"/>
    <n v="3"/>
    <n v="1"/>
    <s v="Human Resources"/>
    <n v="1"/>
    <s v="Divorced"/>
    <n v="2073"/>
    <n v="23648"/>
    <n v="4"/>
    <s v="Yes"/>
    <n v="22"/>
    <n v="4"/>
    <n v="4"/>
    <n v="80"/>
    <n v="0"/>
    <n v="7"/>
    <n v="3"/>
    <n v="3"/>
    <n v="3"/>
    <n v="2"/>
    <n v="0"/>
    <n v="2"/>
    <n v="1"/>
    <n v="0"/>
    <s v="35-44"/>
    <s v="Low"/>
    <s v="0-5 Years"/>
  </r>
  <r>
    <n v="102"/>
    <n v="32"/>
    <x v="1"/>
    <s v="Travel_Rarely"/>
    <n v="827"/>
    <s v="Research &amp; Development"/>
    <n v="1"/>
    <n v="1"/>
    <s v="Life Sciences"/>
    <n v="134"/>
    <n v="4"/>
    <s v="Male"/>
    <n v="71"/>
    <n v="3"/>
    <n v="1"/>
    <s v="Research Scientist"/>
    <n v="1"/>
    <s v="Single"/>
    <n v="2956"/>
    <n v="15178"/>
    <n v="1"/>
    <s v="No"/>
    <n v="13"/>
    <n v="3"/>
    <n v="4"/>
    <n v="80"/>
    <n v="0"/>
    <n v="1"/>
    <n v="2"/>
    <n v="3"/>
    <n v="1"/>
    <n v="0"/>
    <n v="0"/>
    <n v="0"/>
    <n v="0"/>
    <n v="1"/>
    <s v="25-34"/>
    <s v="Low"/>
    <s v="0-5 Years"/>
  </r>
  <r>
    <n v="103"/>
    <n v="20"/>
    <x v="0"/>
    <s v="Travel_Frequently"/>
    <n v="871"/>
    <s v="Research &amp; Development"/>
    <n v="6"/>
    <n v="3"/>
    <s v="Life Sciences"/>
    <n v="137"/>
    <n v="4"/>
    <s v="Female"/>
    <n v="66"/>
    <n v="2"/>
    <n v="1"/>
    <s v="Laboratory Technician"/>
    <n v="4"/>
    <s v="Single"/>
    <n v="2926"/>
    <n v="19783"/>
    <n v="1"/>
    <s v="Yes"/>
    <n v="18"/>
    <n v="3"/>
    <n v="2"/>
    <n v="80"/>
    <n v="0"/>
    <n v="1"/>
    <n v="5"/>
    <n v="3"/>
    <n v="1"/>
    <n v="0"/>
    <n v="1"/>
    <n v="0"/>
    <n v="1"/>
    <n v="0"/>
    <s v="Under 25"/>
    <s v="Low"/>
    <s v="0-5 Years"/>
  </r>
  <r>
    <n v="104"/>
    <n v="34"/>
    <x v="1"/>
    <s v="Travel_Rarely"/>
    <n v="665"/>
    <s v="Research &amp; Development"/>
    <n v="6"/>
    <n v="4"/>
    <s v="Other"/>
    <n v="138"/>
    <n v="1"/>
    <s v="Female"/>
    <n v="41"/>
    <n v="3"/>
    <n v="2"/>
    <s v="Research Scientist"/>
    <n v="3"/>
    <s v="Single"/>
    <n v="4809"/>
    <n v="12482"/>
    <n v="1"/>
    <s v="No"/>
    <n v="14"/>
    <n v="3"/>
    <n v="3"/>
    <n v="80"/>
    <n v="0"/>
    <n v="16"/>
    <n v="3"/>
    <n v="3"/>
    <n v="16"/>
    <n v="13"/>
    <n v="2"/>
    <n v="10"/>
    <n v="0"/>
    <n v="1"/>
    <s v="25-34"/>
    <s v="Low"/>
    <s v="11-20 Years"/>
  </r>
  <r>
    <n v="105"/>
    <n v="37"/>
    <x v="1"/>
    <s v="Non-Travel"/>
    <n v="1040"/>
    <s v="Research &amp; Development"/>
    <n v="2"/>
    <n v="2"/>
    <s v="Life Sciences"/>
    <n v="139"/>
    <n v="3"/>
    <s v="Male"/>
    <n v="100"/>
    <n v="2"/>
    <n v="2"/>
    <s v="Healthcare Representative"/>
    <n v="4"/>
    <s v="Divorced"/>
    <n v="5163"/>
    <n v="15850"/>
    <n v="5"/>
    <s v="No"/>
    <n v="14"/>
    <n v="3"/>
    <n v="4"/>
    <n v="80"/>
    <n v="1"/>
    <n v="17"/>
    <n v="2"/>
    <n v="4"/>
    <n v="1"/>
    <n v="0"/>
    <n v="0"/>
    <n v="0"/>
    <n v="0"/>
    <n v="1"/>
    <s v="35-44"/>
    <s v="Medium"/>
    <s v="0-5 Years"/>
  </r>
  <r>
    <n v="106"/>
    <n v="59"/>
    <x v="1"/>
    <s v="Non-Travel"/>
    <n v="1420"/>
    <s v="Human Resources"/>
    <n v="2"/>
    <n v="4"/>
    <s v="Human Resources"/>
    <n v="140"/>
    <n v="3"/>
    <s v="Female"/>
    <n v="32"/>
    <n v="2"/>
    <n v="5"/>
    <s v="Manager"/>
    <n v="4"/>
    <s v="Married"/>
    <n v="18844"/>
    <n v="21922"/>
    <n v="9"/>
    <s v="No"/>
    <n v="21"/>
    <n v="4"/>
    <n v="4"/>
    <n v="80"/>
    <n v="1"/>
    <n v="30"/>
    <n v="3"/>
    <n v="3"/>
    <n v="3"/>
    <n v="2"/>
    <n v="2"/>
    <n v="2"/>
    <n v="0"/>
    <n v="1"/>
    <s v="55+"/>
    <s v="High"/>
    <s v="0-5 Years"/>
  </r>
  <r>
    <n v="107"/>
    <n v="50"/>
    <x v="1"/>
    <s v="Travel_Frequently"/>
    <n v="1115"/>
    <s v="Research &amp; Development"/>
    <n v="1"/>
    <n v="3"/>
    <s v="Life Sciences"/>
    <n v="141"/>
    <n v="1"/>
    <s v="Female"/>
    <n v="73"/>
    <n v="3"/>
    <n v="5"/>
    <s v="Research Director"/>
    <n v="2"/>
    <s v="Married"/>
    <n v="18172"/>
    <n v="9755"/>
    <n v="3"/>
    <s v="Yes"/>
    <n v="19"/>
    <n v="3"/>
    <n v="1"/>
    <n v="80"/>
    <n v="0"/>
    <n v="28"/>
    <n v="1"/>
    <n v="2"/>
    <n v="8"/>
    <n v="3"/>
    <n v="0"/>
    <n v="7"/>
    <n v="0"/>
    <n v="1"/>
    <s v="45-54"/>
    <s v="High"/>
    <s v="6-10 Years"/>
  </r>
  <r>
    <n v="108"/>
    <n v="25"/>
    <x v="0"/>
    <s v="Travel_Rarely"/>
    <n v="240"/>
    <s v="Sales"/>
    <n v="5"/>
    <n v="3"/>
    <s v="Marketing"/>
    <n v="142"/>
    <n v="3"/>
    <s v="Male"/>
    <n v="46"/>
    <n v="2"/>
    <n v="2"/>
    <s v="Sales Executive"/>
    <n v="3"/>
    <s v="Single"/>
    <n v="5744"/>
    <n v="26959"/>
    <n v="1"/>
    <s v="Yes"/>
    <n v="11"/>
    <n v="3"/>
    <n v="4"/>
    <n v="80"/>
    <n v="0"/>
    <n v="6"/>
    <n v="1"/>
    <n v="3"/>
    <n v="6"/>
    <n v="4"/>
    <n v="0"/>
    <n v="3"/>
    <n v="1"/>
    <n v="0"/>
    <s v="25-34"/>
    <s v="Medium"/>
    <s v="6-10 Years"/>
  </r>
  <r>
    <n v="109"/>
    <n v="25"/>
    <x v="1"/>
    <s v="Travel_Rarely"/>
    <n v="1280"/>
    <s v="Research &amp; Development"/>
    <n v="7"/>
    <n v="1"/>
    <s v="Medical"/>
    <n v="143"/>
    <n v="4"/>
    <s v="Male"/>
    <n v="64"/>
    <n v="2"/>
    <n v="1"/>
    <s v="Research Scientist"/>
    <n v="4"/>
    <s v="Married"/>
    <n v="2889"/>
    <n v="26897"/>
    <n v="1"/>
    <s v="No"/>
    <n v="11"/>
    <n v="3"/>
    <n v="3"/>
    <n v="80"/>
    <n v="2"/>
    <n v="2"/>
    <n v="2"/>
    <n v="3"/>
    <n v="2"/>
    <n v="2"/>
    <n v="2"/>
    <n v="1"/>
    <n v="0"/>
    <n v="1"/>
    <s v="25-34"/>
    <s v="Low"/>
    <s v="0-5 Years"/>
  </r>
  <r>
    <n v="110"/>
    <n v="22"/>
    <x v="1"/>
    <s v="Travel_Rarely"/>
    <n v="534"/>
    <s v="Research &amp; Development"/>
    <n v="15"/>
    <n v="3"/>
    <s v="Medical"/>
    <n v="144"/>
    <n v="2"/>
    <s v="Female"/>
    <n v="59"/>
    <n v="3"/>
    <n v="1"/>
    <s v="Laboratory Technician"/>
    <n v="4"/>
    <s v="Single"/>
    <n v="2871"/>
    <n v="23785"/>
    <n v="1"/>
    <s v="No"/>
    <n v="15"/>
    <n v="3"/>
    <n v="3"/>
    <n v="80"/>
    <n v="0"/>
    <n v="1"/>
    <n v="5"/>
    <n v="3"/>
    <n v="0"/>
    <n v="0"/>
    <n v="0"/>
    <n v="0"/>
    <n v="0"/>
    <n v="1"/>
    <s v="Under 25"/>
    <s v="Low"/>
    <s v="0-5 Years"/>
  </r>
  <r>
    <n v="111"/>
    <n v="51"/>
    <x v="1"/>
    <s v="Travel_Frequently"/>
    <n v="1456"/>
    <s v="Research &amp; Development"/>
    <n v="1"/>
    <n v="4"/>
    <s v="Medical"/>
    <n v="145"/>
    <n v="1"/>
    <s v="Female"/>
    <n v="30"/>
    <n v="2"/>
    <n v="3"/>
    <s v="Healthcare Representative"/>
    <n v="1"/>
    <s v="Single"/>
    <n v="7484"/>
    <n v="25796"/>
    <n v="3"/>
    <s v="No"/>
    <n v="20"/>
    <n v="4"/>
    <n v="3"/>
    <n v="80"/>
    <n v="0"/>
    <n v="23"/>
    <n v="1"/>
    <n v="2"/>
    <n v="13"/>
    <n v="12"/>
    <n v="12"/>
    <n v="8"/>
    <n v="0"/>
    <n v="1"/>
    <s v="45-54"/>
    <s v="Medium"/>
    <s v="11-20 Years"/>
  </r>
  <r>
    <n v="112"/>
    <n v="34"/>
    <x v="0"/>
    <s v="Travel_Frequently"/>
    <n v="658"/>
    <s v="Research &amp; Development"/>
    <n v="7"/>
    <n v="3"/>
    <s v="Life Sciences"/>
    <n v="147"/>
    <n v="1"/>
    <s v="Male"/>
    <n v="66"/>
    <n v="1"/>
    <n v="2"/>
    <s v="Laboratory Technician"/>
    <n v="3"/>
    <s v="Single"/>
    <n v="6074"/>
    <n v="22887"/>
    <n v="1"/>
    <s v="Yes"/>
    <n v="24"/>
    <n v="4"/>
    <n v="4"/>
    <n v="80"/>
    <n v="0"/>
    <n v="9"/>
    <n v="3"/>
    <n v="3"/>
    <n v="9"/>
    <n v="7"/>
    <n v="0"/>
    <n v="6"/>
    <n v="1"/>
    <n v="0"/>
    <s v="25-34"/>
    <s v="Medium"/>
    <s v="6-10 Years"/>
  </r>
  <r>
    <n v="113"/>
    <n v="54"/>
    <x v="1"/>
    <s v="Non-Travel"/>
    <n v="142"/>
    <s v="Human Resources"/>
    <n v="26"/>
    <n v="3"/>
    <s v="Human Resources"/>
    <n v="148"/>
    <n v="4"/>
    <s v="Female"/>
    <n v="30"/>
    <n v="4"/>
    <n v="4"/>
    <s v="Manager"/>
    <n v="4"/>
    <s v="Single"/>
    <n v="17328"/>
    <n v="13871"/>
    <n v="2"/>
    <s v="Yes"/>
    <n v="12"/>
    <n v="3"/>
    <n v="3"/>
    <n v="80"/>
    <n v="0"/>
    <n v="23"/>
    <n v="3"/>
    <n v="3"/>
    <n v="5"/>
    <n v="3"/>
    <n v="4"/>
    <n v="4"/>
    <n v="0"/>
    <n v="1"/>
    <s v="45-54"/>
    <s v="High"/>
    <s v="0-5 Years"/>
  </r>
  <r>
    <n v="114"/>
    <n v="24"/>
    <x v="1"/>
    <s v="Travel_Rarely"/>
    <n v="1127"/>
    <s v="Research &amp; Development"/>
    <n v="18"/>
    <n v="1"/>
    <s v="Life Sciences"/>
    <n v="150"/>
    <n v="2"/>
    <s v="Male"/>
    <n v="52"/>
    <n v="3"/>
    <n v="1"/>
    <s v="Laboratory Technician"/>
    <n v="3"/>
    <s v="Married"/>
    <n v="2774"/>
    <n v="13257"/>
    <n v="0"/>
    <s v="No"/>
    <n v="12"/>
    <n v="3"/>
    <n v="3"/>
    <n v="80"/>
    <n v="1"/>
    <n v="6"/>
    <n v="2"/>
    <n v="3"/>
    <n v="5"/>
    <n v="3"/>
    <n v="1"/>
    <n v="2"/>
    <n v="0"/>
    <n v="1"/>
    <s v="Under 25"/>
    <s v="Low"/>
    <s v="0-5 Years"/>
  </r>
  <r>
    <n v="115"/>
    <n v="34"/>
    <x v="1"/>
    <s v="Travel_Rarely"/>
    <n v="1031"/>
    <s v="Research &amp; Development"/>
    <n v="6"/>
    <n v="4"/>
    <s v="Life Sciences"/>
    <n v="151"/>
    <n v="3"/>
    <s v="Female"/>
    <n v="45"/>
    <n v="2"/>
    <n v="2"/>
    <s v="Research Scientist"/>
    <n v="2"/>
    <s v="Divorced"/>
    <n v="4505"/>
    <n v="15000"/>
    <n v="6"/>
    <s v="No"/>
    <n v="15"/>
    <n v="3"/>
    <n v="3"/>
    <n v="80"/>
    <n v="1"/>
    <n v="12"/>
    <n v="3"/>
    <n v="3"/>
    <n v="1"/>
    <n v="0"/>
    <n v="0"/>
    <n v="0"/>
    <n v="0"/>
    <n v="1"/>
    <s v="25-34"/>
    <s v="Low"/>
    <s v="0-5 Years"/>
  </r>
  <r>
    <n v="116"/>
    <n v="37"/>
    <x v="1"/>
    <s v="Travel_Rarely"/>
    <n v="1189"/>
    <s v="Sales"/>
    <n v="3"/>
    <n v="3"/>
    <s v="Life Sciences"/>
    <n v="152"/>
    <n v="3"/>
    <s v="Male"/>
    <n v="87"/>
    <n v="3"/>
    <n v="3"/>
    <s v="Sales Executive"/>
    <n v="4"/>
    <s v="Single"/>
    <n v="7428"/>
    <n v="14506"/>
    <n v="2"/>
    <s v="No"/>
    <n v="12"/>
    <n v="3"/>
    <n v="1"/>
    <n v="80"/>
    <n v="0"/>
    <n v="12"/>
    <n v="3"/>
    <n v="3"/>
    <n v="5"/>
    <n v="3"/>
    <n v="1"/>
    <n v="3"/>
    <n v="0"/>
    <n v="1"/>
    <s v="35-44"/>
    <s v="Medium"/>
    <s v="0-5 Years"/>
  </r>
  <r>
    <n v="117"/>
    <n v="34"/>
    <x v="1"/>
    <s v="Travel_Rarely"/>
    <n v="1354"/>
    <s v="Research &amp; Development"/>
    <n v="5"/>
    <n v="3"/>
    <s v="Medical"/>
    <n v="153"/>
    <n v="3"/>
    <s v="Female"/>
    <n v="45"/>
    <n v="2"/>
    <n v="3"/>
    <s v="Manager"/>
    <n v="1"/>
    <s v="Single"/>
    <n v="11631"/>
    <n v="5615"/>
    <n v="2"/>
    <s v="No"/>
    <n v="12"/>
    <n v="3"/>
    <n v="4"/>
    <n v="80"/>
    <n v="0"/>
    <n v="14"/>
    <n v="6"/>
    <n v="3"/>
    <n v="11"/>
    <n v="10"/>
    <n v="5"/>
    <n v="8"/>
    <n v="0"/>
    <n v="1"/>
    <s v="25-34"/>
    <s v="Upper Medium"/>
    <s v="11-20 Years"/>
  </r>
  <r>
    <n v="118"/>
    <n v="36"/>
    <x v="1"/>
    <s v="Travel_Frequently"/>
    <n v="1467"/>
    <s v="Sales"/>
    <n v="11"/>
    <n v="2"/>
    <s v="Technical Degree"/>
    <n v="154"/>
    <n v="2"/>
    <s v="Female"/>
    <n v="92"/>
    <n v="3"/>
    <n v="3"/>
    <s v="Sales Executive"/>
    <n v="4"/>
    <s v="Married"/>
    <n v="9738"/>
    <n v="22952"/>
    <n v="0"/>
    <s v="No"/>
    <n v="14"/>
    <n v="3"/>
    <n v="3"/>
    <n v="80"/>
    <n v="1"/>
    <n v="10"/>
    <n v="6"/>
    <n v="3"/>
    <n v="9"/>
    <n v="7"/>
    <n v="2"/>
    <n v="8"/>
    <n v="0"/>
    <n v="1"/>
    <s v="35-44"/>
    <s v="Medium"/>
    <s v="6-10 Years"/>
  </r>
  <r>
    <n v="119"/>
    <n v="36"/>
    <x v="1"/>
    <s v="Travel_Rarely"/>
    <n v="922"/>
    <s v="Research &amp; Development"/>
    <n v="3"/>
    <n v="2"/>
    <s v="Life Sciences"/>
    <n v="155"/>
    <n v="1"/>
    <s v="Female"/>
    <n v="39"/>
    <n v="3"/>
    <n v="1"/>
    <s v="Laboratory Technician"/>
    <n v="4"/>
    <s v="Divorced"/>
    <n v="2835"/>
    <n v="2561"/>
    <n v="5"/>
    <s v="No"/>
    <n v="22"/>
    <n v="4"/>
    <n v="1"/>
    <n v="80"/>
    <n v="1"/>
    <n v="7"/>
    <n v="2"/>
    <n v="3"/>
    <n v="1"/>
    <n v="0"/>
    <n v="0"/>
    <n v="0"/>
    <n v="0"/>
    <n v="1"/>
    <s v="35-44"/>
    <s v="Low"/>
    <s v="0-5 Years"/>
  </r>
  <r>
    <n v="120"/>
    <n v="43"/>
    <x v="1"/>
    <s v="Travel_Frequently"/>
    <n v="394"/>
    <s v="Sales"/>
    <n v="26"/>
    <n v="2"/>
    <s v="Life Sciences"/>
    <n v="158"/>
    <n v="3"/>
    <s v="Male"/>
    <n v="92"/>
    <n v="3"/>
    <n v="4"/>
    <s v="Manager"/>
    <n v="4"/>
    <s v="Married"/>
    <n v="16959"/>
    <n v="19494"/>
    <n v="1"/>
    <s v="Yes"/>
    <n v="12"/>
    <n v="3"/>
    <n v="4"/>
    <n v="80"/>
    <n v="2"/>
    <n v="25"/>
    <n v="3"/>
    <n v="4"/>
    <n v="25"/>
    <n v="12"/>
    <n v="4"/>
    <n v="12"/>
    <n v="0"/>
    <n v="1"/>
    <s v="35-44"/>
    <s v="High"/>
    <s v="21+ Years"/>
  </r>
  <r>
    <n v="121"/>
    <n v="30"/>
    <x v="1"/>
    <s v="Travel_Frequently"/>
    <n v="1312"/>
    <s v="Research &amp; Development"/>
    <n v="23"/>
    <n v="3"/>
    <s v="Life Sciences"/>
    <n v="159"/>
    <n v="1"/>
    <s v="Male"/>
    <n v="96"/>
    <n v="1"/>
    <n v="1"/>
    <s v="Research Scientist"/>
    <n v="3"/>
    <s v="Divorced"/>
    <n v="2613"/>
    <n v="22310"/>
    <n v="1"/>
    <s v="No"/>
    <n v="25"/>
    <n v="4"/>
    <n v="3"/>
    <n v="80"/>
    <n v="3"/>
    <n v="10"/>
    <n v="2"/>
    <n v="2"/>
    <n v="10"/>
    <n v="7"/>
    <n v="0"/>
    <n v="9"/>
    <n v="0"/>
    <n v="1"/>
    <s v="25-34"/>
    <s v="Low"/>
    <s v="6-10 Years"/>
  </r>
  <r>
    <n v="122"/>
    <n v="33"/>
    <x v="1"/>
    <s v="Non-Travel"/>
    <n v="750"/>
    <s v="Sales"/>
    <n v="22"/>
    <n v="2"/>
    <s v="Marketing"/>
    <n v="160"/>
    <n v="3"/>
    <s v="Male"/>
    <n v="95"/>
    <n v="3"/>
    <n v="2"/>
    <s v="Sales Executive"/>
    <n v="2"/>
    <s v="Married"/>
    <n v="6146"/>
    <n v="15480"/>
    <n v="0"/>
    <s v="No"/>
    <n v="13"/>
    <n v="3"/>
    <n v="1"/>
    <n v="80"/>
    <n v="1"/>
    <n v="8"/>
    <n v="2"/>
    <n v="4"/>
    <n v="7"/>
    <n v="7"/>
    <n v="0"/>
    <n v="7"/>
    <n v="0"/>
    <n v="1"/>
    <s v="25-34"/>
    <s v="Medium"/>
    <s v="6-10 Years"/>
  </r>
  <r>
    <n v="123"/>
    <n v="56"/>
    <x v="0"/>
    <s v="Travel_Rarely"/>
    <n v="441"/>
    <s v="Research &amp; Development"/>
    <n v="14"/>
    <n v="4"/>
    <s v="Life Sciences"/>
    <n v="161"/>
    <n v="2"/>
    <s v="Female"/>
    <n v="72"/>
    <n v="3"/>
    <n v="1"/>
    <s v="Research Scientist"/>
    <n v="2"/>
    <s v="Married"/>
    <n v="4963"/>
    <n v="4510"/>
    <n v="9"/>
    <s v="Yes"/>
    <n v="18"/>
    <n v="3"/>
    <n v="1"/>
    <n v="80"/>
    <n v="3"/>
    <n v="7"/>
    <n v="2"/>
    <n v="3"/>
    <n v="5"/>
    <n v="4"/>
    <n v="4"/>
    <n v="3"/>
    <n v="1"/>
    <n v="0"/>
    <s v="55+"/>
    <s v="Low"/>
    <s v="0-5 Years"/>
  </r>
  <r>
    <n v="124"/>
    <n v="51"/>
    <x v="1"/>
    <s v="Travel_Rarely"/>
    <n v="684"/>
    <s v="Research &amp; Development"/>
    <n v="6"/>
    <n v="3"/>
    <s v="Life Sciences"/>
    <n v="162"/>
    <n v="1"/>
    <s v="Male"/>
    <n v="51"/>
    <n v="3"/>
    <n v="5"/>
    <s v="Research Director"/>
    <n v="3"/>
    <s v="Single"/>
    <n v="19537"/>
    <n v="6462"/>
    <n v="7"/>
    <s v="No"/>
    <n v="13"/>
    <n v="3"/>
    <n v="3"/>
    <n v="80"/>
    <n v="0"/>
    <n v="23"/>
    <n v="5"/>
    <n v="3"/>
    <n v="20"/>
    <n v="18"/>
    <n v="15"/>
    <n v="15"/>
    <n v="0"/>
    <n v="1"/>
    <s v="45-54"/>
    <s v="High"/>
    <s v="11-20 Years"/>
  </r>
  <r>
    <n v="125"/>
    <n v="31"/>
    <x v="0"/>
    <s v="Travel_Rarely"/>
    <n v="249"/>
    <s v="Sales"/>
    <n v="6"/>
    <n v="4"/>
    <s v="Life Sciences"/>
    <n v="163"/>
    <n v="2"/>
    <s v="Male"/>
    <n v="76"/>
    <n v="1"/>
    <n v="2"/>
    <s v="Sales Executive"/>
    <n v="3"/>
    <s v="Married"/>
    <n v="6172"/>
    <n v="20739"/>
    <n v="4"/>
    <s v="Yes"/>
    <n v="18"/>
    <n v="3"/>
    <n v="2"/>
    <n v="80"/>
    <n v="0"/>
    <n v="12"/>
    <n v="3"/>
    <n v="2"/>
    <n v="7"/>
    <n v="7"/>
    <n v="7"/>
    <n v="7"/>
    <n v="1"/>
    <n v="0"/>
    <s v="25-34"/>
    <s v="Medium"/>
    <s v="6-10 Years"/>
  </r>
  <r>
    <n v="126"/>
    <n v="26"/>
    <x v="1"/>
    <s v="Travel_Rarely"/>
    <n v="841"/>
    <s v="Research &amp; Development"/>
    <n v="6"/>
    <n v="3"/>
    <s v="Other"/>
    <n v="164"/>
    <n v="3"/>
    <s v="Female"/>
    <n v="46"/>
    <n v="2"/>
    <n v="1"/>
    <s v="Research Scientist"/>
    <n v="2"/>
    <s v="Married"/>
    <n v="2368"/>
    <n v="23300"/>
    <n v="1"/>
    <s v="No"/>
    <n v="19"/>
    <n v="3"/>
    <n v="3"/>
    <n v="80"/>
    <n v="0"/>
    <n v="5"/>
    <n v="3"/>
    <n v="2"/>
    <n v="5"/>
    <n v="4"/>
    <n v="4"/>
    <n v="3"/>
    <n v="0"/>
    <n v="1"/>
    <s v="25-34"/>
    <s v="Low"/>
    <s v="0-5 Years"/>
  </r>
  <r>
    <n v="127"/>
    <n v="58"/>
    <x v="0"/>
    <s v="Travel_Rarely"/>
    <n v="147"/>
    <s v="Research &amp; Development"/>
    <n v="23"/>
    <n v="4"/>
    <s v="Medical"/>
    <n v="165"/>
    <n v="4"/>
    <s v="Female"/>
    <n v="94"/>
    <n v="3"/>
    <n v="3"/>
    <s v="Healthcare Representative"/>
    <n v="4"/>
    <s v="Married"/>
    <n v="10312"/>
    <n v="3465"/>
    <n v="1"/>
    <s v="No"/>
    <n v="12"/>
    <n v="3"/>
    <n v="4"/>
    <n v="80"/>
    <n v="1"/>
    <n v="40"/>
    <n v="3"/>
    <n v="2"/>
    <n v="40"/>
    <n v="10"/>
    <n v="15"/>
    <n v="6"/>
    <n v="1"/>
    <n v="0"/>
    <s v="55+"/>
    <s v="Upper Medium"/>
    <s v="21+ Years"/>
  </r>
  <r>
    <n v="128"/>
    <n v="19"/>
    <x v="0"/>
    <s v="Travel_Rarely"/>
    <n v="528"/>
    <s v="Sales"/>
    <n v="22"/>
    <n v="1"/>
    <s v="Marketing"/>
    <n v="167"/>
    <n v="4"/>
    <s v="Male"/>
    <n v="50"/>
    <n v="3"/>
    <n v="1"/>
    <s v="Sales Representative"/>
    <n v="3"/>
    <s v="Single"/>
    <n v="1675"/>
    <n v="26820"/>
    <n v="1"/>
    <s v="Yes"/>
    <n v="19"/>
    <n v="3"/>
    <n v="4"/>
    <n v="80"/>
    <n v="0"/>
    <n v="0"/>
    <n v="2"/>
    <n v="2"/>
    <n v="0"/>
    <n v="0"/>
    <n v="0"/>
    <n v="0"/>
    <n v="1"/>
    <n v="0"/>
    <s v="Under 25"/>
    <s v="Low"/>
    <s v="0-5 Years"/>
  </r>
  <r>
    <n v="129"/>
    <n v="22"/>
    <x v="1"/>
    <s v="Travel_Rarely"/>
    <n v="594"/>
    <s v="Research &amp; Development"/>
    <n v="2"/>
    <n v="1"/>
    <s v="Technical Degree"/>
    <n v="169"/>
    <n v="3"/>
    <s v="Male"/>
    <n v="100"/>
    <n v="3"/>
    <n v="1"/>
    <s v="Laboratory Technician"/>
    <n v="4"/>
    <s v="Married"/>
    <n v="2523"/>
    <n v="19299"/>
    <n v="0"/>
    <s v="No"/>
    <n v="14"/>
    <n v="3"/>
    <n v="3"/>
    <n v="80"/>
    <n v="1"/>
    <n v="3"/>
    <n v="2"/>
    <n v="3"/>
    <n v="2"/>
    <n v="1"/>
    <n v="2"/>
    <n v="1"/>
    <n v="0"/>
    <n v="1"/>
    <s v="Under 25"/>
    <s v="Low"/>
    <s v="0-5 Years"/>
  </r>
  <r>
    <n v="130"/>
    <n v="49"/>
    <x v="1"/>
    <s v="Travel_Rarely"/>
    <n v="470"/>
    <s v="Research &amp; Development"/>
    <n v="20"/>
    <n v="4"/>
    <s v="Medical"/>
    <n v="170"/>
    <n v="3"/>
    <s v="Female"/>
    <n v="96"/>
    <n v="3"/>
    <n v="2"/>
    <s v="Manufacturing Director"/>
    <n v="1"/>
    <s v="Married"/>
    <n v="6567"/>
    <n v="5549"/>
    <n v="1"/>
    <s v="No"/>
    <n v="14"/>
    <n v="3"/>
    <n v="3"/>
    <n v="80"/>
    <n v="0"/>
    <n v="16"/>
    <n v="2"/>
    <n v="2"/>
    <n v="15"/>
    <n v="11"/>
    <n v="5"/>
    <n v="11"/>
    <n v="0"/>
    <n v="1"/>
    <s v="45-54"/>
    <s v="Medium"/>
    <s v="11-20 Years"/>
  </r>
  <r>
    <n v="131"/>
    <n v="43"/>
    <x v="1"/>
    <s v="Travel_Frequently"/>
    <n v="957"/>
    <s v="Research &amp; Development"/>
    <n v="28"/>
    <n v="3"/>
    <s v="Medical"/>
    <n v="171"/>
    <n v="2"/>
    <s v="Female"/>
    <n v="72"/>
    <n v="4"/>
    <n v="1"/>
    <s v="Research Scientist"/>
    <n v="3"/>
    <s v="Single"/>
    <n v="4739"/>
    <n v="16090"/>
    <n v="4"/>
    <s v="No"/>
    <n v="12"/>
    <n v="3"/>
    <n v="4"/>
    <n v="80"/>
    <n v="0"/>
    <n v="18"/>
    <n v="2"/>
    <n v="3"/>
    <n v="3"/>
    <n v="2"/>
    <n v="1"/>
    <n v="2"/>
    <n v="0"/>
    <n v="1"/>
    <s v="35-44"/>
    <s v="Low"/>
    <s v="0-5 Years"/>
  </r>
  <r>
    <n v="132"/>
    <n v="50"/>
    <x v="1"/>
    <s v="Travel_Frequently"/>
    <n v="809"/>
    <s v="Sales"/>
    <n v="12"/>
    <n v="3"/>
    <s v="Marketing"/>
    <n v="174"/>
    <n v="3"/>
    <s v="Female"/>
    <n v="77"/>
    <n v="3"/>
    <n v="3"/>
    <s v="Sales Executive"/>
    <n v="4"/>
    <s v="Single"/>
    <n v="9208"/>
    <n v="6645"/>
    <n v="4"/>
    <s v="No"/>
    <n v="11"/>
    <n v="3"/>
    <n v="4"/>
    <n v="80"/>
    <n v="0"/>
    <n v="16"/>
    <n v="3"/>
    <n v="3"/>
    <n v="2"/>
    <n v="2"/>
    <n v="2"/>
    <n v="1"/>
    <n v="0"/>
    <n v="1"/>
    <s v="45-54"/>
    <s v="Medium"/>
    <s v="0-5 Years"/>
  </r>
  <r>
    <n v="133"/>
    <n v="31"/>
    <x v="0"/>
    <s v="Travel_Rarely"/>
    <n v="542"/>
    <s v="Sales"/>
    <n v="20"/>
    <n v="3"/>
    <s v="Life Sciences"/>
    <n v="175"/>
    <n v="2"/>
    <s v="Female"/>
    <n v="71"/>
    <n v="1"/>
    <n v="2"/>
    <s v="Sales Executive"/>
    <n v="3"/>
    <s v="Married"/>
    <n v="4559"/>
    <n v="24788"/>
    <n v="3"/>
    <s v="Yes"/>
    <n v="11"/>
    <n v="3"/>
    <n v="3"/>
    <n v="80"/>
    <n v="1"/>
    <n v="4"/>
    <n v="2"/>
    <n v="3"/>
    <n v="2"/>
    <n v="2"/>
    <n v="2"/>
    <n v="2"/>
    <n v="1"/>
    <n v="0"/>
    <s v="25-34"/>
    <s v="Low"/>
    <s v="0-5 Years"/>
  </r>
  <r>
    <n v="134"/>
    <n v="41"/>
    <x v="1"/>
    <s v="Travel_Rarely"/>
    <n v="802"/>
    <s v="Sales"/>
    <n v="9"/>
    <n v="1"/>
    <s v="Life Sciences"/>
    <n v="176"/>
    <n v="3"/>
    <s v="Male"/>
    <n v="96"/>
    <n v="3"/>
    <n v="3"/>
    <s v="Sales Executive"/>
    <n v="3"/>
    <s v="Divorced"/>
    <n v="8189"/>
    <n v="21196"/>
    <n v="3"/>
    <s v="Yes"/>
    <n v="13"/>
    <n v="3"/>
    <n v="3"/>
    <n v="80"/>
    <n v="1"/>
    <n v="12"/>
    <n v="2"/>
    <n v="3"/>
    <n v="9"/>
    <n v="7"/>
    <n v="0"/>
    <n v="7"/>
    <n v="0"/>
    <n v="1"/>
    <s v="35-44"/>
    <s v="Medium"/>
    <s v="6-10 Years"/>
  </r>
  <r>
    <n v="135"/>
    <n v="26"/>
    <x v="1"/>
    <s v="Travel_Rarely"/>
    <n v="1355"/>
    <s v="Human Resources"/>
    <n v="25"/>
    <n v="1"/>
    <s v="Life Sciences"/>
    <n v="177"/>
    <n v="3"/>
    <s v="Female"/>
    <n v="61"/>
    <n v="3"/>
    <n v="1"/>
    <s v="Human Resources"/>
    <n v="3"/>
    <s v="Married"/>
    <n v="2942"/>
    <n v="8916"/>
    <n v="1"/>
    <s v="No"/>
    <n v="23"/>
    <n v="4"/>
    <n v="4"/>
    <n v="80"/>
    <n v="1"/>
    <n v="8"/>
    <n v="3"/>
    <n v="3"/>
    <n v="8"/>
    <n v="7"/>
    <n v="5"/>
    <n v="7"/>
    <n v="0"/>
    <n v="1"/>
    <s v="25-34"/>
    <s v="Low"/>
    <s v="6-10 Years"/>
  </r>
  <r>
    <n v="136"/>
    <n v="36"/>
    <x v="1"/>
    <s v="Travel_Rarely"/>
    <n v="216"/>
    <s v="Research &amp; Development"/>
    <n v="6"/>
    <n v="2"/>
    <s v="Medical"/>
    <n v="178"/>
    <n v="2"/>
    <s v="Male"/>
    <n v="84"/>
    <n v="3"/>
    <n v="2"/>
    <s v="Manufacturing Director"/>
    <n v="2"/>
    <s v="Divorced"/>
    <n v="4941"/>
    <n v="2819"/>
    <n v="6"/>
    <s v="No"/>
    <n v="20"/>
    <n v="4"/>
    <n v="4"/>
    <n v="80"/>
    <n v="2"/>
    <n v="7"/>
    <n v="0"/>
    <n v="3"/>
    <n v="3"/>
    <n v="2"/>
    <n v="0"/>
    <n v="1"/>
    <n v="0"/>
    <n v="1"/>
    <s v="35-44"/>
    <s v="Low"/>
    <s v="0-5 Years"/>
  </r>
  <r>
    <n v="137"/>
    <n v="51"/>
    <x v="0"/>
    <s v="Travel_Frequently"/>
    <n v="1150"/>
    <s v="Research &amp; Development"/>
    <n v="8"/>
    <n v="4"/>
    <s v="Life Sciences"/>
    <n v="179"/>
    <n v="1"/>
    <s v="Male"/>
    <n v="53"/>
    <n v="1"/>
    <n v="3"/>
    <s v="Manufacturing Director"/>
    <n v="4"/>
    <s v="Single"/>
    <n v="10650"/>
    <n v="25150"/>
    <n v="2"/>
    <s v="No"/>
    <n v="15"/>
    <n v="3"/>
    <n v="4"/>
    <n v="80"/>
    <n v="0"/>
    <n v="18"/>
    <n v="2"/>
    <n v="3"/>
    <n v="4"/>
    <n v="2"/>
    <n v="0"/>
    <n v="3"/>
    <n v="1"/>
    <n v="0"/>
    <s v="45-54"/>
    <s v="Upper Medium"/>
    <s v="0-5 Years"/>
  </r>
  <r>
    <n v="138"/>
    <n v="39"/>
    <x v="1"/>
    <s v="Travel_Rarely"/>
    <n v="1329"/>
    <s v="Sales"/>
    <n v="4"/>
    <n v="4"/>
    <s v="Life Sciences"/>
    <n v="182"/>
    <n v="4"/>
    <s v="Female"/>
    <n v="47"/>
    <n v="2"/>
    <n v="2"/>
    <s v="Sales Executive"/>
    <n v="3"/>
    <s v="Married"/>
    <n v="5902"/>
    <n v="14590"/>
    <n v="4"/>
    <s v="No"/>
    <n v="14"/>
    <n v="3"/>
    <n v="3"/>
    <n v="80"/>
    <n v="1"/>
    <n v="17"/>
    <n v="1"/>
    <n v="4"/>
    <n v="15"/>
    <n v="11"/>
    <n v="5"/>
    <n v="9"/>
    <n v="0"/>
    <n v="1"/>
    <s v="35-44"/>
    <s v="Medium"/>
    <s v="11-20 Years"/>
  </r>
  <r>
    <n v="139"/>
    <n v="25"/>
    <x v="1"/>
    <s v="Travel_Rarely"/>
    <n v="959"/>
    <s v="Sales"/>
    <n v="28"/>
    <n v="3"/>
    <s v="Life Sciences"/>
    <n v="183"/>
    <n v="1"/>
    <s v="Male"/>
    <n v="41"/>
    <n v="2"/>
    <n v="2"/>
    <s v="Sales Executive"/>
    <n v="3"/>
    <s v="Married"/>
    <n v="8639"/>
    <n v="24835"/>
    <n v="2"/>
    <s v="No"/>
    <n v="18"/>
    <n v="3"/>
    <n v="4"/>
    <n v="80"/>
    <n v="0"/>
    <n v="6"/>
    <n v="3"/>
    <n v="3"/>
    <n v="2"/>
    <n v="2"/>
    <n v="2"/>
    <n v="2"/>
    <n v="0"/>
    <n v="1"/>
    <s v="25-34"/>
    <s v="Medium"/>
    <s v="0-5 Years"/>
  </r>
  <r>
    <n v="140"/>
    <n v="30"/>
    <x v="1"/>
    <s v="Travel_Rarely"/>
    <n v="1240"/>
    <s v="Human Resources"/>
    <n v="9"/>
    <n v="3"/>
    <s v="Human Resources"/>
    <n v="184"/>
    <n v="3"/>
    <s v="Male"/>
    <n v="48"/>
    <n v="3"/>
    <n v="2"/>
    <s v="Human Resources"/>
    <n v="4"/>
    <s v="Married"/>
    <n v="6347"/>
    <n v="13982"/>
    <n v="0"/>
    <s v="Yes"/>
    <n v="19"/>
    <n v="3"/>
    <n v="4"/>
    <n v="80"/>
    <n v="0"/>
    <n v="12"/>
    <n v="2"/>
    <n v="1"/>
    <n v="11"/>
    <n v="9"/>
    <n v="4"/>
    <n v="7"/>
    <n v="0"/>
    <n v="1"/>
    <s v="25-34"/>
    <s v="Medium"/>
    <s v="11-20 Years"/>
  </r>
  <r>
    <n v="141"/>
    <n v="32"/>
    <x v="0"/>
    <s v="Travel_Rarely"/>
    <n v="1033"/>
    <s v="Research &amp; Development"/>
    <n v="9"/>
    <n v="3"/>
    <s v="Medical"/>
    <n v="190"/>
    <n v="1"/>
    <s v="Female"/>
    <n v="41"/>
    <n v="3"/>
    <n v="1"/>
    <s v="Laboratory Technician"/>
    <n v="1"/>
    <s v="Single"/>
    <n v="4200"/>
    <n v="10224"/>
    <n v="7"/>
    <s v="No"/>
    <n v="22"/>
    <n v="4"/>
    <n v="1"/>
    <n v="80"/>
    <n v="0"/>
    <n v="10"/>
    <n v="2"/>
    <n v="4"/>
    <n v="5"/>
    <n v="4"/>
    <n v="0"/>
    <n v="4"/>
    <n v="1"/>
    <n v="0"/>
    <s v="25-34"/>
    <s v="Low"/>
    <s v="0-5 Years"/>
  </r>
  <r>
    <n v="142"/>
    <n v="45"/>
    <x v="1"/>
    <s v="Travel_Rarely"/>
    <n v="1316"/>
    <s v="Research &amp; Development"/>
    <n v="29"/>
    <n v="3"/>
    <s v="Medical"/>
    <n v="192"/>
    <n v="3"/>
    <s v="Male"/>
    <n v="83"/>
    <n v="3"/>
    <n v="1"/>
    <s v="Research Scientist"/>
    <n v="4"/>
    <s v="Single"/>
    <n v="3452"/>
    <n v="9752"/>
    <n v="5"/>
    <s v="No"/>
    <n v="13"/>
    <n v="3"/>
    <n v="2"/>
    <n v="80"/>
    <n v="0"/>
    <n v="9"/>
    <n v="2"/>
    <n v="2"/>
    <n v="6"/>
    <n v="5"/>
    <n v="0"/>
    <n v="3"/>
    <n v="0"/>
    <n v="1"/>
    <s v="45-54"/>
    <s v="Low"/>
    <s v="6-10 Years"/>
  </r>
  <r>
    <n v="143"/>
    <n v="38"/>
    <x v="1"/>
    <s v="Travel_Rarely"/>
    <n v="364"/>
    <s v="Research &amp; Development"/>
    <n v="3"/>
    <n v="5"/>
    <s v="Technical Degree"/>
    <n v="193"/>
    <n v="4"/>
    <s v="Female"/>
    <n v="32"/>
    <n v="3"/>
    <n v="2"/>
    <s v="Research Scientist"/>
    <n v="3"/>
    <s v="Single"/>
    <n v="4317"/>
    <n v="2302"/>
    <n v="3"/>
    <s v="Yes"/>
    <n v="20"/>
    <n v="4"/>
    <n v="2"/>
    <n v="80"/>
    <n v="0"/>
    <n v="19"/>
    <n v="2"/>
    <n v="3"/>
    <n v="3"/>
    <n v="2"/>
    <n v="2"/>
    <n v="2"/>
    <n v="0"/>
    <n v="1"/>
    <s v="35-44"/>
    <s v="Low"/>
    <s v="0-5 Years"/>
  </r>
  <r>
    <n v="144"/>
    <n v="30"/>
    <x v="1"/>
    <s v="Travel_Rarely"/>
    <n v="438"/>
    <s v="Research &amp; Development"/>
    <n v="18"/>
    <n v="3"/>
    <s v="Life Sciences"/>
    <n v="194"/>
    <n v="1"/>
    <s v="Female"/>
    <n v="75"/>
    <n v="3"/>
    <n v="1"/>
    <s v="Research Scientist"/>
    <n v="3"/>
    <s v="Single"/>
    <n v="2632"/>
    <n v="23910"/>
    <n v="1"/>
    <s v="No"/>
    <n v="14"/>
    <n v="3"/>
    <n v="3"/>
    <n v="80"/>
    <n v="0"/>
    <n v="5"/>
    <n v="4"/>
    <n v="2"/>
    <n v="5"/>
    <n v="4"/>
    <n v="0"/>
    <n v="4"/>
    <n v="0"/>
    <n v="1"/>
    <s v="25-34"/>
    <s v="Low"/>
    <s v="0-5 Years"/>
  </r>
  <r>
    <n v="145"/>
    <n v="32"/>
    <x v="1"/>
    <s v="Travel_Frequently"/>
    <n v="689"/>
    <s v="Sales"/>
    <n v="9"/>
    <n v="2"/>
    <s v="Medical"/>
    <n v="195"/>
    <n v="4"/>
    <s v="Male"/>
    <n v="35"/>
    <n v="1"/>
    <n v="2"/>
    <s v="Sales Executive"/>
    <n v="4"/>
    <s v="Divorced"/>
    <n v="4668"/>
    <n v="22812"/>
    <n v="0"/>
    <s v="No"/>
    <n v="17"/>
    <n v="3"/>
    <n v="4"/>
    <n v="80"/>
    <n v="3"/>
    <n v="9"/>
    <n v="2"/>
    <n v="4"/>
    <n v="8"/>
    <n v="7"/>
    <n v="0"/>
    <n v="7"/>
    <n v="0"/>
    <n v="1"/>
    <s v="25-34"/>
    <s v="Low"/>
    <s v="6-10 Years"/>
  </r>
  <r>
    <n v="146"/>
    <n v="30"/>
    <x v="1"/>
    <s v="Travel_Rarely"/>
    <n v="201"/>
    <s v="Research &amp; Development"/>
    <n v="5"/>
    <n v="3"/>
    <s v="Technical Degree"/>
    <n v="197"/>
    <n v="4"/>
    <s v="Female"/>
    <n v="84"/>
    <n v="3"/>
    <n v="1"/>
    <s v="Research Scientist"/>
    <n v="1"/>
    <s v="Divorced"/>
    <n v="3204"/>
    <n v="10415"/>
    <n v="5"/>
    <s v="No"/>
    <n v="14"/>
    <n v="3"/>
    <n v="4"/>
    <n v="80"/>
    <n v="1"/>
    <n v="8"/>
    <n v="3"/>
    <n v="3"/>
    <n v="3"/>
    <n v="2"/>
    <n v="2"/>
    <n v="2"/>
    <n v="0"/>
    <n v="1"/>
    <s v="25-34"/>
    <s v="Low"/>
    <s v="0-5 Years"/>
  </r>
  <r>
    <n v="147"/>
    <n v="30"/>
    <x v="1"/>
    <s v="Travel_Rarely"/>
    <n v="1427"/>
    <s v="Research &amp; Development"/>
    <n v="2"/>
    <n v="1"/>
    <s v="Medical"/>
    <n v="198"/>
    <n v="2"/>
    <s v="Male"/>
    <n v="35"/>
    <n v="2"/>
    <n v="1"/>
    <s v="Laboratory Technician"/>
    <n v="4"/>
    <s v="Single"/>
    <n v="2720"/>
    <n v="11162"/>
    <n v="0"/>
    <s v="No"/>
    <n v="13"/>
    <n v="3"/>
    <n v="4"/>
    <n v="80"/>
    <n v="0"/>
    <n v="6"/>
    <n v="3"/>
    <n v="3"/>
    <n v="5"/>
    <n v="3"/>
    <n v="1"/>
    <n v="2"/>
    <n v="0"/>
    <n v="1"/>
    <s v="25-34"/>
    <s v="Low"/>
    <s v="0-5 Years"/>
  </r>
  <r>
    <n v="148"/>
    <n v="41"/>
    <x v="1"/>
    <s v="Travel_Frequently"/>
    <n v="857"/>
    <s v="Research &amp; Development"/>
    <n v="10"/>
    <n v="3"/>
    <s v="Life Sciences"/>
    <n v="199"/>
    <n v="4"/>
    <s v="Male"/>
    <n v="91"/>
    <n v="2"/>
    <n v="4"/>
    <s v="Manager"/>
    <n v="1"/>
    <s v="Divorced"/>
    <n v="17181"/>
    <n v="12888"/>
    <n v="4"/>
    <s v="No"/>
    <n v="13"/>
    <n v="3"/>
    <n v="2"/>
    <n v="80"/>
    <n v="1"/>
    <n v="21"/>
    <n v="2"/>
    <n v="2"/>
    <n v="7"/>
    <n v="6"/>
    <n v="7"/>
    <n v="7"/>
    <n v="0"/>
    <n v="1"/>
    <s v="35-44"/>
    <s v="High"/>
    <s v="6-10 Years"/>
  </r>
  <r>
    <n v="149"/>
    <n v="41"/>
    <x v="1"/>
    <s v="Travel_Rarely"/>
    <n v="933"/>
    <s v="Research &amp; Development"/>
    <n v="9"/>
    <n v="4"/>
    <s v="Life Sciences"/>
    <n v="200"/>
    <n v="3"/>
    <s v="Male"/>
    <n v="94"/>
    <n v="3"/>
    <n v="1"/>
    <s v="Laboratory Technician"/>
    <n v="1"/>
    <s v="Married"/>
    <n v="2238"/>
    <n v="6961"/>
    <n v="2"/>
    <s v="No"/>
    <n v="21"/>
    <n v="4"/>
    <n v="4"/>
    <n v="80"/>
    <n v="1"/>
    <n v="7"/>
    <n v="2"/>
    <n v="3"/>
    <n v="5"/>
    <n v="0"/>
    <n v="1"/>
    <n v="4"/>
    <n v="0"/>
    <n v="1"/>
    <s v="35-44"/>
    <s v="Low"/>
    <s v="0-5 Years"/>
  </r>
  <r>
    <n v="150"/>
    <n v="19"/>
    <x v="1"/>
    <s v="Travel_Rarely"/>
    <n v="1181"/>
    <s v="Research &amp; Development"/>
    <n v="3"/>
    <n v="1"/>
    <s v="Medical"/>
    <n v="201"/>
    <n v="2"/>
    <s v="Female"/>
    <n v="79"/>
    <n v="3"/>
    <n v="1"/>
    <s v="Laboratory Technician"/>
    <n v="2"/>
    <s v="Single"/>
    <n v="1483"/>
    <n v="16102"/>
    <n v="1"/>
    <s v="No"/>
    <n v="14"/>
    <n v="3"/>
    <n v="4"/>
    <n v="80"/>
    <n v="0"/>
    <n v="1"/>
    <n v="3"/>
    <n v="3"/>
    <n v="1"/>
    <n v="0"/>
    <n v="0"/>
    <n v="0"/>
    <n v="0"/>
    <n v="1"/>
    <s v="Under 25"/>
    <s v="Low"/>
    <s v="0-5 Years"/>
  </r>
  <r>
    <n v="151"/>
    <n v="40"/>
    <x v="1"/>
    <s v="Travel_Frequently"/>
    <n v="1395"/>
    <s v="Research &amp; Development"/>
    <n v="26"/>
    <n v="3"/>
    <s v="Medical"/>
    <n v="202"/>
    <n v="2"/>
    <s v="Female"/>
    <n v="54"/>
    <n v="3"/>
    <n v="2"/>
    <s v="Research Scientist"/>
    <n v="2"/>
    <s v="Divorced"/>
    <n v="5605"/>
    <n v="8504"/>
    <n v="1"/>
    <s v="No"/>
    <n v="11"/>
    <n v="3"/>
    <n v="1"/>
    <n v="80"/>
    <n v="1"/>
    <n v="20"/>
    <n v="2"/>
    <n v="3"/>
    <n v="20"/>
    <n v="7"/>
    <n v="2"/>
    <n v="13"/>
    <n v="0"/>
    <n v="1"/>
    <s v="35-44"/>
    <s v="Medium"/>
    <s v="11-20 Years"/>
  </r>
  <r>
    <n v="152"/>
    <n v="35"/>
    <x v="1"/>
    <s v="Travel_Rarely"/>
    <n v="662"/>
    <s v="Sales"/>
    <n v="1"/>
    <n v="5"/>
    <s v="Marketing"/>
    <n v="204"/>
    <n v="3"/>
    <s v="Male"/>
    <n v="94"/>
    <n v="3"/>
    <n v="3"/>
    <s v="Sales Executive"/>
    <n v="2"/>
    <s v="Married"/>
    <n v="7295"/>
    <n v="11439"/>
    <n v="1"/>
    <s v="No"/>
    <n v="13"/>
    <n v="3"/>
    <n v="1"/>
    <n v="80"/>
    <n v="2"/>
    <n v="10"/>
    <n v="3"/>
    <n v="3"/>
    <n v="10"/>
    <n v="8"/>
    <n v="0"/>
    <n v="6"/>
    <n v="0"/>
    <n v="1"/>
    <s v="35-44"/>
    <s v="Medium"/>
    <s v="6-10 Years"/>
  </r>
  <r>
    <n v="153"/>
    <n v="53"/>
    <x v="1"/>
    <s v="Travel_Rarely"/>
    <n v="1436"/>
    <s v="Sales"/>
    <n v="6"/>
    <n v="2"/>
    <s v="Marketing"/>
    <n v="205"/>
    <n v="2"/>
    <s v="Male"/>
    <n v="34"/>
    <n v="3"/>
    <n v="2"/>
    <s v="Sales Representative"/>
    <n v="3"/>
    <s v="Married"/>
    <n v="2306"/>
    <n v="16047"/>
    <n v="2"/>
    <s v="Yes"/>
    <n v="20"/>
    <n v="4"/>
    <n v="4"/>
    <n v="80"/>
    <n v="1"/>
    <n v="13"/>
    <n v="3"/>
    <n v="1"/>
    <n v="7"/>
    <n v="7"/>
    <n v="4"/>
    <n v="5"/>
    <n v="0"/>
    <n v="1"/>
    <s v="45-54"/>
    <s v="Low"/>
    <s v="6-10 Years"/>
  </r>
  <r>
    <n v="154"/>
    <n v="45"/>
    <x v="1"/>
    <s v="Travel_Rarely"/>
    <n v="194"/>
    <s v="Research &amp; Development"/>
    <n v="9"/>
    <n v="3"/>
    <s v="Life Sciences"/>
    <n v="206"/>
    <n v="2"/>
    <s v="Male"/>
    <n v="60"/>
    <n v="3"/>
    <n v="2"/>
    <s v="Laboratory Technician"/>
    <n v="2"/>
    <s v="Divorced"/>
    <n v="2348"/>
    <n v="10901"/>
    <n v="8"/>
    <s v="No"/>
    <n v="18"/>
    <n v="3"/>
    <n v="3"/>
    <n v="80"/>
    <n v="1"/>
    <n v="20"/>
    <n v="2"/>
    <n v="1"/>
    <n v="17"/>
    <n v="9"/>
    <n v="0"/>
    <n v="15"/>
    <n v="0"/>
    <n v="1"/>
    <s v="45-54"/>
    <s v="Low"/>
    <s v="11-20 Years"/>
  </r>
  <r>
    <n v="155"/>
    <n v="32"/>
    <x v="1"/>
    <s v="Travel_Frequently"/>
    <n v="967"/>
    <s v="Sales"/>
    <n v="8"/>
    <n v="3"/>
    <s v="Marketing"/>
    <n v="207"/>
    <n v="2"/>
    <s v="Female"/>
    <n v="43"/>
    <n v="3"/>
    <n v="3"/>
    <s v="Sales Executive"/>
    <n v="4"/>
    <s v="Single"/>
    <n v="8998"/>
    <n v="15589"/>
    <n v="1"/>
    <s v="No"/>
    <n v="14"/>
    <n v="3"/>
    <n v="4"/>
    <n v="80"/>
    <n v="0"/>
    <n v="9"/>
    <n v="2"/>
    <n v="3"/>
    <n v="9"/>
    <n v="8"/>
    <n v="3"/>
    <n v="7"/>
    <n v="0"/>
    <n v="1"/>
    <s v="25-34"/>
    <s v="Medium"/>
    <s v="6-10 Years"/>
  </r>
  <r>
    <n v="156"/>
    <n v="29"/>
    <x v="1"/>
    <s v="Non-Travel"/>
    <n v="1496"/>
    <s v="Research &amp; Development"/>
    <n v="1"/>
    <n v="1"/>
    <s v="Technical Degree"/>
    <n v="208"/>
    <n v="4"/>
    <s v="Male"/>
    <n v="41"/>
    <n v="3"/>
    <n v="2"/>
    <s v="Manufacturing Director"/>
    <n v="3"/>
    <s v="Married"/>
    <n v="4319"/>
    <n v="26283"/>
    <n v="1"/>
    <s v="No"/>
    <n v="13"/>
    <n v="3"/>
    <n v="1"/>
    <n v="80"/>
    <n v="1"/>
    <n v="10"/>
    <n v="1"/>
    <n v="3"/>
    <n v="10"/>
    <n v="7"/>
    <n v="0"/>
    <n v="9"/>
    <n v="0"/>
    <n v="1"/>
    <s v="25-34"/>
    <s v="Low"/>
    <s v="6-10 Years"/>
  </r>
  <r>
    <n v="157"/>
    <n v="51"/>
    <x v="1"/>
    <s v="Travel_Rarely"/>
    <n v="1169"/>
    <s v="Research &amp; Development"/>
    <n v="7"/>
    <n v="4"/>
    <s v="Medical"/>
    <n v="211"/>
    <n v="2"/>
    <s v="Male"/>
    <n v="34"/>
    <n v="2"/>
    <n v="2"/>
    <s v="Manufacturing Director"/>
    <n v="3"/>
    <s v="Married"/>
    <n v="6132"/>
    <n v="13983"/>
    <n v="2"/>
    <s v="No"/>
    <n v="17"/>
    <n v="3"/>
    <n v="3"/>
    <n v="80"/>
    <n v="0"/>
    <n v="10"/>
    <n v="2"/>
    <n v="3"/>
    <n v="1"/>
    <n v="0"/>
    <n v="0"/>
    <n v="0"/>
    <n v="0"/>
    <n v="1"/>
    <s v="45-54"/>
    <s v="Medium"/>
    <s v="0-5 Years"/>
  </r>
  <r>
    <n v="158"/>
    <n v="58"/>
    <x v="1"/>
    <s v="Travel_Rarely"/>
    <n v="1145"/>
    <s v="Research &amp; Development"/>
    <n v="9"/>
    <n v="3"/>
    <s v="Medical"/>
    <n v="214"/>
    <n v="2"/>
    <s v="Female"/>
    <n v="75"/>
    <n v="2"/>
    <n v="1"/>
    <s v="Research Scientist"/>
    <n v="2"/>
    <s v="Married"/>
    <n v="3346"/>
    <n v="11873"/>
    <n v="4"/>
    <s v="Yes"/>
    <n v="20"/>
    <n v="4"/>
    <n v="2"/>
    <n v="80"/>
    <n v="1"/>
    <n v="9"/>
    <n v="3"/>
    <n v="2"/>
    <n v="1"/>
    <n v="0"/>
    <n v="0"/>
    <n v="0"/>
    <n v="0"/>
    <n v="1"/>
    <s v="55+"/>
    <s v="Low"/>
    <s v="0-5 Years"/>
  </r>
  <r>
    <n v="159"/>
    <n v="40"/>
    <x v="1"/>
    <s v="Travel_Rarely"/>
    <n v="630"/>
    <s v="Sales"/>
    <n v="4"/>
    <n v="4"/>
    <s v="Marketing"/>
    <n v="215"/>
    <n v="3"/>
    <s v="Male"/>
    <n v="67"/>
    <n v="2"/>
    <n v="3"/>
    <s v="Sales Executive"/>
    <n v="4"/>
    <s v="Married"/>
    <n v="10855"/>
    <n v="8552"/>
    <n v="7"/>
    <s v="No"/>
    <n v="11"/>
    <n v="3"/>
    <n v="1"/>
    <n v="80"/>
    <n v="1"/>
    <n v="15"/>
    <n v="2"/>
    <n v="2"/>
    <n v="12"/>
    <n v="11"/>
    <n v="2"/>
    <n v="11"/>
    <n v="0"/>
    <n v="1"/>
    <s v="35-44"/>
    <s v="Upper Medium"/>
    <s v="11-20 Years"/>
  </r>
  <r>
    <n v="160"/>
    <n v="34"/>
    <x v="1"/>
    <s v="Travel_Frequently"/>
    <n v="303"/>
    <s v="Sales"/>
    <n v="2"/>
    <n v="4"/>
    <s v="Marketing"/>
    <n v="216"/>
    <n v="3"/>
    <s v="Female"/>
    <n v="75"/>
    <n v="3"/>
    <n v="1"/>
    <s v="Sales Representative"/>
    <n v="3"/>
    <s v="Married"/>
    <n v="2231"/>
    <n v="11314"/>
    <n v="6"/>
    <s v="No"/>
    <n v="18"/>
    <n v="3"/>
    <n v="4"/>
    <n v="80"/>
    <n v="1"/>
    <n v="6"/>
    <n v="3"/>
    <n v="3"/>
    <n v="4"/>
    <n v="3"/>
    <n v="1"/>
    <n v="2"/>
    <n v="0"/>
    <n v="1"/>
    <s v="25-34"/>
    <s v="Low"/>
    <s v="0-5 Years"/>
  </r>
  <r>
    <n v="161"/>
    <n v="22"/>
    <x v="1"/>
    <s v="Travel_Rarely"/>
    <n v="1256"/>
    <s v="Research &amp; Development"/>
    <n v="19"/>
    <n v="1"/>
    <s v="Medical"/>
    <n v="217"/>
    <n v="3"/>
    <s v="Male"/>
    <n v="80"/>
    <n v="3"/>
    <n v="1"/>
    <s v="Research Scientist"/>
    <n v="4"/>
    <s v="Married"/>
    <n v="2323"/>
    <n v="11992"/>
    <n v="1"/>
    <s v="No"/>
    <n v="24"/>
    <n v="4"/>
    <n v="1"/>
    <n v="80"/>
    <n v="2"/>
    <n v="2"/>
    <n v="6"/>
    <n v="3"/>
    <n v="2"/>
    <n v="2"/>
    <n v="2"/>
    <n v="2"/>
    <n v="0"/>
    <n v="1"/>
    <s v="Under 25"/>
    <s v="Low"/>
    <s v="0-5 Years"/>
  </r>
  <r>
    <n v="162"/>
    <n v="27"/>
    <x v="1"/>
    <s v="Non-Travel"/>
    <n v="691"/>
    <s v="Research &amp; Development"/>
    <n v="9"/>
    <n v="3"/>
    <s v="Medical"/>
    <n v="218"/>
    <n v="4"/>
    <s v="Male"/>
    <n v="57"/>
    <n v="3"/>
    <n v="1"/>
    <s v="Research Scientist"/>
    <n v="2"/>
    <s v="Divorced"/>
    <n v="2024"/>
    <n v="5970"/>
    <n v="6"/>
    <s v="No"/>
    <n v="18"/>
    <n v="3"/>
    <n v="4"/>
    <n v="80"/>
    <n v="1"/>
    <n v="6"/>
    <n v="1"/>
    <n v="1"/>
    <n v="2"/>
    <n v="2"/>
    <n v="2"/>
    <n v="2"/>
    <n v="0"/>
    <n v="1"/>
    <s v="25-34"/>
    <s v="Low"/>
    <s v="0-5 Years"/>
  </r>
  <r>
    <n v="163"/>
    <n v="28"/>
    <x v="1"/>
    <s v="Travel_Rarely"/>
    <n v="440"/>
    <s v="Research &amp; Development"/>
    <n v="21"/>
    <n v="3"/>
    <s v="Medical"/>
    <n v="221"/>
    <n v="3"/>
    <s v="Male"/>
    <n v="42"/>
    <n v="3"/>
    <n v="1"/>
    <s v="Research Scientist"/>
    <n v="4"/>
    <s v="Married"/>
    <n v="2713"/>
    <n v="6672"/>
    <n v="1"/>
    <s v="No"/>
    <n v="11"/>
    <n v="3"/>
    <n v="3"/>
    <n v="80"/>
    <n v="1"/>
    <n v="5"/>
    <n v="2"/>
    <n v="1"/>
    <n v="5"/>
    <n v="2"/>
    <n v="0"/>
    <n v="2"/>
    <n v="0"/>
    <n v="1"/>
    <s v="25-34"/>
    <s v="Low"/>
    <s v="0-5 Years"/>
  </r>
  <r>
    <n v="164"/>
    <n v="57"/>
    <x v="1"/>
    <s v="Travel_Rarely"/>
    <n v="334"/>
    <s v="Research &amp; Development"/>
    <n v="24"/>
    <n v="2"/>
    <s v="Life Sciences"/>
    <n v="223"/>
    <n v="3"/>
    <s v="Male"/>
    <n v="83"/>
    <n v="4"/>
    <n v="3"/>
    <s v="Healthcare Representative"/>
    <n v="4"/>
    <s v="Divorced"/>
    <n v="9439"/>
    <n v="23402"/>
    <n v="3"/>
    <s v="Yes"/>
    <n v="16"/>
    <n v="3"/>
    <n v="2"/>
    <n v="80"/>
    <n v="1"/>
    <n v="12"/>
    <n v="2"/>
    <n v="1"/>
    <n v="5"/>
    <n v="3"/>
    <n v="1"/>
    <n v="4"/>
    <n v="0"/>
    <n v="1"/>
    <s v="55+"/>
    <s v="Medium"/>
    <s v="0-5 Years"/>
  </r>
  <r>
    <n v="165"/>
    <n v="27"/>
    <x v="1"/>
    <s v="Non-Travel"/>
    <n v="1450"/>
    <s v="Research &amp; Development"/>
    <n v="3"/>
    <n v="3"/>
    <s v="Medical"/>
    <n v="224"/>
    <n v="3"/>
    <s v="Male"/>
    <n v="79"/>
    <n v="2"/>
    <n v="1"/>
    <s v="Research Scientist"/>
    <n v="3"/>
    <s v="Divorced"/>
    <n v="2566"/>
    <n v="25326"/>
    <n v="1"/>
    <s v="Yes"/>
    <n v="15"/>
    <n v="3"/>
    <n v="4"/>
    <n v="80"/>
    <n v="1"/>
    <n v="1"/>
    <n v="2"/>
    <n v="2"/>
    <n v="1"/>
    <n v="1"/>
    <n v="0"/>
    <n v="1"/>
    <n v="0"/>
    <n v="1"/>
    <s v="25-34"/>
    <s v="Low"/>
    <s v="0-5 Years"/>
  </r>
  <r>
    <n v="166"/>
    <n v="50"/>
    <x v="1"/>
    <s v="Travel_Rarely"/>
    <n v="1452"/>
    <s v="Research &amp; Development"/>
    <n v="11"/>
    <n v="3"/>
    <s v="Life Sciences"/>
    <n v="226"/>
    <n v="3"/>
    <s v="Female"/>
    <n v="53"/>
    <n v="3"/>
    <n v="5"/>
    <s v="Manager"/>
    <n v="2"/>
    <s v="Single"/>
    <n v="19926"/>
    <n v="17053"/>
    <n v="3"/>
    <s v="No"/>
    <n v="15"/>
    <n v="3"/>
    <n v="2"/>
    <n v="80"/>
    <n v="0"/>
    <n v="21"/>
    <n v="5"/>
    <n v="3"/>
    <n v="5"/>
    <n v="4"/>
    <n v="4"/>
    <n v="4"/>
    <n v="0"/>
    <n v="1"/>
    <s v="45-54"/>
    <s v="High"/>
    <s v="0-5 Years"/>
  </r>
  <r>
    <n v="167"/>
    <n v="41"/>
    <x v="1"/>
    <s v="Travel_Rarely"/>
    <n v="465"/>
    <s v="Research &amp; Development"/>
    <n v="14"/>
    <n v="3"/>
    <s v="Life Sciences"/>
    <n v="227"/>
    <n v="1"/>
    <s v="Male"/>
    <n v="56"/>
    <n v="3"/>
    <n v="1"/>
    <s v="Research Scientist"/>
    <n v="3"/>
    <s v="Divorced"/>
    <n v="2451"/>
    <n v="4609"/>
    <n v="4"/>
    <s v="No"/>
    <n v="12"/>
    <n v="3"/>
    <n v="1"/>
    <n v="80"/>
    <n v="1"/>
    <n v="13"/>
    <n v="2"/>
    <n v="3"/>
    <n v="9"/>
    <n v="8"/>
    <n v="1"/>
    <n v="8"/>
    <n v="0"/>
    <n v="1"/>
    <s v="35-44"/>
    <s v="Low"/>
    <s v="6-10 Years"/>
  </r>
  <r>
    <n v="168"/>
    <n v="30"/>
    <x v="1"/>
    <s v="Travel_Rarely"/>
    <n v="1339"/>
    <s v="Sales"/>
    <n v="5"/>
    <n v="3"/>
    <s v="Life Sciences"/>
    <n v="228"/>
    <n v="2"/>
    <s v="Female"/>
    <n v="41"/>
    <n v="3"/>
    <n v="3"/>
    <s v="Sales Executive"/>
    <n v="4"/>
    <s v="Married"/>
    <n v="9419"/>
    <n v="8053"/>
    <n v="2"/>
    <s v="No"/>
    <n v="12"/>
    <n v="3"/>
    <n v="3"/>
    <n v="80"/>
    <n v="1"/>
    <n v="12"/>
    <n v="2"/>
    <n v="3"/>
    <n v="10"/>
    <n v="9"/>
    <n v="7"/>
    <n v="4"/>
    <n v="0"/>
    <n v="1"/>
    <s v="25-34"/>
    <s v="Medium"/>
    <s v="6-10 Years"/>
  </r>
  <r>
    <n v="169"/>
    <n v="38"/>
    <x v="1"/>
    <s v="Travel_Rarely"/>
    <n v="702"/>
    <s v="Sales"/>
    <n v="1"/>
    <n v="4"/>
    <s v="Life Sciences"/>
    <n v="230"/>
    <n v="1"/>
    <s v="Female"/>
    <n v="59"/>
    <n v="2"/>
    <n v="2"/>
    <s v="Sales Executive"/>
    <n v="4"/>
    <s v="Single"/>
    <n v="8686"/>
    <n v="12930"/>
    <n v="4"/>
    <s v="No"/>
    <n v="22"/>
    <n v="4"/>
    <n v="3"/>
    <n v="80"/>
    <n v="0"/>
    <n v="12"/>
    <n v="2"/>
    <n v="4"/>
    <n v="8"/>
    <n v="3"/>
    <n v="0"/>
    <n v="7"/>
    <n v="0"/>
    <n v="1"/>
    <s v="35-44"/>
    <s v="Medium"/>
    <s v="6-10 Years"/>
  </r>
  <r>
    <n v="170"/>
    <n v="32"/>
    <x v="1"/>
    <s v="Travel_Rarely"/>
    <n v="120"/>
    <s v="Research &amp; Development"/>
    <n v="6"/>
    <n v="5"/>
    <s v="Life Sciences"/>
    <n v="231"/>
    <n v="3"/>
    <s v="Male"/>
    <n v="43"/>
    <n v="3"/>
    <n v="1"/>
    <s v="Research Scientist"/>
    <n v="3"/>
    <s v="Single"/>
    <n v="3038"/>
    <n v="12430"/>
    <n v="3"/>
    <s v="No"/>
    <n v="20"/>
    <n v="4"/>
    <n v="1"/>
    <n v="80"/>
    <n v="0"/>
    <n v="8"/>
    <n v="2"/>
    <n v="3"/>
    <n v="5"/>
    <n v="4"/>
    <n v="1"/>
    <n v="4"/>
    <n v="0"/>
    <n v="1"/>
    <s v="25-34"/>
    <s v="Low"/>
    <s v="0-5 Years"/>
  </r>
  <r>
    <n v="171"/>
    <n v="27"/>
    <x v="1"/>
    <s v="Travel_Rarely"/>
    <n v="1157"/>
    <s v="Research &amp; Development"/>
    <n v="17"/>
    <n v="3"/>
    <s v="Technical Degree"/>
    <n v="233"/>
    <n v="3"/>
    <s v="Male"/>
    <n v="51"/>
    <n v="3"/>
    <n v="1"/>
    <s v="Research Scientist"/>
    <n v="2"/>
    <s v="Married"/>
    <n v="3058"/>
    <n v="13364"/>
    <n v="0"/>
    <s v="Yes"/>
    <n v="16"/>
    <n v="3"/>
    <n v="4"/>
    <n v="80"/>
    <n v="1"/>
    <n v="6"/>
    <n v="3"/>
    <n v="2"/>
    <n v="5"/>
    <n v="2"/>
    <n v="1"/>
    <n v="1"/>
    <n v="0"/>
    <n v="1"/>
    <s v="25-34"/>
    <s v="Low"/>
    <s v="0-5 Years"/>
  </r>
  <r>
    <n v="172"/>
    <n v="19"/>
    <x v="0"/>
    <s v="Travel_Frequently"/>
    <n v="602"/>
    <s v="Sales"/>
    <n v="1"/>
    <n v="1"/>
    <s v="Technical Degree"/>
    <n v="235"/>
    <n v="3"/>
    <s v="Female"/>
    <n v="100"/>
    <n v="1"/>
    <n v="1"/>
    <s v="Sales Representative"/>
    <n v="1"/>
    <s v="Single"/>
    <n v="2325"/>
    <n v="20989"/>
    <n v="0"/>
    <s v="No"/>
    <n v="21"/>
    <n v="4"/>
    <n v="1"/>
    <n v="80"/>
    <n v="0"/>
    <n v="1"/>
    <n v="5"/>
    <n v="4"/>
    <n v="0"/>
    <n v="0"/>
    <n v="0"/>
    <n v="0"/>
    <n v="1"/>
    <n v="0"/>
    <s v="Under 25"/>
    <s v="Low"/>
    <s v="0-5 Years"/>
  </r>
  <r>
    <n v="173"/>
    <n v="36"/>
    <x v="1"/>
    <s v="Travel_Frequently"/>
    <n v="1480"/>
    <s v="Research &amp; Development"/>
    <n v="3"/>
    <n v="2"/>
    <s v="Medical"/>
    <n v="238"/>
    <n v="4"/>
    <s v="Male"/>
    <n v="30"/>
    <n v="3"/>
    <n v="1"/>
    <s v="Laboratory Technician"/>
    <n v="2"/>
    <s v="Single"/>
    <n v="2088"/>
    <n v="15062"/>
    <n v="4"/>
    <s v="No"/>
    <n v="12"/>
    <n v="3"/>
    <n v="3"/>
    <n v="80"/>
    <n v="0"/>
    <n v="13"/>
    <n v="3"/>
    <n v="2"/>
    <n v="8"/>
    <n v="7"/>
    <n v="7"/>
    <n v="2"/>
    <n v="0"/>
    <n v="1"/>
    <s v="35-44"/>
    <s v="Low"/>
    <s v="6-10 Years"/>
  </r>
  <r>
    <n v="174"/>
    <n v="30"/>
    <x v="1"/>
    <s v="Non-Travel"/>
    <n v="111"/>
    <s v="Research &amp; Development"/>
    <n v="9"/>
    <n v="3"/>
    <s v="Medical"/>
    <n v="239"/>
    <n v="3"/>
    <s v="Male"/>
    <n v="66"/>
    <n v="3"/>
    <n v="2"/>
    <s v="Laboratory Technician"/>
    <n v="1"/>
    <s v="Divorced"/>
    <n v="3072"/>
    <n v="11012"/>
    <n v="1"/>
    <s v="No"/>
    <n v="11"/>
    <n v="3"/>
    <n v="3"/>
    <n v="80"/>
    <n v="2"/>
    <n v="12"/>
    <n v="4"/>
    <n v="3"/>
    <n v="12"/>
    <n v="9"/>
    <n v="6"/>
    <n v="10"/>
    <n v="0"/>
    <n v="1"/>
    <s v="25-34"/>
    <s v="Low"/>
    <s v="11-20 Years"/>
  </r>
  <r>
    <n v="175"/>
    <n v="45"/>
    <x v="1"/>
    <s v="Travel_Rarely"/>
    <n v="1268"/>
    <s v="Sales"/>
    <n v="4"/>
    <n v="2"/>
    <s v="Life Sciences"/>
    <n v="240"/>
    <n v="3"/>
    <s v="Female"/>
    <n v="30"/>
    <n v="3"/>
    <n v="2"/>
    <s v="Sales Executive"/>
    <n v="1"/>
    <s v="Divorced"/>
    <n v="5006"/>
    <n v="6319"/>
    <n v="4"/>
    <s v="Yes"/>
    <n v="11"/>
    <n v="3"/>
    <n v="1"/>
    <n v="80"/>
    <n v="1"/>
    <n v="9"/>
    <n v="3"/>
    <n v="4"/>
    <n v="5"/>
    <n v="4"/>
    <n v="0"/>
    <n v="3"/>
    <n v="0"/>
    <n v="1"/>
    <s v="45-54"/>
    <s v="Medium"/>
    <s v="0-5 Years"/>
  </r>
  <r>
    <n v="176"/>
    <n v="56"/>
    <x v="1"/>
    <s v="Travel_Rarely"/>
    <n v="713"/>
    <s v="Research &amp; Development"/>
    <n v="8"/>
    <n v="3"/>
    <s v="Life Sciences"/>
    <n v="241"/>
    <n v="3"/>
    <s v="Female"/>
    <n v="67"/>
    <n v="3"/>
    <n v="1"/>
    <s v="Research Scientist"/>
    <n v="1"/>
    <s v="Divorced"/>
    <n v="4257"/>
    <n v="13939"/>
    <n v="4"/>
    <s v="Yes"/>
    <n v="18"/>
    <n v="3"/>
    <n v="3"/>
    <n v="80"/>
    <n v="1"/>
    <n v="19"/>
    <n v="3"/>
    <n v="3"/>
    <n v="2"/>
    <n v="2"/>
    <n v="2"/>
    <n v="2"/>
    <n v="0"/>
    <n v="1"/>
    <s v="55+"/>
    <s v="Low"/>
    <s v="0-5 Years"/>
  </r>
  <r>
    <n v="177"/>
    <n v="33"/>
    <x v="1"/>
    <s v="Travel_Rarely"/>
    <n v="134"/>
    <s v="Research &amp; Development"/>
    <n v="2"/>
    <n v="3"/>
    <s v="Life Sciences"/>
    <n v="242"/>
    <n v="3"/>
    <s v="Male"/>
    <n v="90"/>
    <n v="3"/>
    <n v="1"/>
    <s v="Research Scientist"/>
    <n v="4"/>
    <s v="Single"/>
    <n v="2500"/>
    <n v="10515"/>
    <n v="0"/>
    <s v="No"/>
    <n v="14"/>
    <n v="3"/>
    <n v="1"/>
    <n v="80"/>
    <n v="0"/>
    <n v="4"/>
    <n v="2"/>
    <n v="4"/>
    <n v="3"/>
    <n v="1"/>
    <n v="0"/>
    <n v="2"/>
    <n v="0"/>
    <n v="1"/>
    <s v="25-34"/>
    <s v="Low"/>
    <s v="0-5 Years"/>
  </r>
  <r>
    <n v="178"/>
    <n v="19"/>
    <x v="0"/>
    <s v="Travel_Rarely"/>
    <n v="303"/>
    <s v="Research &amp; Development"/>
    <n v="2"/>
    <n v="3"/>
    <s v="Life Sciences"/>
    <n v="243"/>
    <n v="2"/>
    <s v="Male"/>
    <n v="47"/>
    <n v="2"/>
    <n v="1"/>
    <s v="Laboratory Technician"/>
    <n v="4"/>
    <s v="Single"/>
    <n v="1102"/>
    <n v="9241"/>
    <n v="1"/>
    <s v="No"/>
    <n v="22"/>
    <n v="4"/>
    <n v="3"/>
    <n v="80"/>
    <n v="0"/>
    <n v="1"/>
    <n v="3"/>
    <n v="2"/>
    <n v="1"/>
    <n v="0"/>
    <n v="1"/>
    <n v="0"/>
    <n v="1"/>
    <n v="0"/>
    <s v="Under 25"/>
    <s v="Low"/>
    <s v="0-5 Years"/>
  </r>
  <r>
    <n v="179"/>
    <n v="46"/>
    <x v="1"/>
    <s v="Travel_Rarely"/>
    <n v="526"/>
    <s v="Sales"/>
    <n v="1"/>
    <n v="2"/>
    <s v="Marketing"/>
    <n v="244"/>
    <n v="2"/>
    <s v="Female"/>
    <n v="92"/>
    <n v="3"/>
    <n v="3"/>
    <s v="Sales Executive"/>
    <n v="1"/>
    <s v="Divorced"/>
    <n v="10453"/>
    <n v="2137"/>
    <n v="1"/>
    <s v="No"/>
    <n v="25"/>
    <n v="4"/>
    <n v="3"/>
    <n v="80"/>
    <n v="3"/>
    <n v="24"/>
    <n v="2"/>
    <n v="3"/>
    <n v="24"/>
    <n v="13"/>
    <n v="15"/>
    <n v="7"/>
    <n v="0"/>
    <n v="1"/>
    <s v="45-54"/>
    <s v="Upper Medium"/>
    <s v="21+ Years"/>
  </r>
  <r>
    <n v="180"/>
    <n v="38"/>
    <x v="1"/>
    <s v="Travel_Rarely"/>
    <n v="1380"/>
    <s v="Research &amp; Development"/>
    <n v="9"/>
    <n v="2"/>
    <s v="Life Sciences"/>
    <n v="245"/>
    <n v="3"/>
    <s v="Female"/>
    <n v="75"/>
    <n v="3"/>
    <n v="1"/>
    <s v="Laboratory Technician"/>
    <n v="4"/>
    <s v="Single"/>
    <n v="2288"/>
    <n v="6319"/>
    <n v="1"/>
    <s v="No"/>
    <n v="12"/>
    <n v="3"/>
    <n v="3"/>
    <n v="80"/>
    <n v="0"/>
    <n v="2"/>
    <n v="3"/>
    <n v="3"/>
    <n v="2"/>
    <n v="2"/>
    <n v="2"/>
    <n v="1"/>
    <n v="0"/>
    <n v="1"/>
    <s v="35-44"/>
    <s v="Low"/>
    <s v="0-5 Years"/>
  </r>
  <r>
    <n v="181"/>
    <n v="31"/>
    <x v="1"/>
    <s v="Travel_Rarely"/>
    <n v="140"/>
    <s v="Research &amp; Development"/>
    <n v="12"/>
    <n v="1"/>
    <s v="Medical"/>
    <n v="246"/>
    <n v="3"/>
    <s v="Female"/>
    <n v="95"/>
    <n v="3"/>
    <n v="1"/>
    <s v="Research Scientist"/>
    <n v="4"/>
    <s v="Married"/>
    <n v="3929"/>
    <n v="6984"/>
    <n v="8"/>
    <s v="Yes"/>
    <n v="23"/>
    <n v="4"/>
    <n v="3"/>
    <n v="80"/>
    <n v="1"/>
    <n v="7"/>
    <n v="0"/>
    <n v="3"/>
    <n v="4"/>
    <n v="2"/>
    <n v="0"/>
    <n v="2"/>
    <n v="0"/>
    <n v="1"/>
    <s v="25-34"/>
    <s v="Low"/>
    <s v="0-5 Years"/>
  </r>
  <r>
    <n v="182"/>
    <n v="34"/>
    <x v="1"/>
    <s v="Travel_Rarely"/>
    <n v="629"/>
    <s v="Research &amp; Development"/>
    <n v="27"/>
    <n v="2"/>
    <s v="Medical"/>
    <n v="247"/>
    <n v="4"/>
    <s v="Female"/>
    <n v="95"/>
    <n v="3"/>
    <n v="1"/>
    <s v="Research Scientist"/>
    <n v="2"/>
    <s v="Single"/>
    <n v="2311"/>
    <n v="5711"/>
    <n v="2"/>
    <s v="No"/>
    <n v="15"/>
    <n v="3"/>
    <n v="4"/>
    <n v="80"/>
    <n v="0"/>
    <n v="9"/>
    <n v="3"/>
    <n v="3"/>
    <n v="3"/>
    <n v="2"/>
    <n v="1"/>
    <n v="2"/>
    <n v="0"/>
    <n v="1"/>
    <s v="25-34"/>
    <s v="Low"/>
    <s v="0-5 Years"/>
  </r>
  <r>
    <n v="183"/>
    <n v="41"/>
    <x v="0"/>
    <s v="Travel_Rarely"/>
    <n v="1356"/>
    <s v="Sales"/>
    <n v="20"/>
    <n v="2"/>
    <s v="Marketing"/>
    <n v="248"/>
    <n v="2"/>
    <s v="Female"/>
    <n v="70"/>
    <n v="3"/>
    <n v="1"/>
    <s v="Sales Representative"/>
    <n v="2"/>
    <s v="Single"/>
    <n v="3140"/>
    <n v="21728"/>
    <n v="1"/>
    <s v="Yes"/>
    <n v="22"/>
    <n v="4"/>
    <n v="4"/>
    <n v="80"/>
    <n v="0"/>
    <n v="4"/>
    <n v="5"/>
    <n v="2"/>
    <n v="4"/>
    <n v="3"/>
    <n v="0"/>
    <n v="2"/>
    <n v="1"/>
    <n v="0"/>
    <s v="35-44"/>
    <s v="Low"/>
    <s v="0-5 Years"/>
  </r>
  <r>
    <n v="184"/>
    <n v="50"/>
    <x v="1"/>
    <s v="Travel_Rarely"/>
    <n v="328"/>
    <s v="Research &amp; Development"/>
    <n v="1"/>
    <n v="3"/>
    <s v="Medical"/>
    <n v="249"/>
    <n v="3"/>
    <s v="Male"/>
    <n v="86"/>
    <n v="2"/>
    <n v="1"/>
    <s v="Laboratory Technician"/>
    <n v="3"/>
    <s v="Married"/>
    <n v="3690"/>
    <n v="3425"/>
    <n v="2"/>
    <s v="No"/>
    <n v="15"/>
    <n v="3"/>
    <n v="4"/>
    <n v="80"/>
    <n v="1"/>
    <n v="5"/>
    <n v="2"/>
    <n v="2"/>
    <n v="3"/>
    <n v="2"/>
    <n v="0"/>
    <n v="2"/>
    <n v="0"/>
    <n v="1"/>
    <s v="45-54"/>
    <s v="Low"/>
    <s v="0-5 Years"/>
  </r>
  <r>
    <n v="185"/>
    <n v="53"/>
    <x v="1"/>
    <s v="Travel_Rarely"/>
    <n v="1084"/>
    <s v="Research &amp; Development"/>
    <n v="13"/>
    <n v="2"/>
    <s v="Medical"/>
    <n v="250"/>
    <n v="4"/>
    <s v="Female"/>
    <n v="57"/>
    <n v="4"/>
    <n v="2"/>
    <s v="Manufacturing Director"/>
    <n v="1"/>
    <s v="Divorced"/>
    <n v="4450"/>
    <n v="26250"/>
    <n v="1"/>
    <s v="No"/>
    <n v="11"/>
    <n v="3"/>
    <n v="3"/>
    <n v="80"/>
    <n v="2"/>
    <n v="5"/>
    <n v="3"/>
    <n v="3"/>
    <n v="4"/>
    <n v="2"/>
    <n v="1"/>
    <n v="3"/>
    <n v="0"/>
    <n v="1"/>
    <s v="45-54"/>
    <s v="Low"/>
    <s v="0-5 Years"/>
  </r>
  <r>
    <n v="186"/>
    <n v="33"/>
    <x v="1"/>
    <s v="Travel_Rarely"/>
    <n v="931"/>
    <s v="Research &amp; Development"/>
    <n v="14"/>
    <n v="3"/>
    <s v="Medical"/>
    <n v="252"/>
    <n v="4"/>
    <s v="Female"/>
    <n v="72"/>
    <n v="3"/>
    <n v="1"/>
    <s v="Research Scientist"/>
    <n v="2"/>
    <s v="Married"/>
    <n v="2756"/>
    <n v="4673"/>
    <n v="1"/>
    <s v="No"/>
    <n v="13"/>
    <n v="3"/>
    <n v="4"/>
    <n v="80"/>
    <n v="1"/>
    <n v="8"/>
    <n v="5"/>
    <n v="3"/>
    <n v="8"/>
    <n v="7"/>
    <n v="1"/>
    <n v="6"/>
    <n v="0"/>
    <n v="1"/>
    <s v="25-34"/>
    <s v="Low"/>
    <s v="6-10 Years"/>
  </r>
  <r>
    <n v="187"/>
    <n v="40"/>
    <x v="1"/>
    <s v="Travel_Rarely"/>
    <n v="989"/>
    <s v="Research &amp; Development"/>
    <n v="4"/>
    <n v="1"/>
    <s v="Medical"/>
    <n v="253"/>
    <n v="4"/>
    <s v="Female"/>
    <n v="46"/>
    <n v="3"/>
    <n v="5"/>
    <s v="Manager"/>
    <n v="3"/>
    <s v="Married"/>
    <n v="19033"/>
    <n v="6499"/>
    <n v="1"/>
    <s v="No"/>
    <n v="14"/>
    <n v="3"/>
    <n v="2"/>
    <n v="80"/>
    <n v="1"/>
    <n v="21"/>
    <n v="2"/>
    <n v="3"/>
    <n v="20"/>
    <n v="8"/>
    <n v="9"/>
    <n v="9"/>
    <n v="0"/>
    <n v="1"/>
    <s v="35-44"/>
    <s v="High"/>
    <s v="11-20 Years"/>
  </r>
  <r>
    <n v="188"/>
    <n v="55"/>
    <x v="1"/>
    <s v="Travel_Rarely"/>
    <n v="692"/>
    <s v="Research &amp; Development"/>
    <n v="14"/>
    <n v="4"/>
    <s v="Medical"/>
    <n v="254"/>
    <n v="3"/>
    <s v="Male"/>
    <n v="61"/>
    <n v="4"/>
    <n v="5"/>
    <s v="Research Director"/>
    <n v="2"/>
    <s v="Single"/>
    <n v="18722"/>
    <n v="13339"/>
    <n v="8"/>
    <s v="No"/>
    <n v="11"/>
    <n v="3"/>
    <n v="4"/>
    <n v="80"/>
    <n v="0"/>
    <n v="36"/>
    <n v="3"/>
    <n v="3"/>
    <n v="24"/>
    <n v="15"/>
    <n v="2"/>
    <n v="15"/>
    <n v="0"/>
    <n v="1"/>
    <s v="55+"/>
    <s v="High"/>
    <s v="21+ Years"/>
  </r>
  <r>
    <n v="189"/>
    <n v="34"/>
    <x v="1"/>
    <s v="Travel_Frequently"/>
    <n v="1069"/>
    <s v="Research &amp; Development"/>
    <n v="2"/>
    <n v="1"/>
    <s v="Life Sciences"/>
    <n v="256"/>
    <n v="4"/>
    <s v="Male"/>
    <n v="45"/>
    <n v="2"/>
    <n v="2"/>
    <s v="Manufacturing Director"/>
    <n v="3"/>
    <s v="Married"/>
    <n v="9547"/>
    <n v="14074"/>
    <n v="1"/>
    <s v="No"/>
    <n v="17"/>
    <n v="3"/>
    <n v="3"/>
    <n v="80"/>
    <n v="0"/>
    <n v="10"/>
    <n v="2"/>
    <n v="2"/>
    <n v="10"/>
    <n v="9"/>
    <n v="1"/>
    <n v="9"/>
    <n v="0"/>
    <n v="1"/>
    <s v="25-34"/>
    <s v="Medium"/>
    <s v="6-10 Years"/>
  </r>
  <r>
    <n v="190"/>
    <n v="51"/>
    <x v="1"/>
    <s v="Travel_Rarely"/>
    <n v="313"/>
    <s v="Research &amp; Development"/>
    <n v="3"/>
    <n v="3"/>
    <s v="Medical"/>
    <n v="258"/>
    <n v="4"/>
    <s v="Female"/>
    <n v="98"/>
    <n v="3"/>
    <n v="4"/>
    <s v="Healthcare Representative"/>
    <n v="2"/>
    <s v="Single"/>
    <n v="13734"/>
    <n v="7192"/>
    <n v="3"/>
    <s v="No"/>
    <n v="18"/>
    <n v="3"/>
    <n v="3"/>
    <n v="80"/>
    <n v="0"/>
    <n v="21"/>
    <n v="6"/>
    <n v="3"/>
    <n v="7"/>
    <n v="7"/>
    <n v="1"/>
    <n v="0"/>
    <n v="0"/>
    <n v="1"/>
    <s v="45-54"/>
    <s v="Upper Medium"/>
    <s v="6-10 Years"/>
  </r>
  <r>
    <n v="191"/>
    <n v="52"/>
    <x v="1"/>
    <s v="Travel_Rarely"/>
    <n v="699"/>
    <s v="Research &amp; Development"/>
    <n v="1"/>
    <n v="4"/>
    <s v="Life Sciences"/>
    <n v="259"/>
    <n v="3"/>
    <s v="Male"/>
    <n v="65"/>
    <n v="2"/>
    <n v="5"/>
    <s v="Manager"/>
    <n v="3"/>
    <s v="Married"/>
    <n v="19999"/>
    <n v="5678"/>
    <n v="0"/>
    <s v="No"/>
    <n v="14"/>
    <n v="3"/>
    <n v="1"/>
    <n v="80"/>
    <n v="1"/>
    <n v="34"/>
    <n v="5"/>
    <n v="3"/>
    <n v="33"/>
    <n v="18"/>
    <n v="11"/>
    <n v="9"/>
    <n v="0"/>
    <n v="1"/>
    <s v="45-54"/>
    <s v="High"/>
    <s v="21+ Years"/>
  </r>
  <r>
    <n v="192"/>
    <n v="27"/>
    <x v="1"/>
    <s v="Travel_Rarely"/>
    <n v="894"/>
    <s v="Research &amp; Development"/>
    <n v="9"/>
    <n v="3"/>
    <s v="Medical"/>
    <n v="260"/>
    <n v="4"/>
    <s v="Female"/>
    <n v="99"/>
    <n v="3"/>
    <n v="1"/>
    <s v="Research Scientist"/>
    <n v="2"/>
    <s v="Single"/>
    <n v="2279"/>
    <n v="11781"/>
    <n v="1"/>
    <s v="No"/>
    <n v="16"/>
    <n v="3"/>
    <n v="4"/>
    <n v="80"/>
    <n v="0"/>
    <n v="7"/>
    <n v="2"/>
    <n v="2"/>
    <n v="7"/>
    <n v="7"/>
    <n v="0"/>
    <n v="3"/>
    <n v="0"/>
    <n v="1"/>
    <s v="25-34"/>
    <s v="Low"/>
    <s v="6-10 Years"/>
  </r>
  <r>
    <n v="193"/>
    <n v="35"/>
    <x v="0"/>
    <s v="Travel_Rarely"/>
    <n v="556"/>
    <s v="Research &amp; Development"/>
    <n v="23"/>
    <n v="2"/>
    <s v="Life Sciences"/>
    <n v="261"/>
    <n v="2"/>
    <s v="Male"/>
    <n v="50"/>
    <n v="2"/>
    <n v="2"/>
    <s v="Manufacturing Director"/>
    <n v="3"/>
    <s v="Married"/>
    <n v="5916"/>
    <n v="15497"/>
    <n v="3"/>
    <s v="Yes"/>
    <n v="13"/>
    <n v="3"/>
    <n v="1"/>
    <n v="80"/>
    <n v="0"/>
    <n v="8"/>
    <n v="1"/>
    <n v="3"/>
    <n v="1"/>
    <n v="0"/>
    <n v="0"/>
    <n v="1"/>
    <n v="1"/>
    <n v="0"/>
    <s v="35-44"/>
    <s v="Medium"/>
    <s v="0-5 Years"/>
  </r>
  <r>
    <n v="194"/>
    <n v="43"/>
    <x v="1"/>
    <s v="Non-Travel"/>
    <n v="1344"/>
    <s v="Research &amp; Development"/>
    <n v="7"/>
    <n v="3"/>
    <s v="Medical"/>
    <n v="262"/>
    <n v="4"/>
    <s v="Male"/>
    <n v="37"/>
    <n v="4"/>
    <n v="1"/>
    <s v="Research Scientist"/>
    <n v="4"/>
    <s v="Divorced"/>
    <n v="2089"/>
    <n v="5228"/>
    <n v="4"/>
    <s v="No"/>
    <n v="14"/>
    <n v="3"/>
    <n v="4"/>
    <n v="80"/>
    <n v="3"/>
    <n v="7"/>
    <n v="3"/>
    <n v="4"/>
    <n v="5"/>
    <n v="4"/>
    <n v="2"/>
    <n v="2"/>
    <n v="0"/>
    <n v="1"/>
    <s v="35-44"/>
    <s v="Low"/>
    <s v="0-5 Years"/>
  </r>
  <r>
    <n v="195"/>
    <n v="45"/>
    <x v="1"/>
    <s v="Non-Travel"/>
    <n v="1195"/>
    <s v="Research &amp; Development"/>
    <n v="2"/>
    <n v="2"/>
    <s v="Medical"/>
    <n v="264"/>
    <n v="1"/>
    <s v="Male"/>
    <n v="65"/>
    <n v="2"/>
    <n v="4"/>
    <s v="Manager"/>
    <n v="4"/>
    <s v="Married"/>
    <n v="16792"/>
    <n v="20462"/>
    <n v="9"/>
    <s v="No"/>
    <n v="23"/>
    <n v="4"/>
    <n v="4"/>
    <n v="80"/>
    <n v="1"/>
    <n v="22"/>
    <n v="1"/>
    <n v="3"/>
    <n v="20"/>
    <n v="8"/>
    <n v="11"/>
    <n v="8"/>
    <n v="0"/>
    <n v="1"/>
    <s v="45-54"/>
    <s v="High"/>
    <s v="11-20 Years"/>
  </r>
  <r>
    <n v="196"/>
    <n v="37"/>
    <x v="1"/>
    <s v="Travel_Rarely"/>
    <n v="290"/>
    <s v="Research &amp; Development"/>
    <n v="21"/>
    <n v="3"/>
    <s v="Life Sciences"/>
    <n v="267"/>
    <n v="2"/>
    <s v="Male"/>
    <n v="65"/>
    <n v="4"/>
    <n v="1"/>
    <s v="Research Scientist"/>
    <n v="1"/>
    <s v="Married"/>
    <n v="3564"/>
    <n v="22977"/>
    <n v="1"/>
    <s v="Yes"/>
    <n v="12"/>
    <n v="3"/>
    <n v="1"/>
    <n v="80"/>
    <n v="1"/>
    <n v="8"/>
    <n v="3"/>
    <n v="2"/>
    <n v="8"/>
    <n v="7"/>
    <n v="1"/>
    <n v="7"/>
    <n v="0"/>
    <n v="1"/>
    <s v="35-44"/>
    <s v="Low"/>
    <s v="6-10 Years"/>
  </r>
  <r>
    <n v="197"/>
    <n v="35"/>
    <x v="1"/>
    <s v="Travel_Frequently"/>
    <n v="138"/>
    <s v="Research &amp; Development"/>
    <n v="2"/>
    <n v="3"/>
    <s v="Medical"/>
    <n v="269"/>
    <n v="2"/>
    <s v="Female"/>
    <n v="37"/>
    <n v="3"/>
    <n v="2"/>
    <s v="Laboratory Technician"/>
    <n v="2"/>
    <s v="Single"/>
    <n v="4425"/>
    <n v="15986"/>
    <n v="5"/>
    <s v="No"/>
    <n v="11"/>
    <n v="3"/>
    <n v="4"/>
    <n v="80"/>
    <n v="0"/>
    <n v="10"/>
    <n v="5"/>
    <n v="3"/>
    <n v="6"/>
    <n v="2"/>
    <n v="1"/>
    <n v="2"/>
    <n v="0"/>
    <n v="1"/>
    <s v="35-44"/>
    <s v="Low"/>
    <s v="6-10 Years"/>
  </r>
  <r>
    <n v="198"/>
    <n v="42"/>
    <x v="1"/>
    <s v="Non-Travel"/>
    <n v="926"/>
    <s v="Research &amp; Development"/>
    <n v="21"/>
    <n v="2"/>
    <s v="Medical"/>
    <n v="270"/>
    <n v="3"/>
    <s v="Female"/>
    <n v="36"/>
    <n v="3"/>
    <n v="2"/>
    <s v="Manufacturing Director"/>
    <n v="3"/>
    <s v="Divorced"/>
    <n v="5265"/>
    <n v="16439"/>
    <n v="2"/>
    <s v="No"/>
    <n v="16"/>
    <n v="3"/>
    <n v="2"/>
    <n v="80"/>
    <n v="1"/>
    <n v="11"/>
    <n v="5"/>
    <n v="3"/>
    <n v="5"/>
    <n v="3"/>
    <n v="0"/>
    <n v="2"/>
    <n v="0"/>
    <n v="1"/>
    <s v="35-44"/>
    <s v="Medium"/>
    <s v="0-5 Years"/>
  </r>
  <r>
    <n v="199"/>
    <n v="38"/>
    <x v="1"/>
    <s v="Travel_Rarely"/>
    <n v="1261"/>
    <s v="Research &amp; Development"/>
    <n v="2"/>
    <n v="4"/>
    <s v="Life Sciences"/>
    <n v="271"/>
    <n v="4"/>
    <s v="Male"/>
    <n v="88"/>
    <n v="3"/>
    <n v="2"/>
    <s v="Manufacturing Director"/>
    <n v="3"/>
    <s v="Married"/>
    <n v="6553"/>
    <n v="7259"/>
    <n v="9"/>
    <s v="No"/>
    <n v="14"/>
    <n v="3"/>
    <n v="2"/>
    <n v="80"/>
    <n v="0"/>
    <n v="14"/>
    <n v="3"/>
    <n v="3"/>
    <n v="1"/>
    <n v="0"/>
    <n v="0"/>
    <n v="0"/>
    <n v="0"/>
    <n v="1"/>
    <s v="35-44"/>
    <s v="Medium"/>
    <s v="0-5 Years"/>
  </r>
  <r>
    <n v="200"/>
    <n v="38"/>
    <x v="1"/>
    <s v="Travel_Rarely"/>
    <n v="1084"/>
    <s v="Research &amp; Development"/>
    <n v="29"/>
    <n v="3"/>
    <s v="Technical Degree"/>
    <n v="273"/>
    <n v="4"/>
    <s v="Male"/>
    <n v="54"/>
    <n v="3"/>
    <n v="2"/>
    <s v="Manufacturing Director"/>
    <n v="4"/>
    <s v="Married"/>
    <n v="6261"/>
    <n v="4185"/>
    <n v="3"/>
    <s v="No"/>
    <n v="18"/>
    <n v="3"/>
    <n v="1"/>
    <n v="80"/>
    <n v="1"/>
    <n v="9"/>
    <n v="3"/>
    <n v="1"/>
    <n v="7"/>
    <n v="7"/>
    <n v="1"/>
    <n v="7"/>
    <n v="0"/>
    <n v="1"/>
    <s v="35-44"/>
    <s v="Medium"/>
    <s v="6-10 Years"/>
  </r>
  <r>
    <n v="201"/>
    <n v="27"/>
    <x v="1"/>
    <s v="Travel_Frequently"/>
    <n v="472"/>
    <s v="Research &amp; Development"/>
    <n v="1"/>
    <n v="1"/>
    <s v="Technical Degree"/>
    <n v="274"/>
    <n v="3"/>
    <s v="Male"/>
    <n v="60"/>
    <n v="2"/>
    <n v="2"/>
    <s v="Manufacturing Director"/>
    <n v="1"/>
    <s v="Married"/>
    <n v="4298"/>
    <n v="9679"/>
    <n v="5"/>
    <s v="No"/>
    <n v="19"/>
    <n v="3"/>
    <n v="3"/>
    <n v="80"/>
    <n v="1"/>
    <n v="6"/>
    <n v="1"/>
    <n v="3"/>
    <n v="2"/>
    <n v="2"/>
    <n v="2"/>
    <n v="0"/>
    <n v="0"/>
    <n v="1"/>
    <s v="25-34"/>
    <s v="Low"/>
    <s v="0-5 Years"/>
  </r>
  <r>
    <n v="202"/>
    <n v="49"/>
    <x v="1"/>
    <s v="Non-Travel"/>
    <n v="1002"/>
    <s v="Research &amp; Development"/>
    <n v="18"/>
    <n v="4"/>
    <s v="Life Sciences"/>
    <n v="275"/>
    <n v="4"/>
    <s v="Male"/>
    <n v="92"/>
    <n v="3"/>
    <n v="2"/>
    <s v="Manufacturing Director"/>
    <n v="4"/>
    <s v="Divorced"/>
    <n v="6804"/>
    <n v="23793"/>
    <n v="1"/>
    <s v="Yes"/>
    <n v="15"/>
    <n v="3"/>
    <n v="1"/>
    <n v="80"/>
    <n v="2"/>
    <n v="7"/>
    <n v="0"/>
    <n v="3"/>
    <n v="7"/>
    <n v="7"/>
    <n v="1"/>
    <n v="7"/>
    <n v="0"/>
    <n v="1"/>
    <s v="45-54"/>
    <s v="Medium"/>
    <s v="6-10 Years"/>
  </r>
  <r>
    <n v="203"/>
    <n v="34"/>
    <x v="1"/>
    <s v="Travel_Frequently"/>
    <n v="878"/>
    <s v="Research &amp; Development"/>
    <n v="10"/>
    <n v="4"/>
    <s v="Medical"/>
    <n v="277"/>
    <n v="4"/>
    <s v="Male"/>
    <n v="43"/>
    <n v="3"/>
    <n v="1"/>
    <s v="Research Scientist"/>
    <n v="3"/>
    <s v="Divorced"/>
    <n v="3815"/>
    <n v="5972"/>
    <n v="1"/>
    <s v="Yes"/>
    <n v="17"/>
    <n v="3"/>
    <n v="4"/>
    <n v="80"/>
    <n v="1"/>
    <n v="5"/>
    <n v="4"/>
    <n v="4"/>
    <n v="5"/>
    <n v="3"/>
    <n v="2"/>
    <n v="0"/>
    <n v="0"/>
    <n v="1"/>
    <s v="25-34"/>
    <s v="Low"/>
    <s v="0-5 Years"/>
  </r>
  <r>
    <n v="204"/>
    <n v="40"/>
    <x v="1"/>
    <s v="Travel_Rarely"/>
    <n v="905"/>
    <s v="Research &amp; Development"/>
    <n v="19"/>
    <n v="2"/>
    <s v="Medical"/>
    <n v="281"/>
    <n v="3"/>
    <s v="Male"/>
    <n v="99"/>
    <n v="3"/>
    <n v="2"/>
    <s v="Laboratory Technician"/>
    <n v="4"/>
    <s v="Married"/>
    <n v="2741"/>
    <n v="16523"/>
    <n v="8"/>
    <s v="Yes"/>
    <n v="15"/>
    <n v="3"/>
    <n v="3"/>
    <n v="80"/>
    <n v="1"/>
    <n v="15"/>
    <n v="2"/>
    <n v="4"/>
    <n v="7"/>
    <n v="2"/>
    <n v="3"/>
    <n v="7"/>
    <n v="0"/>
    <n v="1"/>
    <s v="35-44"/>
    <s v="Low"/>
    <s v="6-10 Years"/>
  </r>
  <r>
    <n v="205"/>
    <n v="38"/>
    <x v="0"/>
    <s v="Travel_Rarely"/>
    <n v="1180"/>
    <s v="Research &amp; Development"/>
    <n v="29"/>
    <n v="1"/>
    <s v="Medical"/>
    <n v="282"/>
    <n v="2"/>
    <s v="Male"/>
    <n v="70"/>
    <n v="3"/>
    <n v="2"/>
    <s v="Healthcare Representative"/>
    <n v="1"/>
    <s v="Married"/>
    <n v="6673"/>
    <n v="11354"/>
    <n v="7"/>
    <s v="Yes"/>
    <n v="19"/>
    <n v="3"/>
    <n v="2"/>
    <n v="80"/>
    <n v="0"/>
    <n v="17"/>
    <n v="2"/>
    <n v="3"/>
    <n v="1"/>
    <n v="0"/>
    <n v="0"/>
    <n v="0"/>
    <n v="1"/>
    <n v="0"/>
    <s v="35-44"/>
    <s v="Medium"/>
    <s v="0-5 Years"/>
  </r>
  <r>
    <n v="206"/>
    <n v="29"/>
    <x v="0"/>
    <s v="Travel_Rarely"/>
    <n v="121"/>
    <s v="Sales"/>
    <n v="27"/>
    <n v="3"/>
    <s v="Marketing"/>
    <n v="283"/>
    <n v="2"/>
    <s v="Female"/>
    <n v="35"/>
    <n v="3"/>
    <n v="3"/>
    <s v="Sales Executive"/>
    <n v="4"/>
    <s v="Married"/>
    <n v="7639"/>
    <n v="24525"/>
    <n v="1"/>
    <s v="No"/>
    <n v="22"/>
    <n v="4"/>
    <n v="4"/>
    <n v="80"/>
    <n v="3"/>
    <n v="10"/>
    <n v="3"/>
    <n v="2"/>
    <n v="10"/>
    <n v="4"/>
    <n v="1"/>
    <n v="9"/>
    <n v="1"/>
    <n v="0"/>
    <s v="25-34"/>
    <s v="Medium"/>
    <s v="6-10 Years"/>
  </r>
  <r>
    <n v="207"/>
    <n v="22"/>
    <x v="1"/>
    <s v="Travel_Rarely"/>
    <n v="1136"/>
    <s v="Research &amp; Development"/>
    <n v="5"/>
    <n v="3"/>
    <s v="Life Sciences"/>
    <n v="284"/>
    <n v="4"/>
    <s v="Male"/>
    <n v="60"/>
    <n v="4"/>
    <n v="1"/>
    <s v="Research Scientist"/>
    <n v="2"/>
    <s v="Divorced"/>
    <n v="2328"/>
    <n v="12392"/>
    <n v="1"/>
    <s v="Yes"/>
    <n v="16"/>
    <n v="3"/>
    <n v="1"/>
    <n v="80"/>
    <n v="1"/>
    <n v="4"/>
    <n v="2"/>
    <n v="2"/>
    <n v="4"/>
    <n v="2"/>
    <n v="2"/>
    <n v="2"/>
    <n v="0"/>
    <n v="1"/>
    <s v="Under 25"/>
    <s v="Low"/>
    <s v="0-5 Years"/>
  </r>
  <r>
    <n v="208"/>
    <n v="36"/>
    <x v="1"/>
    <s v="Travel_Frequently"/>
    <n v="635"/>
    <s v="Research &amp; Development"/>
    <n v="18"/>
    <n v="1"/>
    <s v="Medical"/>
    <n v="286"/>
    <n v="2"/>
    <s v="Female"/>
    <n v="73"/>
    <n v="3"/>
    <n v="1"/>
    <s v="Laboratory Technician"/>
    <n v="4"/>
    <s v="Single"/>
    <n v="2153"/>
    <n v="7703"/>
    <n v="1"/>
    <s v="No"/>
    <n v="13"/>
    <n v="3"/>
    <n v="1"/>
    <n v="80"/>
    <n v="0"/>
    <n v="8"/>
    <n v="2"/>
    <n v="3"/>
    <n v="8"/>
    <n v="1"/>
    <n v="1"/>
    <n v="7"/>
    <n v="0"/>
    <n v="1"/>
    <s v="35-44"/>
    <s v="Low"/>
    <s v="6-10 Years"/>
  </r>
  <r>
    <n v="209"/>
    <n v="40"/>
    <x v="1"/>
    <s v="Non-Travel"/>
    <n v="1151"/>
    <s v="Research &amp; Development"/>
    <n v="9"/>
    <n v="5"/>
    <s v="Life Sciences"/>
    <n v="287"/>
    <n v="4"/>
    <s v="Male"/>
    <n v="63"/>
    <n v="2"/>
    <n v="2"/>
    <s v="Healthcare Representative"/>
    <n v="4"/>
    <s v="Married"/>
    <n v="4876"/>
    <n v="14242"/>
    <n v="9"/>
    <s v="No"/>
    <n v="14"/>
    <n v="3"/>
    <n v="4"/>
    <n v="80"/>
    <n v="1"/>
    <n v="5"/>
    <n v="5"/>
    <n v="1"/>
    <n v="3"/>
    <n v="2"/>
    <n v="0"/>
    <n v="2"/>
    <n v="0"/>
    <n v="1"/>
    <s v="35-44"/>
    <s v="Low"/>
    <s v="0-5 Years"/>
  </r>
  <r>
    <n v="210"/>
    <n v="46"/>
    <x v="1"/>
    <s v="Travel_Rarely"/>
    <n v="644"/>
    <s v="Research &amp; Development"/>
    <n v="1"/>
    <n v="4"/>
    <s v="Medical"/>
    <n v="288"/>
    <n v="4"/>
    <s v="Male"/>
    <n v="97"/>
    <n v="3"/>
    <n v="3"/>
    <s v="Healthcare Representative"/>
    <n v="1"/>
    <s v="Divorced"/>
    <n v="9396"/>
    <n v="12368"/>
    <n v="7"/>
    <s v="No"/>
    <n v="16"/>
    <n v="3"/>
    <n v="3"/>
    <n v="80"/>
    <n v="1"/>
    <n v="17"/>
    <n v="3"/>
    <n v="3"/>
    <n v="4"/>
    <n v="2"/>
    <n v="0"/>
    <n v="3"/>
    <n v="0"/>
    <n v="1"/>
    <s v="45-54"/>
    <s v="Medium"/>
    <s v="0-5 Years"/>
  </r>
  <r>
    <n v="211"/>
    <n v="32"/>
    <x v="0"/>
    <s v="Travel_Rarely"/>
    <n v="1045"/>
    <s v="Sales"/>
    <n v="4"/>
    <n v="4"/>
    <s v="Medical"/>
    <n v="291"/>
    <n v="4"/>
    <s v="Male"/>
    <n v="32"/>
    <n v="1"/>
    <n v="3"/>
    <s v="Sales Executive"/>
    <n v="4"/>
    <s v="Married"/>
    <n v="10400"/>
    <n v="25812"/>
    <n v="1"/>
    <s v="No"/>
    <n v="11"/>
    <n v="3"/>
    <n v="3"/>
    <n v="80"/>
    <n v="0"/>
    <n v="14"/>
    <n v="2"/>
    <n v="2"/>
    <n v="14"/>
    <n v="8"/>
    <n v="9"/>
    <n v="8"/>
    <n v="1"/>
    <n v="0"/>
    <s v="25-34"/>
    <s v="Upper Medium"/>
    <s v="11-20 Years"/>
  </r>
  <r>
    <n v="212"/>
    <n v="30"/>
    <x v="1"/>
    <s v="Non-Travel"/>
    <n v="829"/>
    <s v="Research &amp; Development"/>
    <n v="1"/>
    <n v="1"/>
    <s v="Life Sciences"/>
    <n v="292"/>
    <n v="3"/>
    <s v="Male"/>
    <n v="88"/>
    <n v="2"/>
    <n v="3"/>
    <s v="Manufacturing Director"/>
    <n v="3"/>
    <s v="Single"/>
    <n v="8474"/>
    <n v="20925"/>
    <n v="1"/>
    <s v="No"/>
    <n v="22"/>
    <n v="4"/>
    <n v="3"/>
    <n v="80"/>
    <n v="0"/>
    <n v="12"/>
    <n v="2"/>
    <n v="3"/>
    <n v="11"/>
    <n v="8"/>
    <n v="5"/>
    <n v="8"/>
    <n v="0"/>
    <n v="1"/>
    <s v="25-34"/>
    <s v="Medium"/>
    <s v="11-20 Years"/>
  </r>
  <r>
    <n v="213"/>
    <n v="27"/>
    <x v="1"/>
    <s v="Travel_Frequently"/>
    <n v="1242"/>
    <s v="Sales"/>
    <n v="20"/>
    <n v="3"/>
    <s v="Life Sciences"/>
    <n v="293"/>
    <n v="4"/>
    <s v="Female"/>
    <n v="90"/>
    <n v="3"/>
    <n v="2"/>
    <s v="Sales Executive"/>
    <n v="3"/>
    <s v="Single"/>
    <n v="9981"/>
    <n v="12916"/>
    <n v="1"/>
    <s v="No"/>
    <n v="14"/>
    <n v="3"/>
    <n v="4"/>
    <n v="80"/>
    <n v="0"/>
    <n v="7"/>
    <n v="2"/>
    <n v="3"/>
    <n v="7"/>
    <n v="7"/>
    <n v="0"/>
    <n v="7"/>
    <n v="0"/>
    <n v="1"/>
    <s v="25-34"/>
    <s v="Medium"/>
    <s v="6-10 Years"/>
  </r>
  <r>
    <n v="214"/>
    <n v="51"/>
    <x v="1"/>
    <s v="Travel_Rarely"/>
    <n v="1469"/>
    <s v="Research &amp; Development"/>
    <n v="8"/>
    <n v="4"/>
    <s v="Life Sciences"/>
    <n v="296"/>
    <n v="2"/>
    <s v="Male"/>
    <n v="81"/>
    <n v="2"/>
    <n v="3"/>
    <s v="Research Director"/>
    <n v="2"/>
    <s v="Married"/>
    <n v="12490"/>
    <n v="15736"/>
    <n v="5"/>
    <s v="No"/>
    <n v="16"/>
    <n v="3"/>
    <n v="4"/>
    <n v="80"/>
    <n v="2"/>
    <n v="16"/>
    <n v="5"/>
    <n v="1"/>
    <n v="10"/>
    <n v="9"/>
    <n v="4"/>
    <n v="7"/>
    <n v="0"/>
    <n v="1"/>
    <s v="45-54"/>
    <s v="Upper Medium"/>
    <s v="6-10 Years"/>
  </r>
  <r>
    <n v="215"/>
    <n v="30"/>
    <x v="0"/>
    <s v="Travel_Rarely"/>
    <n v="1005"/>
    <s v="Research &amp; Development"/>
    <n v="3"/>
    <n v="3"/>
    <s v="Technical Degree"/>
    <n v="297"/>
    <n v="4"/>
    <s v="Female"/>
    <n v="88"/>
    <n v="3"/>
    <n v="1"/>
    <s v="Research Scientist"/>
    <n v="1"/>
    <s v="Single"/>
    <n v="2657"/>
    <n v="8556"/>
    <n v="5"/>
    <s v="Yes"/>
    <n v="11"/>
    <n v="3"/>
    <n v="3"/>
    <n v="80"/>
    <n v="0"/>
    <n v="8"/>
    <n v="5"/>
    <n v="3"/>
    <n v="5"/>
    <n v="2"/>
    <n v="0"/>
    <n v="4"/>
    <n v="1"/>
    <n v="0"/>
    <s v="25-34"/>
    <s v="Low"/>
    <s v="0-5 Years"/>
  </r>
  <r>
    <n v="216"/>
    <n v="41"/>
    <x v="1"/>
    <s v="Travel_Rarely"/>
    <n v="896"/>
    <s v="Sales"/>
    <n v="6"/>
    <n v="3"/>
    <s v="Life Sciences"/>
    <n v="298"/>
    <n v="4"/>
    <s v="Female"/>
    <n v="75"/>
    <n v="3"/>
    <n v="3"/>
    <s v="Manager"/>
    <n v="4"/>
    <s v="Single"/>
    <n v="13591"/>
    <n v="14674"/>
    <n v="3"/>
    <s v="Yes"/>
    <n v="18"/>
    <n v="3"/>
    <n v="3"/>
    <n v="80"/>
    <n v="0"/>
    <n v="16"/>
    <n v="3"/>
    <n v="3"/>
    <n v="1"/>
    <n v="0"/>
    <n v="0"/>
    <n v="0"/>
    <n v="0"/>
    <n v="1"/>
    <s v="35-44"/>
    <s v="Upper Medium"/>
    <s v="0-5 Years"/>
  </r>
  <r>
    <n v="217"/>
    <n v="30"/>
    <x v="0"/>
    <s v="Travel_Frequently"/>
    <n v="334"/>
    <s v="Sales"/>
    <n v="26"/>
    <n v="4"/>
    <s v="Marketing"/>
    <n v="299"/>
    <n v="3"/>
    <s v="Female"/>
    <n v="52"/>
    <n v="2"/>
    <n v="2"/>
    <s v="Sales Executive"/>
    <n v="1"/>
    <s v="Single"/>
    <n v="6696"/>
    <n v="22967"/>
    <n v="5"/>
    <s v="No"/>
    <n v="15"/>
    <n v="3"/>
    <n v="3"/>
    <n v="80"/>
    <n v="0"/>
    <n v="9"/>
    <n v="5"/>
    <n v="2"/>
    <n v="6"/>
    <n v="3"/>
    <n v="0"/>
    <n v="1"/>
    <n v="1"/>
    <n v="0"/>
    <s v="25-34"/>
    <s v="Medium"/>
    <s v="6-10 Years"/>
  </r>
  <r>
    <n v="218"/>
    <n v="29"/>
    <x v="0"/>
    <s v="Travel_Rarely"/>
    <n v="992"/>
    <s v="Research &amp; Development"/>
    <n v="1"/>
    <n v="3"/>
    <s v="Technical Degree"/>
    <n v="300"/>
    <n v="3"/>
    <s v="Male"/>
    <n v="85"/>
    <n v="3"/>
    <n v="1"/>
    <s v="Research Scientist"/>
    <n v="3"/>
    <s v="Single"/>
    <n v="2058"/>
    <n v="19757"/>
    <n v="0"/>
    <s v="No"/>
    <n v="14"/>
    <n v="3"/>
    <n v="4"/>
    <n v="80"/>
    <n v="0"/>
    <n v="7"/>
    <n v="1"/>
    <n v="2"/>
    <n v="6"/>
    <n v="2"/>
    <n v="1"/>
    <n v="5"/>
    <n v="1"/>
    <n v="0"/>
    <s v="25-34"/>
    <s v="Low"/>
    <s v="6-10 Years"/>
  </r>
  <r>
    <n v="219"/>
    <n v="45"/>
    <x v="1"/>
    <s v="Non-Travel"/>
    <n v="1052"/>
    <s v="Sales"/>
    <n v="6"/>
    <n v="3"/>
    <s v="Medical"/>
    <n v="302"/>
    <n v="4"/>
    <s v="Female"/>
    <n v="57"/>
    <n v="2"/>
    <n v="3"/>
    <s v="Sales Executive"/>
    <n v="4"/>
    <s v="Single"/>
    <n v="8865"/>
    <n v="16840"/>
    <n v="6"/>
    <s v="No"/>
    <n v="12"/>
    <n v="3"/>
    <n v="4"/>
    <n v="80"/>
    <n v="0"/>
    <n v="23"/>
    <n v="2"/>
    <n v="3"/>
    <n v="19"/>
    <n v="7"/>
    <n v="12"/>
    <n v="8"/>
    <n v="0"/>
    <n v="1"/>
    <s v="45-54"/>
    <s v="Medium"/>
    <s v="11-20 Years"/>
  </r>
  <r>
    <n v="220"/>
    <n v="54"/>
    <x v="1"/>
    <s v="Travel_Rarely"/>
    <n v="1147"/>
    <s v="Sales"/>
    <n v="3"/>
    <n v="3"/>
    <s v="Marketing"/>
    <n v="303"/>
    <n v="4"/>
    <s v="Female"/>
    <n v="52"/>
    <n v="3"/>
    <n v="2"/>
    <s v="Sales Executive"/>
    <n v="1"/>
    <s v="Married"/>
    <n v="5940"/>
    <n v="17011"/>
    <n v="2"/>
    <s v="No"/>
    <n v="14"/>
    <n v="3"/>
    <n v="4"/>
    <n v="80"/>
    <n v="1"/>
    <n v="16"/>
    <n v="4"/>
    <n v="3"/>
    <n v="6"/>
    <n v="2"/>
    <n v="0"/>
    <n v="5"/>
    <n v="0"/>
    <n v="1"/>
    <s v="45-54"/>
    <s v="Medium"/>
    <s v="6-10 Years"/>
  </r>
  <r>
    <n v="221"/>
    <n v="36"/>
    <x v="1"/>
    <s v="Travel_Rarely"/>
    <n v="1396"/>
    <s v="Research &amp; Development"/>
    <n v="5"/>
    <n v="2"/>
    <s v="Life Sciences"/>
    <n v="304"/>
    <n v="4"/>
    <s v="Male"/>
    <n v="62"/>
    <n v="3"/>
    <n v="2"/>
    <s v="Laboratory Technician"/>
    <n v="2"/>
    <s v="Single"/>
    <n v="5914"/>
    <n v="9945"/>
    <n v="8"/>
    <s v="No"/>
    <n v="16"/>
    <n v="3"/>
    <n v="4"/>
    <n v="80"/>
    <n v="0"/>
    <n v="16"/>
    <n v="3"/>
    <n v="4"/>
    <n v="13"/>
    <n v="11"/>
    <n v="3"/>
    <n v="7"/>
    <n v="0"/>
    <n v="1"/>
    <s v="35-44"/>
    <s v="Medium"/>
    <s v="11-20 Years"/>
  </r>
  <r>
    <n v="222"/>
    <n v="33"/>
    <x v="1"/>
    <s v="Travel_Rarely"/>
    <n v="147"/>
    <s v="Research &amp; Development"/>
    <n v="4"/>
    <n v="4"/>
    <s v="Medical"/>
    <n v="305"/>
    <n v="3"/>
    <s v="Female"/>
    <n v="47"/>
    <n v="2"/>
    <n v="1"/>
    <s v="Research Scientist"/>
    <n v="2"/>
    <s v="Married"/>
    <n v="2622"/>
    <n v="13248"/>
    <n v="6"/>
    <s v="No"/>
    <n v="21"/>
    <n v="4"/>
    <n v="4"/>
    <n v="80"/>
    <n v="0"/>
    <n v="7"/>
    <n v="3"/>
    <n v="3"/>
    <n v="3"/>
    <n v="2"/>
    <n v="1"/>
    <n v="1"/>
    <n v="0"/>
    <n v="1"/>
    <s v="25-34"/>
    <s v="Low"/>
    <s v="0-5 Years"/>
  </r>
  <r>
    <n v="223"/>
    <n v="37"/>
    <x v="1"/>
    <s v="Travel_Frequently"/>
    <n v="663"/>
    <s v="Research &amp; Development"/>
    <n v="11"/>
    <n v="3"/>
    <s v="Other"/>
    <n v="306"/>
    <n v="2"/>
    <s v="Male"/>
    <n v="47"/>
    <n v="3"/>
    <n v="3"/>
    <s v="Research Director"/>
    <n v="4"/>
    <s v="Divorced"/>
    <n v="12185"/>
    <n v="10056"/>
    <n v="1"/>
    <s v="Yes"/>
    <n v="14"/>
    <n v="3"/>
    <n v="3"/>
    <n v="80"/>
    <n v="3"/>
    <n v="10"/>
    <n v="1"/>
    <n v="3"/>
    <n v="10"/>
    <n v="8"/>
    <n v="0"/>
    <n v="7"/>
    <n v="0"/>
    <n v="1"/>
    <s v="35-44"/>
    <s v="Upper Medium"/>
    <s v="6-10 Years"/>
  </r>
  <r>
    <n v="224"/>
    <n v="38"/>
    <x v="1"/>
    <s v="Travel_Rarely"/>
    <n v="119"/>
    <s v="Sales"/>
    <n v="3"/>
    <n v="3"/>
    <s v="Life Sciences"/>
    <n v="307"/>
    <n v="1"/>
    <s v="Male"/>
    <n v="76"/>
    <n v="3"/>
    <n v="3"/>
    <s v="Sales Executive"/>
    <n v="3"/>
    <s v="Divorced"/>
    <n v="10609"/>
    <n v="9647"/>
    <n v="0"/>
    <s v="No"/>
    <n v="12"/>
    <n v="3"/>
    <n v="3"/>
    <n v="80"/>
    <n v="2"/>
    <n v="17"/>
    <n v="6"/>
    <n v="2"/>
    <n v="16"/>
    <n v="10"/>
    <n v="5"/>
    <n v="13"/>
    <n v="0"/>
    <n v="1"/>
    <s v="35-44"/>
    <s v="Upper Medium"/>
    <s v="11-20 Years"/>
  </r>
  <r>
    <n v="225"/>
    <n v="31"/>
    <x v="1"/>
    <s v="Non-Travel"/>
    <n v="979"/>
    <s v="Research &amp; Development"/>
    <n v="1"/>
    <n v="4"/>
    <s v="Medical"/>
    <n v="308"/>
    <n v="3"/>
    <s v="Male"/>
    <n v="90"/>
    <n v="1"/>
    <n v="2"/>
    <s v="Manufacturing Director"/>
    <n v="3"/>
    <s v="Married"/>
    <n v="4345"/>
    <n v="4381"/>
    <n v="0"/>
    <s v="No"/>
    <n v="12"/>
    <n v="3"/>
    <n v="4"/>
    <n v="80"/>
    <n v="1"/>
    <n v="6"/>
    <n v="2"/>
    <n v="3"/>
    <n v="5"/>
    <n v="4"/>
    <n v="1"/>
    <n v="4"/>
    <n v="0"/>
    <n v="1"/>
    <s v="25-34"/>
    <s v="Low"/>
    <s v="0-5 Years"/>
  </r>
  <r>
    <n v="226"/>
    <n v="59"/>
    <x v="1"/>
    <s v="Travel_Rarely"/>
    <n v="142"/>
    <s v="Research &amp; Development"/>
    <n v="3"/>
    <n v="3"/>
    <s v="Life Sciences"/>
    <n v="309"/>
    <n v="3"/>
    <s v="Male"/>
    <n v="70"/>
    <n v="2"/>
    <n v="1"/>
    <s v="Research Scientist"/>
    <n v="4"/>
    <s v="Married"/>
    <n v="2177"/>
    <n v="8456"/>
    <n v="3"/>
    <s v="No"/>
    <n v="17"/>
    <n v="3"/>
    <n v="1"/>
    <n v="80"/>
    <n v="1"/>
    <n v="7"/>
    <n v="6"/>
    <n v="3"/>
    <n v="1"/>
    <n v="0"/>
    <n v="0"/>
    <n v="0"/>
    <n v="0"/>
    <n v="1"/>
    <s v="55+"/>
    <s v="Low"/>
    <s v="0-5 Years"/>
  </r>
  <r>
    <n v="227"/>
    <n v="37"/>
    <x v="1"/>
    <s v="Travel_Frequently"/>
    <n v="319"/>
    <s v="Sales"/>
    <n v="4"/>
    <n v="4"/>
    <s v="Marketing"/>
    <n v="311"/>
    <n v="1"/>
    <s v="Male"/>
    <n v="41"/>
    <n v="3"/>
    <n v="1"/>
    <s v="Sales Representative"/>
    <n v="4"/>
    <s v="Divorced"/>
    <n v="2793"/>
    <n v="2539"/>
    <n v="4"/>
    <s v="No"/>
    <n v="17"/>
    <n v="3"/>
    <n v="3"/>
    <n v="80"/>
    <n v="1"/>
    <n v="13"/>
    <n v="2"/>
    <n v="3"/>
    <n v="9"/>
    <n v="8"/>
    <n v="5"/>
    <n v="8"/>
    <n v="0"/>
    <n v="1"/>
    <s v="35-44"/>
    <s v="Low"/>
    <s v="6-10 Years"/>
  </r>
  <r>
    <n v="228"/>
    <n v="29"/>
    <x v="1"/>
    <s v="Travel_Frequently"/>
    <n v="1413"/>
    <s v="Sales"/>
    <n v="1"/>
    <n v="1"/>
    <s v="Medical"/>
    <n v="312"/>
    <n v="2"/>
    <s v="Female"/>
    <n v="42"/>
    <n v="3"/>
    <n v="3"/>
    <s v="Sales Executive"/>
    <n v="4"/>
    <s v="Married"/>
    <n v="7918"/>
    <n v="6599"/>
    <n v="1"/>
    <s v="No"/>
    <n v="14"/>
    <n v="3"/>
    <n v="4"/>
    <n v="80"/>
    <n v="1"/>
    <n v="11"/>
    <n v="5"/>
    <n v="3"/>
    <n v="11"/>
    <n v="10"/>
    <n v="4"/>
    <n v="1"/>
    <n v="0"/>
    <n v="1"/>
    <s v="25-34"/>
    <s v="Medium"/>
    <s v="11-20 Years"/>
  </r>
  <r>
    <n v="229"/>
    <n v="35"/>
    <x v="1"/>
    <s v="Travel_Frequently"/>
    <n v="944"/>
    <s v="Sales"/>
    <n v="1"/>
    <n v="3"/>
    <s v="Marketing"/>
    <n v="314"/>
    <n v="3"/>
    <s v="Female"/>
    <n v="92"/>
    <n v="3"/>
    <n v="3"/>
    <s v="Sales Executive"/>
    <n v="3"/>
    <s v="Single"/>
    <n v="8789"/>
    <n v="9096"/>
    <n v="1"/>
    <s v="No"/>
    <n v="14"/>
    <n v="3"/>
    <n v="1"/>
    <n v="80"/>
    <n v="0"/>
    <n v="10"/>
    <n v="3"/>
    <n v="4"/>
    <n v="10"/>
    <n v="7"/>
    <n v="0"/>
    <n v="8"/>
    <n v="0"/>
    <n v="1"/>
    <s v="35-44"/>
    <s v="Medium"/>
    <s v="6-10 Years"/>
  </r>
  <r>
    <n v="230"/>
    <n v="29"/>
    <x v="0"/>
    <s v="Travel_Rarely"/>
    <n v="896"/>
    <s v="Research &amp; Development"/>
    <n v="18"/>
    <n v="1"/>
    <s v="Medical"/>
    <n v="315"/>
    <n v="3"/>
    <s v="Male"/>
    <n v="86"/>
    <n v="2"/>
    <n v="1"/>
    <s v="Research Scientist"/>
    <n v="4"/>
    <s v="Single"/>
    <n v="2389"/>
    <n v="14961"/>
    <n v="1"/>
    <s v="Yes"/>
    <n v="13"/>
    <n v="3"/>
    <n v="3"/>
    <n v="80"/>
    <n v="0"/>
    <n v="4"/>
    <n v="3"/>
    <n v="2"/>
    <n v="4"/>
    <n v="3"/>
    <n v="0"/>
    <n v="1"/>
    <n v="1"/>
    <n v="0"/>
    <s v="25-34"/>
    <s v="Low"/>
    <s v="0-5 Years"/>
  </r>
  <r>
    <n v="231"/>
    <n v="52"/>
    <x v="1"/>
    <s v="Travel_Rarely"/>
    <n v="1323"/>
    <s v="Research &amp; Development"/>
    <n v="2"/>
    <n v="3"/>
    <s v="Life Sciences"/>
    <n v="316"/>
    <n v="3"/>
    <s v="Female"/>
    <n v="89"/>
    <n v="2"/>
    <n v="1"/>
    <s v="Laboratory Technician"/>
    <n v="4"/>
    <s v="Single"/>
    <n v="3212"/>
    <n v="3300"/>
    <n v="7"/>
    <s v="No"/>
    <n v="15"/>
    <n v="3"/>
    <n v="2"/>
    <n v="80"/>
    <n v="0"/>
    <n v="6"/>
    <n v="3"/>
    <n v="2"/>
    <n v="2"/>
    <n v="2"/>
    <n v="2"/>
    <n v="2"/>
    <n v="0"/>
    <n v="1"/>
    <s v="45-54"/>
    <s v="Low"/>
    <s v="0-5 Years"/>
  </r>
  <r>
    <n v="232"/>
    <n v="42"/>
    <x v="1"/>
    <s v="Travel_Rarely"/>
    <n v="532"/>
    <s v="Research &amp; Development"/>
    <n v="4"/>
    <n v="2"/>
    <s v="Technical Degree"/>
    <n v="319"/>
    <n v="3"/>
    <s v="Male"/>
    <n v="58"/>
    <n v="3"/>
    <n v="5"/>
    <s v="Manager"/>
    <n v="4"/>
    <s v="Married"/>
    <n v="19232"/>
    <n v="4933"/>
    <n v="1"/>
    <s v="No"/>
    <n v="11"/>
    <n v="3"/>
    <n v="4"/>
    <n v="80"/>
    <n v="0"/>
    <n v="22"/>
    <n v="3"/>
    <n v="3"/>
    <n v="22"/>
    <n v="17"/>
    <n v="11"/>
    <n v="15"/>
    <n v="0"/>
    <n v="1"/>
    <s v="35-44"/>
    <s v="High"/>
    <s v="21+ Years"/>
  </r>
  <r>
    <n v="233"/>
    <n v="59"/>
    <x v="1"/>
    <s v="Travel_Rarely"/>
    <n v="818"/>
    <s v="Human Resources"/>
    <n v="6"/>
    <n v="2"/>
    <s v="Medical"/>
    <n v="321"/>
    <n v="2"/>
    <s v="Male"/>
    <n v="52"/>
    <n v="3"/>
    <n v="1"/>
    <s v="Human Resources"/>
    <n v="3"/>
    <s v="Married"/>
    <n v="2267"/>
    <n v="25657"/>
    <n v="8"/>
    <s v="No"/>
    <n v="17"/>
    <n v="3"/>
    <n v="4"/>
    <n v="80"/>
    <n v="0"/>
    <n v="7"/>
    <n v="2"/>
    <n v="2"/>
    <n v="2"/>
    <n v="2"/>
    <n v="2"/>
    <n v="2"/>
    <n v="0"/>
    <n v="1"/>
    <s v="55+"/>
    <s v="Low"/>
    <s v="0-5 Years"/>
  </r>
  <r>
    <n v="234"/>
    <n v="50"/>
    <x v="1"/>
    <s v="Travel_Rarely"/>
    <n v="854"/>
    <s v="Sales"/>
    <n v="1"/>
    <n v="4"/>
    <s v="Medical"/>
    <n v="323"/>
    <n v="4"/>
    <s v="Female"/>
    <n v="68"/>
    <n v="3"/>
    <n v="5"/>
    <s v="Manager"/>
    <n v="4"/>
    <s v="Divorced"/>
    <n v="19517"/>
    <n v="24118"/>
    <n v="3"/>
    <s v="No"/>
    <n v="11"/>
    <n v="3"/>
    <n v="3"/>
    <n v="80"/>
    <n v="1"/>
    <n v="32"/>
    <n v="3"/>
    <n v="2"/>
    <n v="7"/>
    <n v="0"/>
    <n v="0"/>
    <n v="6"/>
    <n v="0"/>
    <n v="1"/>
    <s v="45-54"/>
    <s v="High"/>
    <s v="6-10 Years"/>
  </r>
  <r>
    <n v="235"/>
    <n v="33"/>
    <x v="0"/>
    <s v="Travel_Rarely"/>
    <n v="813"/>
    <s v="Research &amp; Development"/>
    <n v="14"/>
    <n v="3"/>
    <s v="Medical"/>
    <n v="325"/>
    <n v="3"/>
    <s v="Male"/>
    <n v="58"/>
    <n v="3"/>
    <n v="1"/>
    <s v="Laboratory Technician"/>
    <n v="4"/>
    <s v="Married"/>
    <n v="2436"/>
    <n v="22149"/>
    <n v="5"/>
    <s v="Yes"/>
    <n v="13"/>
    <n v="3"/>
    <n v="3"/>
    <n v="80"/>
    <n v="1"/>
    <n v="8"/>
    <n v="2"/>
    <n v="1"/>
    <n v="5"/>
    <n v="4"/>
    <n v="0"/>
    <n v="4"/>
    <n v="1"/>
    <n v="0"/>
    <s v="25-34"/>
    <s v="Low"/>
    <s v="0-5 Years"/>
  </r>
  <r>
    <n v="236"/>
    <n v="43"/>
    <x v="1"/>
    <s v="Travel_Rarely"/>
    <n v="1034"/>
    <s v="Sales"/>
    <n v="16"/>
    <n v="3"/>
    <s v="Marketing"/>
    <n v="327"/>
    <n v="4"/>
    <s v="Female"/>
    <n v="80"/>
    <n v="3"/>
    <n v="4"/>
    <s v="Manager"/>
    <n v="4"/>
    <s v="Married"/>
    <n v="16064"/>
    <n v="7744"/>
    <n v="5"/>
    <s v="Yes"/>
    <n v="22"/>
    <n v="4"/>
    <n v="3"/>
    <n v="80"/>
    <n v="1"/>
    <n v="22"/>
    <n v="3"/>
    <n v="3"/>
    <n v="17"/>
    <n v="13"/>
    <n v="1"/>
    <n v="9"/>
    <n v="0"/>
    <n v="1"/>
    <s v="35-44"/>
    <s v="High"/>
    <s v="11-20 Years"/>
  </r>
  <r>
    <n v="237"/>
    <n v="33"/>
    <x v="0"/>
    <s v="Travel_Rarely"/>
    <n v="465"/>
    <s v="Research &amp; Development"/>
    <n v="2"/>
    <n v="2"/>
    <s v="Life Sciences"/>
    <n v="328"/>
    <n v="1"/>
    <s v="Female"/>
    <n v="39"/>
    <n v="3"/>
    <n v="1"/>
    <s v="Laboratory Technician"/>
    <n v="1"/>
    <s v="Married"/>
    <n v="2707"/>
    <n v="21509"/>
    <n v="7"/>
    <s v="No"/>
    <n v="20"/>
    <n v="4"/>
    <n v="1"/>
    <n v="80"/>
    <n v="0"/>
    <n v="13"/>
    <n v="3"/>
    <n v="4"/>
    <n v="9"/>
    <n v="7"/>
    <n v="1"/>
    <n v="7"/>
    <n v="1"/>
    <n v="0"/>
    <s v="25-34"/>
    <s v="Low"/>
    <s v="6-10 Years"/>
  </r>
  <r>
    <n v="238"/>
    <n v="52"/>
    <x v="1"/>
    <s v="Non-Travel"/>
    <n v="771"/>
    <s v="Sales"/>
    <n v="2"/>
    <n v="4"/>
    <s v="Life Sciences"/>
    <n v="329"/>
    <n v="1"/>
    <s v="Male"/>
    <n v="79"/>
    <n v="2"/>
    <n v="5"/>
    <s v="Manager"/>
    <n v="3"/>
    <s v="Single"/>
    <n v="19068"/>
    <n v="21030"/>
    <n v="1"/>
    <s v="Yes"/>
    <n v="18"/>
    <n v="3"/>
    <n v="4"/>
    <n v="80"/>
    <n v="0"/>
    <n v="33"/>
    <n v="2"/>
    <n v="4"/>
    <n v="33"/>
    <n v="7"/>
    <n v="15"/>
    <n v="12"/>
    <n v="0"/>
    <n v="1"/>
    <s v="45-54"/>
    <s v="High"/>
    <s v="21+ Years"/>
  </r>
  <r>
    <n v="239"/>
    <n v="32"/>
    <x v="1"/>
    <s v="Travel_Rarely"/>
    <n v="1401"/>
    <s v="Sales"/>
    <n v="4"/>
    <n v="2"/>
    <s v="Life Sciences"/>
    <n v="330"/>
    <n v="3"/>
    <s v="Female"/>
    <n v="56"/>
    <n v="3"/>
    <n v="1"/>
    <s v="Sales Representative"/>
    <n v="2"/>
    <s v="Married"/>
    <n v="3931"/>
    <n v="20990"/>
    <n v="2"/>
    <s v="No"/>
    <n v="11"/>
    <n v="3"/>
    <n v="1"/>
    <n v="80"/>
    <n v="1"/>
    <n v="6"/>
    <n v="5"/>
    <n v="3"/>
    <n v="4"/>
    <n v="3"/>
    <n v="1"/>
    <n v="2"/>
    <n v="0"/>
    <n v="1"/>
    <s v="25-34"/>
    <s v="Low"/>
    <s v="0-5 Years"/>
  </r>
  <r>
    <n v="240"/>
    <n v="32"/>
    <x v="0"/>
    <s v="Travel_Rarely"/>
    <n v="515"/>
    <s v="Research &amp; Development"/>
    <n v="1"/>
    <n v="3"/>
    <s v="Life Sciences"/>
    <n v="331"/>
    <n v="4"/>
    <s v="Male"/>
    <n v="62"/>
    <n v="2"/>
    <n v="1"/>
    <s v="Laboratory Technician"/>
    <n v="3"/>
    <s v="Single"/>
    <n v="3730"/>
    <n v="9571"/>
    <n v="0"/>
    <s v="Yes"/>
    <n v="14"/>
    <n v="3"/>
    <n v="4"/>
    <n v="80"/>
    <n v="0"/>
    <n v="4"/>
    <n v="2"/>
    <n v="1"/>
    <n v="3"/>
    <n v="2"/>
    <n v="1"/>
    <n v="2"/>
    <n v="1"/>
    <n v="0"/>
    <s v="25-34"/>
    <s v="Low"/>
    <s v="0-5 Years"/>
  </r>
  <r>
    <n v="241"/>
    <n v="39"/>
    <x v="1"/>
    <s v="Travel_Rarely"/>
    <n v="1431"/>
    <s v="Research &amp; Development"/>
    <n v="1"/>
    <n v="4"/>
    <s v="Medical"/>
    <n v="332"/>
    <n v="3"/>
    <s v="Female"/>
    <n v="96"/>
    <n v="3"/>
    <n v="1"/>
    <s v="Laboratory Technician"/>
    <n v="3"/>
    <s v="Divorced"/>
    <n v="2232"/>
    <n v="15417"/>
    <n v="7"/>
    <s v="No"/>
    <n v="14"/>
    <n v="3"/>
    <n v="3"/>
    <n v="80"/>
    <n v="3"/>
    <n v="7"/>
    <n v="1"/>
    <n v="3"/>
    <n v="3"/>
    <n v="2"/>
    <n v="1"/>
    <n v="2"/>
    <n v="0"/>
    <n v="1"/>
    <s v="35-44"/>
    <s v="Low"/>
    <s v="0-5 Years"/>
  </r>
  <r>
    <n v="242"/>
    <n v="32"/>
    <x v="1"/>
    <s v="Non-Travel"/>
    <n v="976"/>
    <s v="Sales"/>
    <n v="26"/>
    <n v="4"/>
    <s v="Marketing"/>
    <n v="333"/>
    <n v="3"/>
    <s v="Male"/>
    <n v="100"/>
    <n v="3"/>
    <n v="2"/>
    <s v="Sales Executive"/>
    <n v="4"/>
    <s v="Married"/>
    <n v="4465"/>
    <n v="12069"/>
    <n v="0"/>
    <s v="No"/>
    <n v="18"/>
    <n v="3"/>
    <n v="1"/>
    <n v="80"/>
    <n v="0"/>
    <n v="4"/>
    <n v="2"/>
    <n v="3"/>
    <n v="3"/>
    <n v="2"/>
    <n v="2"/>
    <n v="2"/>
    <n v="0"/>
    <n v="1"/>
    <s v="25-34"/>
    <s v="Low"/>
    <s v="0-5 Years"/>
  </r>
  <r>
    <n v="243"/>
    <n v="41"/>
    <x v="1"/>
    <s v="Travel_Rarely"/>
    <n v="1411"/>
    <s v="Research &amp; Development"/>
    <n v="19"/>
    <n v="2"/>
    <s v="Life Sciences"/>
    <n v="334"/>
    <n v="3"/>
    <s v="Male"/>
    <n v="36"/>
    <n v="3"/>
    <n v="2"/>
    <s v="Research Scientist"/>
    <n v="1"/>
    <s v="Divorced"/>
    <n v="3072"/>
    <n v="19877"/>
    <n v="2"/>
    <s v="No"/>
    <n v="16"/>
    <n v="3"/>
    <n v="1"/>
    <n v="80"/>
    <n v="2"/>
    <n v="17"/>
    <n v="2"/>
    <n v="2"/>
    <n v="1"/>
    <n v="0"/>
    <n v="0"/>
    <n v="0"/>
    <n v="0"/>
    <n v="1"/>
    <s v="35-44"/>
    <s v="Low"/>
    <s v="0-5 Years"/>
  </r>
  <r>
    <n v="244"/>
    <n v="40"/>
    <x v="1"/>
    <s v="Travel_Rarely"/>
    <n v="1300"/>
    <s v="Research &amp; Development"/>
    <n v="24"/>
    <n v="2"/>
    <s v="Technical Degree"/>
    <n v="335"/>
    <n v="1"/>
    <s v="Male"/>
    <n v="62"/>
    <n v="3"/>
    <n v="2"/>
    <s v="Research Scientist"/>
    <n v="4"/>
    <s v="Divorced"/>
    <n v="3319"/>
    <n v="24447"/>
    <n v="1"/>
    <s v="No"/>
    <n v="17"/>
    <n v="3"/>
    <n v="1"/>
    <n v="80"/>
    <n v="2"/>
    <n v="9"/>
    <n v="3"/>
    <n v="3"/>
    <n v="9"/>
    <n v="8"/>
    <n v="4"/>
    <n v="7"/>
    <n v="0"/>
    <n v="1"/>
    <s v="35-44"/>
    <s v="Low"/>
    <s v="6-10 Years"/>
  </r>
  <r>
    <n v="245"/>
    <n v="45"/>
    <x v="1"/>
    <s v="Travel_Rarely"/>
    <n v="252"/>
    <s v="Research &amp; Development"/>
    <n v="1"/>
    <n v="3"/>
    <s v="Other"/>
    <n v="336"/>
    <n v="3"/>
    <s v="Male"/>
    <n v="70"/>
    <n v="4"/>
    <n v="5"/>
    <s v="Manager"/>
    <n v="4"/>
    <s v="Married"/>
    <n v="19202"/>
    <n v="15970"/>
    <n v="0"/>
    <s v="No"/>
    <n v="11"/>
    <n v="3"/>
    <n v="3"/>
    <n v="80"/>
    <n v="1"/>
    <n v="25"/>
    <n v="2"/>
    <n v="3"/>
    <n v="24"/>
    <n v="0"/>
    <n v="1"/>
    <n v="7"/>
    <n v="0"/>
    <n v="1"/>
    <s v="45-54"/>
    <s v="High"/>
    <s v="21+ Years"/>
  </r>
  <r>
    <n v="246"/>
    <n v="31"/>
    <x v="1"/>
    <s v="Travel_Frequently"/>
    <n v="1327"/>
    <s v="Research &amp; Development"/>
    <n v="3"/>
    <n v="4"/>
    <s v="Medical"/>
    <n v="337"/>
    <n v="2"/>
    <s v="Male"/>
    <n v="73"/>
    <n v="3"/>
    <n v="3"/>
    <s v="Research Director"/>
    <n v="3"/>
    <s v="Divorced"/>
    <n v="13675"/>
    <n v="13523"/>
    <n v="9"/>
    <s v="No"/>
    <n v="12"/>
    <n v="3"/>
    <n v="1"/>
    <n v="80"/>
    <n v="1"/>
    <n v="9"/>
    <n v="3"/>
    <n v="3"/>
    <n v="2"/>
    <n v="2"/>
    <n v="2"/>
    <n v="2"/>
    <n v="0"/>
    <n v="1"/>
    <s v="25-34"/>
    <s v="Upper Medium"/>
    <s v="0-5 Years"/>
  </r>
  <r>
    <n v="247"/>
    <n v="33"/>
    <x v="1"/>
    <s v="Travel_Rarely"/>
    <n v="832"/>
    <s v="Research &amp; Development"/>
    <n v="5"/>
    <n v="4"/>
    <s v="Life Sciences"/>
    <n v="338"/>
    <n v="3"/>
    <s v="Female"/>
    <n v="63"/>
    <n v="2"/>
    <n v="1"/>
    <s v="Research Scientist"/>
    <n v="4"/>
    <s v="Married"/>
    <n v="2911"/>
    <n v="14776"/>
    <n v="1"/>
    <s v="No"/>
    <n v="13"/>
    <n v="3"/>
    <n v="3"/>
    <n v="80"/>
    <n v="1"/>
    <n v="2"/>
    <n v="2"/>
    <n v="2"/>
    <n v="2"/>
    <n v="2"/>
    <n v="0"/>
    <n v="2"/>
    <n v="0"/>
    <n v="1"/>
    <s v="25-34"/>
    <s v="Low"/>
    <s v="0-5 Years"/>
  </r>
  <r>
    <n v="248"/>
    <n v="34"/>
    <x v="1"/>
    <s v="Travel_Rarely"/>
    <n v="470"/>
    <s v="Research &amp; Development"/>
    <n v="2"/>
    <n v="4"/>
    <s v="Life Sciences"/>
    <n v="339"/>
    <n v="4"/>
    <s v="Male"/>
    <n v="84"/>
    <n v="2"/>
    <n v="2"/>
    <s v="Manufacturing Director"/>
    <n v="1"/>
    <s v="Married"/>
    <n v="5957"/>
    <n v="23687"/>
    <n v="6"/>
    <s v="No"/>
    <n v="13"/>
    <n v="3"/>
    <n v="2"/>
    <n v="80"/>
    <n v="1"/>
    <n v="13"/>
    <n v="3"/>
    <n v="3"/>
    <n v="11"/>
    <n v="9"/>
    <n v="5"/>
    <n v="9"/>
    <n v="0"/>
    <n v="1"/>
    <s v="25-34"/>
    <s v="Medium"/>
    <s v="11-20 Years"/>
  </r>
  <r>
    <n v="249"/>
    <n v="37"/>
    <x v="1"/>
    <s v="Travel_Rarely"/>
    <n v="1017"/>
    <s v="Research &amp; Development"/>
    <n v="1"/>
    <n v="2"/>
    <s v="Medical"/>
    <n v="340"/>
    <n v="3"/>
    <s v="Female"/>
    <n v="83"/>
    <n v="2"/>
    <n v="1"/>
    <s v="Research Scientist"/>
    <n v="1"/>
    <s v="Married"/>
    <n v="3920"/>
    <n v="18697"/>
    <n v="2"/>
    <s v="No"/>
    <n v="14"/>
    <n v="3"/>
    <n v="1"/>
    <n v="80"/>
    <n v="1"/>
    <n v="17"/>
    <n v="2"/>
    <n v="2"/>
    <n v="3"/>
    <n v="1"/>
    <n v="0"/>
    <n v="2"/>
    <n v="0"/>
    <n v="1"/>
    <s v="35-44"/>
    <s v="Low"/>
    <s v="0-5 Years"/>
  </r>
  <r>
    <n v="250"/>
    <n v="45"/>
    <x v="1"/>
    <s v="Travel_Frequently"/>
    <n v="1199"/>
    <s v="Research &amp; Development"/>
    <n v="7"/>
    <n v="4"/>
    <s v="Life Sciences"/>
    <n v="341"/>
    <n v="1"/>
    <s v="Male"/>
    <n v="77"/>
    <n v="4"/>
    <n v="2"/>
    <s v="Manufacturing Director"/>
    <n v="3"/>
    <s v="Married"/>
    <n v="6434"/>
    <n v="5118"/>
    <n v="4"/>
    <s v="No"/>
    <n v="17"/>
    <n v="3"/>
    <n v="4"/>
    <n v="80"/>
    <n v="1"/>
    <n v="9"/>
    <n v="1"/>
    <n v="3"/>
    <n v="3"/>
    <n v="2"/>
    <n v="0"/>
    <n v="2"/>
    <n v="0"/>
    <n v="1"/>
    <s v="45-54"/>
    <s v="Medium"/>
    <s v="0-5 Years"/>
  </r>
  <r>
    <n v="251"/>
    <n v="37"/>
    <x v="0"/>
    <s v="Travel_Frequently"/>
    <n v="504"/>
    <s v="Research &amp; Development"/>
    <n v="10"/>
    <n v="3"/>
    <s v="Medical"/>
    <n v="342"/>
    <n v="1"/>
    <s v="Male"/>
    <n v="61"/>
    <n v="3"/>
    <n v="3"/>
    <s v="Manufacturing Director"/>
    <n v="3"/>
    <s v="Divorced"/>
    <n v="10048"/>
    <n v="22573"/>
    <n v="6"/>
    <s v="No"/>
    <n v="11"/>
    <n v="3"/>
    <n v="2"/>
    <n v="80"/>
    <n v="2"/>
    <n v="17"/>
    <n v="5"/>
    <n v="3"/>
    <n v="1"/>
    <n v="0"/>
    <n v="0"/>
    <n v="0"/>
    <n v="1"/>
    <n v="0"/>
    <s v="35-44"/>
    <s v="Upper Medium"/>
    <s v="0-5 Years"/>
  </r>
  <r>
    <n v="252"/>
    <n v="39"/>
    <x v="1"/>
    <s v="Travel_Frequently"/>
    <n v="505"/>
    <s v="Research &amp; Development"/>
    <n v="2"/>
    <n v="4"/>
    <s v="Technical Degree"/>
    <n v="343"/>
    <n v="3"/>
    <s v="Female"/>
    <n v="64"/>
    <n v="3"/>
    <n v="3"/>
    <s v="Healthcare Representative"/>
    <n v="3"/>
    <s v="Single"/>
    <n v="10938"/>
    <n v="6420"/>
    <n v="0"/>
    <s v="No"/>
    <n v="25"/>
    <n v="4"/>
    <n v="4"/>
    <n v="80"/>
    <n v="0"/>
    <n v="20"/>
    <n v="1"/>
    <n v="3"/>
    <n v="19"/>
    <n v="6"/>
    <n v="11"/>
    <n v="8"/>
    <n v="0"/>
    <n v="1"/>
    <s v="35-44"/>
    <s v="Upper Medium"/>
    <s v="11-20 Years"/>
  </r>
  <r>
    <n v="253"/>
    <n v="29"/>
    <x v="1"/>
    <s v="Travel_Rarely"/>
    <n v="665"/>
    <s v="Research &amp; Development"/>
    <n v="15"/>
    <n v="3"/>
    <s v="Life Sciences"/>
    <n v="346"/>
    <n v="3"/>
    <s v="Male"/>
    <n v="60"/>
    <n v="3"/>
    <n v="1"/>
    <s v="Research Scientist"/>
    <n v="4"/>
    <s v="Single"/>
    <n v="2340"/>
    <n v="22673"/>
    <n v="1"/>
    <s v="No"/>
    <n v="19"/>
    <n v="3"/>
    <n v="1"/>
    <n v="80"/>
    <n v="0"/>
    <n v="6"/>
    <n v="1"/>
    <n v="3"/>
    <n v="6"/>
    <n v="5"/>
    <n v="1"/>
    <n v="5"/>
    <n v="0"/>
    <n v="1"/>
    <s v="25-34"/>
    <s v="Low"/>
    <s v="6-10 Years"/>
  </r>
  <r>
    <n v="254"/>
    <n v="42"/>
    <x v="1"/>
    <s v="Travel_Rarely"/>
    <n v="916"/>
    <s v="Research &amp; Development"/>
    <n v="17"/>
    <n v="2"/>
    <s v="Life Sciences"/>
    <n v="347"/>
    <n v="4"/>
    <s v="Female"/>
    <n v="82"/>
    <n v="4"/>
    <n v="2"/>
    <s v="Research Scientist"/>
    <n v="1"/>
    <s v="Single"/>
    <n v="6545"/>
    <n v="23016"/>
    <n v="3"/>
    <s v="Yes"/>
    <n v="13"/>
    <n v="3"/>
    <n v="3"/>
    <n v="80"/>
    <n v="0"/>
    <n v="10"/>
    <n v="1"/>
    <n v="3"/>
    <n v="3"/>
    <n v="2"/>
    <n v="0"/>
    <n v="2"/>
    <n v="0"/>
    <n v="1"/>
    <s v="35-44"/>
    <s v="Medium"/>
    <s v="0-5 Years"/>
  </r>
  <r>
    <n v="255"/>
    <n v="29"/>
    <x v="1"/>
    <s v="Travel_Rarely"/>
    <n v="1247"/>
    <s v="Sales"/>
    <n v="20"/>
    <n v="2"/>
    <s v="Marketing"/>
    <n v="349"/>
    <n v="4"/>
    <s v="Male"/>
    <n v="45"/>
    <n v="3"/>
    <n v="2"/>
    <s v="Sales Executive"/>
    <n v="4"/>
    <s v="Divorced"/>
    <n v="6931"/>
    <n v="10732"/>
    <n v="2"/>
    <s v="No"/>
    <n v="14"/>
    <n v="3"/>
    <n v="4"/>
    <n v="80"/>
    <n v="1"/>
    <n v="10"/>
    <n v="2"/>
    <n v="3"/>
    <n v="3"/>
    <n v="2"/>
    <n v="0"/>
    <n v="2"/>
    <n v="0"/>
    <n v="1"/>
    <s v="25-34"/>
    <s v="Medium"/>
    <s v="0-5 Years"/>
  </r>
  <r>
    <n v="256"/>
    <n v="25"/>
    <x v="1"/>
    <s v="Travel_Rarely"/>
    <n v="685"/>
    <s v="Research &amp; Development"/>
    <n v="1"/>
    <n v="3"/>
    <s v="Life Sciences"/>
    <n v="350"/>
    <n v="1"/>
    <s v="Female"/>
    <n v="62"/>
    <n v="3"/>
    <n v="2"/>
    <s v="Manufacturing Director"/>
    <n v="3"/>
    <s v="Married"/>
    <n v="4898"/>
    <n v="7505"/>
    <n v="0"/>
    <s v="No"/>
    <n v="12"/>
    <n v="3"/>
    <n v="4"/>
    <n v="80"/>
    <n v="2"/>
    <n v="5"/>
    <n v="3"/>
    <n v="3"/>
    <n v="4"/>
    <n v="2"/>
    <n v="1"/>
    <n v="2"/>
    <n v="0"/>
    <n v="1"/>
    <s v="25-34"/>
    <s v="Low"/>
    <s v="0-5 Years"/>
  </r>
  <r>
    <n v="257"/>
    <n v="42"/>
    <x v="1"/>
    <s v="Travel_Rarely"/>
    <n v="269"/>
    <s v="Research &amp; Development"/>
    <n v="2"/>
    <n v="3"/>
    <s v="Medical"/>
    <n v="351"/>
    <n v="4"/>
    <s v="Female"/>
    <n v="56"/>
    <n v="2"/>
    <n v="1"/>
    <s v="Laboratory Technician"/>
    <n v="1"/>
    <s v="Divorced"/>
    <n v="2593"/>
    <n v="8007"/>
    <n v="0"/>
    <s v="Yes"/>
    <n v="11"/>
    <n v="3"/>
    <n v="3"/>
    <n v="80"/>
    <n v="1"/>
    <n v="10"/>
    <n v="4"/>
    <n v="3"/>
    <n v="9"/>
    <n v="6"/>
    <n v="7"/>
    <n v="8"/>
    <n v="0"/>
    <n v="1"/>
    <s v="35-44"/>
    <s v="Low"/>
    <s v="6-10 Years"/>
  </r>
  <r>
    <n v="258"/>
    <n v="40"/>
    <x v="1"/>
    <s v="Travel_Rarely"/>
    <n v="1416"/>
    <s v="Research &amp; Development"/>
    <n v="2"/>
    <n v="2"/>
    <s v="Medical"/>
    <n v="352"/>
    <n v="1"/>
    <s v="Male"/>
    <n v="49"/>
    <n v="3"/>
    <n v="5"/>
    <s v="Research Director"/>
    <n v="3"/>
    <s v="Divorced"/>
    <n v="19436"/>
    <n v="5949"/>
    <n v="0"/>
    <s v="No"/>
    <n v="19"/>
    <n v="3"/>
    <n v="4"/>
    <n v="80"/>
    <n v="1"/>
    <n v="22"/>
    <n v="5"/>
    <n v="3"/>
    <n v="21"/>
    <n v="7"/>
    <n v="3"/>
    <n v="9"/>
    <n v="0"/>
    <n v="1"/>
    <s v="35-44"/>
    <s v="High"/>
    <s v="21+ Years"/>
  </r>
  <r>
    <n v="259"/>
    <n v="51"/>
    <x v="1"/>
    <s v="Travel_Rarely"/>
    <n v="833"/>
    <s v="Research &amp; Development"/>
    <n v="1"/>
    <n v="3"/>
    <s v="Life Sciences"/>
    <n v="353"/>
    <n v="3"/>
    <s v="Male"/>
    <n v="96"/>
    <n v="3"/>
    <n v="1"/>
    <s v="Research Scientist"/>
    <n v="4"/>
    <s v="Married"/>
    <n v="2723"/>
    <n v="23231"/>
    <n v="1"/>
    <s v="No"/>
    <n v="11"/>
    <n v="3"/>
    <n v="2"/>
    <n v="80"/>
    <n v="0"/>
    <n v="1"/>
    <n v="0"/>
    <n v="2"/>
    <n v="1"/>
    <n v="0"/>
    <n v="0"/>
    <n v="0"/>
    <n v="0"/>
    <n v="1"/>
    <s v="45-54"/>
    <s v="Low"/>
    <s v="0-5 Years"/>
  </r>
  <r>
    <n v="260"/>
    <n v="31"/>
    <x v="0"/>
    <s v="Travel_Frequently"/>
    <n v="307"/>
    <s v="Research &amp; Development"/>
    <n v="29"/>
    <n v="2"/>
    <s v="Medical"/>
    <n v="355"/>
    <n v="3"/>
    <s v="Male"/>
    <n v="71"/>
    <n v="2"/>
    <n v="1"/>
    <s v="Laboratory Technician"/>
    <n v="2"/>
    <s v="Single"/>
    <n v="3479"/>
    <n v="11652"/>
    <n v="0"/>
    <s v="No"/>
    <n v="11"/>
    <n v="3"/>
    <n v="2"/>
    <n v="80"/>
    <n v="0"/>
    <n v="6"/>
    <n v="2"/>
    <n v="4"/>
    <n v="5"/>
    <n v="4"/>
    <n v="1"/>
    <n v="4"/>
    <n v="1"/>
    <n v="0"/>
    <s v="25-34"/>
    <s v="Low"/>
    <s v="0-5 Years"/>
  </r>
  <r>
    <n v="261"/>
    <n v="32"/>
    <x v="1"/>
    <s v="Travel_Frequently"/>
    <n v="1311"/>
    <s v="Research &amp; Development"/>
    <n v="7"/>
    <n v="3"/>
    <s v="Life Sciences"/>
    <n v="359"/>
    <n v="2"/>
    <s v="Male"/>
    <n v="100"/>
    <n v="4"/>
    <n v="1"/>
    <s v="Laboratory Technician"/>
    <n v="2"/>
    <s v="Married"/>
    <n v="2794"/>
    <n v="26062"/>
    <n v="1"/>
    <s v="No"/>
    <n v="20"/>
    <n v="4"/>
    <n v="3"/>
    <n v="80"/>
    <n v="0"/>
    <n v="5"/>
    <n v="3"/>
    <n v="1"/>
    <n v="5"/>
    <n v="1"/>
    <n v="0"/>
    <n v="3"/>
    <n v="0"/>
    <n v="1"/>
    <s v="25-34"/>
    <s v="Low"/>
    <s v="0-5 Years"/>
  </r>
  <r>
    <n v="262"/>
    <n v="38"/>
    <x v="1"/>
    <s v="Non-Travel"/>
    <n v="1327"/>
    <s v="Sales"/>
    <n v="2"/>
    <n v="2"/>
    <s v="Life Sciences"/>
    <n v="361"/>
    <n v="4"/>
    <s v="Male"/>
    <n v="39"/>
    <n v="2"/>
    <n v="2"/>
    <s v="Sales Executive"/>
    <n v="4"/>
    <s v="Married"/>
    <n v="5249"/>
    <n v="19682"/>
    <n v="3"/>
    <s v="No"/>
    <n v="18"/>
    <n v="3"/>
    <n v="4"/>
    <n v="80"/>
    <n v="1"/>
    <n v="13"/>
    <n v="0"/>
    <n v="3"/>
    <n v="8"/>
    <n v="7"/>
    <n v="7"/>
    <n v="5"/>
    <n v="0"/>
    <n v="1"/>
    <s v="35-44"/>
    <s v="Medium"/>
    <s v="6-10 Years"/>
  </r>
  <r>
    <n v="263"/>
    <n v="32"/>
    <x v="1"/>
    <s v="Travel_Rarely"/>
    <n v="128"/>
    <s v="Research &amp; Development"/>
    <n v="2"/>
    <n v="1"/>
    <s v="Technical Degree"/>
    <n v="362"/>
    <n v="4"/>
    <s v="Male"/>
    <n v="84"/>
    <n v="2"/>
    <n v="2"/>
    <s v="Laboratory Technician"/>
    <n v="1"/>
    <s v="Single"/>
    <n v="2176"/>
    <n v="19737"/>
    <n v="4"/>
    <s v="No"/>
    <n v="13"/>
    <n v="3"/>
    <n v="4"/>
    <n v="80"/>
    <n v="0"/>
    <n v="9"/>
    <n v="5"/>
    <n v="3"/>
    <n v="6"/>
    <n v="2"/>
    <n v="0"/>
    <n v="4"/>
    <n v="0"/>
    <n v="1"/>
    <s v="25-34"/>
    <s v="Low"/>
    <s v="6-10 Years"/>
  </r>
  <r>
    <n v="264"/>
    <n v="46"/>
    <x v="1"/>
    <s v="Travel_Rarely"/>
    <n v="488"/>
    <s v="Sales"/>
    <n v="2"/>
    <n v="3"/>
    <s v="Technical Degree"/>
    <n v="363"/>
    <n v="3"/>
    <s v="Female"/>
    <n v="75"/>
    <n v="1"/>
    <n v="4"/>
    <s v="Manager"/>
    <n v="2"/>
    <s v="Married"/>
    <n v="16872"/>
    <n v="14977"/>
    <n v="3"/>
    <s v="Yes"/>
    <n v="12"/>
    <n v="3"/>
    <n v="2"/>
    <n v="80"/>
    <n v="1"/>
    <n v="28"/>
    <n v="2"/>
    <n v="2"/>
    <n v="7"/>
    <n v="7"/>
    <n v="7"/>
    <n v="7"/>
    <n v="0"/>
    <n v="1"/>
    <s v="45-54"/>
    <s v="High"/>
    <s v="6-10 Years"/>
  </r>
  <r>
    <n v="265"/>
    <n v="28"/>
    <x v="0"/>
    <s v="Travel_Rarely"/>
    <n v="529"/>
    <s v="Research &amp; Development"/>
    <n v="2"/>
    <n v="4"/>
    <s v="Life Sciences"/>
    <n v="364"/>
    <n v="1"/>
    <s v="Male"/>
    <n v="79"/>
    <n v="3"/>
    <n v="1"/>
    <s v="Laboratory Technician"/>
    <n v="3"/>
    <s v="Single"/>
    <n v="3485"/>
    <n v="14935"/>
    <n v="2"/>
    <s v="No"/>
    <n v="11"/>
    <n v="3"/>
    <n v="3"/>
    <n v="80"/>
    <n v="0"/>
    <n v="5"/>
    <n v="5"/>
    <n v="1"/>
    <n v="0"/>
    <n v="0"/>
    <n v="0"/>
    <n v="0"/>
    <n v="1"/>
    <n v="0"/>
    <s v="25-34"/>
    <s v="Low"/>
    <s v="0-5 Years"/>
  </r>
  <r>
    <n v="266"/>
    <n v="29"/>
    <x v="1"/>
    <s v="Travel_Rarely"/>
    <n v="1210"/>
    <s v="Sales"/>
    <n v="2"/>
    <n v="3"/>
    <s v="Medical"/>
    <n v="366"/>
    <n v="1"/>
    <s v="Male"/>
    <n v="78"/>
    <n v="2"/>
    <n v="2"/>
    <s v="Sales Executive"/>
    <n v="2"/>
    <s v="Married"/>
    <n v="6644"/>
    <n v="3687"/>
    <n v="2"/>
    <s v="No"/>
    <n v="19"/>
    <n v="3"/>
    <n v="2"/>
    <n v="80"/>
    <n v="2"/>
    <n v="10"/>
    <n v="2"/>
    <n v="3"/>
    <n v="0"/>
    <n v="0"/>
    <n v="0"/>
    <n v="0"/>
    <n v="0"/>
    <n v="1"/>
    <s v="25-34"/>
    <s v="Medium"/>
    <s v="0-5 Years"/>
  </r>
  <r>
    <n v="267"/>
    <n v="31"/>
    <x v="1"/>
    <s v="Travel_Rarely"/>
    <n v="1463"/>
    <s v="Research &amp; Development"/>
    <n v="23"/>
    <n v="3"/>
    <s v="Medical"/>
    <n v="367"/>
    <n v="2"/>
    <s v="Male"/>
    <n v="64"/>
    <n v="2"/>
    <n v="2"/>
    <s v="Healthcare Representative"/>
    <n v="4"/>
    <s v="Married"/>
    <n v="5582"/>
    <n v="14408"/>
    <n v="0"/>
    <s v="No"/>
    <n v="21"/>
    <n v="4"/>
    <n v="2"/>
    <n v="80"/>
    <n v="1"/>
    <n v="10"/>
    <n v="2"/>
    <n v="3"/>
    <n v="9"/>
    <n v="0"/>
    <n v="7"/>
    <n v="8"/>
    <n v="0"/>
    <n v="1"/>
    <s v="25-34"/>
    <s v="Medium"/>
    <s v="6-10 Years"/>
  </r>
  <r>
    <n v="268"/>
    <n v="25"/>
    <x v="1"/>
    <s v="Non-Travel"/>
    <n v="675"/>
    <s v="Research &amp; Development"/>
    <n v="5"/>
    <n v="2"/>
    <s v="Life Sciences"/>
    <n v="369"/>
    <n v="2"/>
    <s v="Male"/>
    <n v="85"/>
    <n v="4"/>
    <n v="2"/>
    <s v="Healthcare Representative"/>
    <n v="1"/>
    <s v="Divorced"/>
    <n v="4000"/>
    <n v="18384"/>
    <n v="1"/>
    <s v="No"/>
    <n v="12"/>
    <n v="3"/>
    <n v="4"/>
    <n v="80"/>
    <n v="2"/>
    <n v="6"/>
    <n v="2"/>
    <n v="3"/>
    <n v="6"/>
    <n v="3"/>
    <n v="1"/>
    <n v="5"/>
    <n v="0"/>
    <n v="1"/>
    <s v="25-34"/>
    <s v="Low"/>
    <s v="6-10 Years"/>
  </r>
  <r>
    <n v="269"/>
    <n v="45"/>
    <x v="1"/>
    <s v="Travel_Rarely"/>
    <n v="1385"/>
    <s v="Research &amp; Development"/>
    <n v="20"/>
    <n v="2"/>
    <s v="Medical"/>
    <n v="372"/>
    <n v="3"/>
    <s v="Male"/>
    <n v="79"/>
    <n v="3"/>
    <n v="4"/>
    <s v="Healthcare Representative"/>
    <n v="4"/>
    <s v="Married"/>
    <n v="13496"/>
    <n v="7501"/>
    <n v="0"/>
    <s v="Yes"/>
    <n v="14"/>
    <n v="3"/>
    <n v="2"/>
    <n v="80"/>
    <n v="0"/>
    <n v="21"/>
    <n v="2"/>
    <n v="3"/>
    <n v="20"/>
    <n v="7"/>
    <n v="4"/>
    <n v="10"/>
    <n v="0"/>
    <n v="1"/>
    <s v="45-54"/>
    <s v="Upper Medium"/>
    <s v="11-20 Years"/>
  </r>
  <r>
    <n v="270"/>
    <n v="36"/>
    <x v="1"/>
    <s v="Travel_Rarely"/>
    <n v="1403"/>
    <s v="Research &amp; Development"/>
    <n v="6"/>
    <n v="3"/>
    <s v="Life Sciences"/>
    <n v="373"/>
    <n v="4"/>
    <s v="Male"/>
    <n v="47"/>
    <n v="3"/>
    <n v="1"/>
    <s v="Laboratory Technician"/>
    <n v="4"/>
    <s v="Married"/>
    <n v="3210"/>
    <n v="20251"/>
    <n v="0"/>
    <s v="No"/>
    <n v="11"/>
    <n v="3"/>
    <n v="3"/>
    <n v="80"/>
    <n v="1"/>
    <n v="16"/>
    <n v="4"/>
    <n v="3"/>
    <n v="15"/>
    <n v="13"/>
    <n v="10"/>
    <n v="11"/>
    <n v="0"/>
    <n v="1"/>
    <s v="35-44"/>
    <s v="Low"/>
    <s v="11-20 Years"/>
  </r>
  <r>
    <n v="271"/>
    <n v="55"/>
    <x v="1"/>
    <s v="Travel_Rarely"/>
    <n v="452"/>
    <s v="Research &amp; Development"/>
    <n v="1"/>
    <n v="3"/>
    <s v="Medical"/>
    <n v="374"/>
    <n v="4"/>
    <s v="Male"/>
    <n v="81"/>
    <n v="3"/>
    <n v="5"/>
    <s v="Manager"/>
    <n v="1"/>
    <s v="Single"/>
    <n v="19045"/>
    <n v="18938"/>
    <n v="0"/>
    <s v="Yes"/>
    <n v="14"/>
    <n v="3"/>
    <n v="3"/>
    <n v="80"/>
    <n v="0"/>
    <n v="37"/>
    <n v="2"/>
    <n v="3"/>
    <n v="36"/>
    <n v="10"/>
    <n v="4"/>
    <n v="13"/>
    <n v="0"/>
    <n v="1"/>
    <s v="55+"/>
    <s v="High"/>
    <s v="21+ Years"/>
  </r>
  <r>
    <n v="272"/>
    <n v="47"/>
    <x v="0"/>
    <s v="Non-Travel"/>
    <n v="666"/>
    <s v="Research &amp; Development"/>
    <n v="29"/>
    <n v="4"/>
    <s v="Life Sciences"/>
    <n v="376"/>
    <n v="1"/>
    <s v="Male"/>
    <n v="88"/>
    <n v="3"/>
    <n v="3"/>
    <s v="Manager"/>
    <n v="2"/>
    <s v="Married"/>
    <n v="11849"/>
    <n v="10268"/>
    <n v="1"/>
    <s v="Yes"/>
    <n v="12"/>
    <n v="3"/>
    <n v="4"/>
    <n v="80"/>
    <n v="1"/>
    <n v="10"/>
    <n v="2"/>
    <n v="2"/>
    <n v="10"/>
    <n v="7"/>
    <n v="9"/>
    <n v="9"/>
    <n v="1"/>
    <n v="0"/>
    <s v="45-54"/>
    <s v="Upper Medium"/>
    <s v="6-10 Years"/>
  </r>
  <r>
    <n v="273"/>
    <n v="28"/>
    <x v="1"/>
    <s v="Travel_Rarely"/>
    <n v="1158"/>
    <s v="Research &amp; Development"/>
    <n v="9"/>
    <n v="3"/>
    <s v="Medical"/>
    <n v="377"/>
    <n v="4"/>
    <s v="Male"/>
    <n v="94"/>
    <n v="3"/>
    <n v="1"/>
    <s v="Research Scientist"/>
    <n v="4"/>
    <s v="Married"/>
    <n v="2070"/>
    <n v="2613"/>
    <n v="1"/>
    <s v="No"/>
    <n v="23"/>
    <n v="4"/>
    <n v="4"/>
    <n v="80"/>
    <n v="1"/>
    <n v="5"/>
    <n v="3"/>
    <n v="2"/>
    <n v="5"/>
    <n v="2"/>
    <n v="0"/>
    <n v="4"/>
    <n v="0"/>
    <n v="1"/>
    <s v="25-34"/>
    <s v="Low"/>
    <s v="0-5 Years"/>
  </r>
  <r>
    <n v="274"/>
    <n v="37"/>
    <x v="1"/>
    <s v="Travel_Rarely"/>
    <n v="228"/>
    <s v="Sales"/>
    <n v="6"/>
    <n v="4"/>
    <s v="Medical"/>
    <n v="378"/>
    <n v="3"/>
    <s v="Male"/>
    <n v="98"/>
    <n v="3"/>
    <n v="2"/>
    <s v="Sales Executive"/>
    <n v="4"/>
    <s v="Married"/>
    <n v="6502"/>
    <n v="22825"/>
    <n v="4"/>
    <s v="No"/>
    <n v="14"/>
    <n v="3"/>
    <n v="2"/>
    <n v="80"/>
    <n v="1"/>
    <n v="7"/>
    <n v="5"/>
    <n v="4"/>
    <n v="5"/>
    <n v="4"/>
    <n v="0"/>
    <n v="1"/>
    <n v="0"/>
    <n v="1"/>
    <s v="35-44"/>
    <s v="Medium"/>
    <s v="0-5 Years"/>
  </r>
  <r>
    <n v="275"/>
    <n v="21"/>
    <x v="1"/>
    <s v="Travel_Rarely"/>
    <n v="996"/>
    <s v="Research &amp; Development"/>
    <n v="3"/>
    <n v="2"/>
    <s v="Medical"/>
    <n v="379"/>
    <n v="4"/>
    <s v="Male"/>
    <n v="100"/>
    <n v="2"/>
    <n v="1"/>
    <s v="Research Scientist"/>
    <n v="3"/>
    <s v="Single"/>
    <n v="3230"/>
    <n v="10531"/>
    <n v="1"/>
    <s v="No"/>
    <n v="17"/>
    <n v="3"/>
    <n v="1"/>
    <n v="80"/>
    <n v="0"/>
    <n v="3"/>
    <n v="4"/>
    <n v="4"/>
    <n v="3"/>
    <n v="2"/>
    <n v="1"/>
    <n v="0"/>
    <n v="0"/>
    <n v="1"/>
    <s v="Under 25"/>
    <s v="Low"/>
    <s v="0-5 Years"/>
  </r>
  <r>
    <n v="276"/>
    <n v="37"/>
    <x v="1"/>
    <s v="Non-Travel"/>
    <n v="728"/>
    <s v="Research &amp; Development"/>
    <n v="1"/>
    <n v="4"/>
    <s v="Medical"/>
    <n v="380"/>
    <n v="1"/>
    <s v="Female"/>
    <n v="80"/>
    <n v="3"/>
    <n v="3"/>
    <s v="Research Director"/>
    <n v="4"/>
    <s v="Divorced"/>
    <n v="13603"/>
    <n v="11677"/>
    <n v="2"/>
    <s v="Yes"/>
    <n v="18"/>
    <n v="3"/>
    <n v="1"/>
    <n v="80"/>
    <n v="2"/>
    <n v="15"/>
    <n v="2"/>
    <n v="3"/>
    <n v="5"/>
    <n v="2"/>
    <n v="0"/>
    <n v="2"/>
    <n v="0"/>
    <n v="1"/>
    <s v="35-44"/>
    <s v="Upper Medium"/>
    <s v="0-5 Years"/>
  </r>
  <r>
    <n v="277"/>
    <n v="35"/>
    <x v="1"/>
    <s v="Travel_Rarely"/>
    <n v="1315"/>
    <s v="Research &amp; Development"/>
    <n v="22"/>
    <n v="3"/>
    <s v="Life Sciences"/>
    <n v="381"/>
    <n v="2"/>
    <s v="Female"/>
    <n v="71"/>
    <n v="4"/>
    <n v="3"/>
    <s v="Manager"/>
    <n v="2"/>
    <s v="Divorced"/>
    <n v="11996"/>
    <n v="19100"/>
    <n v="7"/>
    <s v="No"/>
    <n v="18"/>
    <n v="3"/>
    <n v="2"/>
    <n v="80"/>
    <n v="1"/>
    <n v="10"/>
    <n v="6"/>
    <n v="2"/>
    <n v="7"/>
    <n v="7"/>
    <n v="6"/>
    <n v="2"/>
    <n v="0"/>
    <n v="1"/>
    <s v="35-44"/>
    <s v="Upper Medium"/>
    <s v="6-10 Years"/>
  </r>
  <r>
    <n v="278"/>
    <n v="38"/>
    <x v="1"/>
    <s v="Travel_Rarely"/>
    <n v="322"/>
    <s v="Sales"/>
    <n v="7"/>
    <n v="2"/>
    <s v="Medical"/>
    <n v="382"/>
    <n v="1"/>
    <s v="Female"/>
    <n v="44"/>
    <n v="4"/>
    <n v="2"/>
    <s v="Sales Executive"/>
    <n v="1"/>
    <s v="Divorced"/>
    <n v="5605"/>
    <n v="19191"/>
    <n v="1"/>
    <s v="Yes"/>
    <n v="24"/>
    <n v="4"/>
    <n v="3"/>
    <n v="80"/>
    <n v="1"/>
    <n v="8"/>
    <n v="3"/>
    <n v="3"/>
    <n v="8"/>
    <n v="0"/>
    <n v="7"/>
    <n v="7"/>
    <n v="0"/>
    <n v="1"/>
    <s v="35-44"/>
    <s v="Medium"/>
    <s v="6-10 Years"/>
  </r>
  <r>
    <n v="279"/>
    <n v="26"/>
    <x v="1"/>
    <s v="Travel_Frequently"/>
    <n v="1479"/>
    <s v="Research &amp; Development"/>
    <n v="1"/>
    <n v="3"/>
    <s v="Life Sciences"/>
    <n v="384"/>
    <n v="3"/>
    <s v="Female"/>
    <n v="84"/>
    <n v="3"/>
    <n v="2"/>
    <s v="Manufacturing Director"/>
    <n v="2"/>
    <s v="Divorced"/>
    <n v="6397"/>
    <n v="26767"/>
    <n v="1"/>
    <s v="No"/>
    <n v="20"/>
    <n v="4"/>
    <n v="1"/>
    <n v="80"/>
    <n v="1"/>
    <n v="6"/>
    <n v="6"/>
    <n v="1"/>
    <n v="6"/>
    <n v="5"/>
    <n v="1"/>
    <n v="4"/>
    <n v="0"/>
    <n v="1"/>
    <s v="25-34"/>
    <s v="Medium"/>
    <s v="6-10 Years"/>
  </r>
  <r>
    <n v="280"/>
    <n v="50"/>
    <x v="1"/>
    <s v="Travel_Rarely"/>
    <n v="797"/>
    <s v="Research &amp; Development"/>
    <n v="4"/>
    <n v="1"/>
    <s v="Life Sciences"/>
    <n v="385"/>
    <n v="1"/>
    <s v="Male"/>
    <n v="96"/>
    <n v="3"/>
    <n v="5"/>
    <s v="Research Director"/>
    <n v="2"/>
    <s v="Divorced"/>
    <n v="19144"/>
    <n v="15815"/>
    <n v="3"/>
    <s v="No"/>
    <n v="14"/>
    <n v="3"/>
    <n v="1"/>
    <n v="80"/>
    <n v="2"/>
    <n v="28"/>
    <n v="4"/>
    <n v="2"/>
    <n v="10"/>
    <n v="4"/>
    <n v="1"/>
    <n v="6"/>
    <n v="0"/>
    <n v="1"/>
    <s v="45-54"/>
    <s v="High"/>
    <s v="6-10 Years"/>
  </r>
  <r>
    <n v="281"/>
    <n v="53"/>
    <x v="1"/>
    <s v="Travel_Rarely"/>
    <n v="1070"/>
    <s v="Research &amp; Development"/>
    <n v="3"/>
    <n v="4"/>
    <s v="Medical"/>
    <n v="386"/>
    <n v="3"/>
    <s v="Male"/>
    <n v="45"/>
    <n v="3"/>
    <n v="4"/>
    <s v="Research Director"/>
    <n v="3"/>
    <s v="Married"/>
    <n v="17584"/>
    <n v="21016"/>
    <n v="3"/>
    <s v="Yes"/>
    <n v="16"/>
    <n v="3"/>
    <n v="4"/>
    <n v="80"/>
    <n v="3"/>
    <n v="21"/>
    <n v="5"/>
    <n v="2"/>
    <n v="5"/>
    <n v="3"/>
    <n v="1"/>
    <n v="3"/>
    <n v="0"/>
    <n v="1"/>
    <s v="45-54"/>
    <s v="High"/>
    <s v="0-5 Years"/>
  </r>
  <r>
    <n v="282"/>
    <n v="42"/>
    <x v="1"/>
    <s v="Travel_Rarely"/>
    <n v="635"/>
    <s v="Sales"/>
    <n v="1"/>
    <n v="1"/>
    <s v="Life Sciences"/>
    <n v="387"/>
    <n v="2"/>
    <s v="Male"/>
    <n v="99"/>
    <n v="3"/>
    <n v="2"/>
    <s v="Sales Executive"/>
    <n v="3"/>
    <s v="Married"/>
    <n v="4907"/>
    <n v="24532"/>
    <n v="1"/>
    <s v="No"/>
    <n v="25"/>
    <n v="4"/>
    <n v="3"/>
    <n v="80"/>
    <n v="0"/>
    <n v="20"/>
    <n v="3"/>
    <n v="3"/>
    <n v="20"/>
    <n v="16"/>
    <n v="11"/>
    <n v="6"/>
    <n v="0"/>
    <n v="1"/>
    <s v="35-44"/>
    <s v="Low"/>
    <s v="11-20 Years"/>
  </r>
  <r>
    <n v="283"/>
    <n v="29"/>
    <x v="1"/>
    <s v="Travel_Frequently"/>
    <n v="442"/>
    <s v="Sales"/>
    <n v="2"/>
    <n v="2"/>
    <s v="Life Sciences"/>
    <n v="388"/>
    <n v="2"/>
    <s v="Male"/>
    <n v="44"/>
    <n v="3"/>
    <n v="2"/>
    <s v="Sales Executive"/>
    <n v="4"/>
    <s v="Single"/>
    <n v="4554"/>
    <n v="20260"/>
    <n v="1"/>
    <s v="No"/>
    <n v="18"/>
    <n v="3"/>
    <n v="1"/>
    <n v="80"/>
    <n v="0"/>
    <n v="10"/>
    <n v="3"/>
    <n v="2"/>
    <n v="10"/>
    <n v="7"/>
    <n v="0"/>
    <n v="9"/>
    <n v="0"/>
    <n v="1"/>
    <s v="25-34"/>
    <s v="Low"/>
    <s v="6-10 Years"/>
  </r>
  <r>
    <n v="284"/>
    <n v="55"/>
    <x v="1"/>
    <s v="Travel_Rarely"/>
    <n v="147"/>
    <s v="Research &amp; Development"/>
    <n v="20"/>
    <n v="2"/>
    <s v="Technical Degree"/>
    <n v="389"/>
    <n v="2"/>
    <s v="Male"/>
    <n v="37"/>
    <n v="3"/>
    <n v="2"/>
    <s v="Laboratory Technician"/>
    <n v="4"/>
    <s v="Married"/>
    <n v="5415"/>
    <n v="15972"/>
    <n v="3"/>
    <s v="Yes"/>
    <n v="19"/>
    <n v="3"/>
    <n v="4"/>
    <n v="80"/>
    <n v="1"/>
    <n v="12"/>
    <n v="4"/>
    <n v="3"/>
    <n v="10"/>
    <n v="7"/>
    <n v="0"/>
    <n v="8"/>
    <n v="0"/>
    <n v="1"/>
    <s v="55+"/>
    <s v="Medium"/>
    <s v="6-10 Years"/>
  </r>
  <r>
    <n v="285"/>
    <n v="26"/>
    <x v="1"/>
    <s v="Travel_Frequently"/>
    <n v="496"/>
    <s v="Research &amp; Development"/>
    <n v="11"/>
    <n v="2"/>
    <s v="Medical"/>
    <n v="390"/>
    <n v="1"/>
    <s v="Male"/>
    <n v="60"/>
    <n v="3"/>
    <n v="2"/>
    <s v="Healthcare Representative"/>
    <n v="1"/>
    <s v="Married"/>
    <n v="4741"/>
    <n v="22722"/>
    <n v="1"/>
    <s v="Yes"/>
    <n v="13"/>
    <n v="3"/>
    <n v="3"/>
    <n v="80"/>
    <n v="1"/>
    <n v="5"/>
    <n v="3"/>
    <n v="3"/>
    <n v="5"/>
    <n v="3"/>
    <n v="3"/>
    <n v="3"/>
    <n v="0"/>
    <n v="1"/>
    <s v="25-34"/>
    <s v="Low"/>
    <s v="0-5 Years"/>
  </r>
  <r>
    <n v="286"/>
    <n v="37"/>
    <x v="1"/>
    <s v="Travel_Rarely"/>
    <n v="1372"/>
    <s v="Research &amp; Development"/>
    <n v="1"/>
    <n v="3"/>
    <s v="Life Sciences"/>
    <n v="391"/>
    <n v="4"/>
    <s v="Female"/>
    <n v="42"/>
    <n v="3"/>
    <n v="1"/>
    <s v="Research Scientist"/>
    <n v="4"/>
    <s v="Single"/>
    <n v="2115"/>
    <n v="15881"/>
    <n v="1"/>
    <s v="No"/>
    <n v="12"/>
    <n v="3"/>
    <n v="2"/>
    <n v="80"/>
    <n v="0"/>
    <n v="17"/>
    <n v="3"/>
    <n v="3"/>
    <n v="17"/>
    <n v="12"/>
    <n v="5"/>
    <n v="7"/>
    <n v="0"/>
    <n v="1"/>
    <s v="35-44"/>
    <s v="Low"/>
    <s v="11-20 Years"/>
  </r>
  <r>
    <n v="287"/>
    <n v="44"/>
    <x v="0"/>
    <s v="Travel_Frequently"/>
    <n v="920"/>
    <s v="Research &amp; Development"/>
    <n v="24"/>
    <n v="3"/>
    <s v="Life Sciences"/>
    <n v="392"/>
    <n v="4"/>
    <s v="Male"/>
    <n v="43"/>
    <n v="3"/>
    <n v="1"/>
    <s v="Laboratory Technician"/>
    <n v="3"/>
    <s v="Divorced"/>
    <n v="3161"/>
    <n v="19920"/>
    <n v="3"/>
    <s v="Yes"/>
    <n v="22"/>
    <n v="4"/>
    <n v="4"/>
    <n v="80"/>
    <n v="1"/>
    <n v="19"/>
    <n v="0"/>
    <n v="1"/>
    <n v="1"/>
    <n v="0"/>
    <n v="0"/>
    <n v="0"/>
    <n v="1"/>
    <n v="0"/>
    <s v="35-44"/>
    <s v="Low"/>
    <s v="0-5 Years"/>
  </r>
  <r>
    <n v="288"/>
    <n v="38"/>
    <x v="1"/>
    <s v="Travel_Rarely"/>
    <n v="688"/>
    <s v="Research &amp; Development"/>
    <n v="23"/>
    <n v="4"/>
    <s v="Life Sciences"/>
    <n v="393"/>
    <n v="4"/>
    <s v="Male"/>
    <n v="82"/>
    <n v="3"/>
    <n v="2"/>
    <s v="Healthcare Representative"/>
    <n v="4"/>
    <s v="Divorced"/>
    <n v="5745"/>
    <n v="18899"/>
    <n v="9"/>
    <s v="No"/>
    <n v="14"/>
    <n v="3"/>
    <n v="2"/>
    <n v="80"/>
    <n v="1"/>
    <n v="10"/>
    <n v="2"/>
    <n v="3"/>
    <n v="2"/>
    <n v="2"/>
    <n v="1"/>
    <n v="2"/>
    <n v="0"/>
    <n v="1"/>
    <s v="35-44"/>
    <s v="Medium"/>
    <s v="0-5 Years"/>
  </r>
  <r>
    <n v="289"/>
    <n v="26"/>
    <x v="0"/>
    <s v="Travel_Rarely"/>
    <n v="1449"/>
    <s v="Research &amp; Development"/>
    <n v="16"/>
    <n v="4"/>
    <s v="Medical"/>
    <n v="394"/>
    <n v="1"/>
    <s v="Male"/>
    <n v="45"/>
    <n v="3"/>
    <n v="1"/>
    <s v="Laboratory Technician"/>
    <n v="2"/>
    <s v="Divorced"/>
    <n v="2373"/>
    <n v="14180"/>
    <n v="2"/>
    <s v="Yes"/>
    <n v="13"/>
    <n v="3"/>
    <n v="4"/>
    <n v="80"/>
    <n v="1"/>
    <n v="5"/>
    <n v="2"/>
    <n v="3"/>
    <n v="3"/>
    <n v="2"/>
    <n v="0"/>
    <n v="2"/>
    <n v="1"/>
    <n v="0"/>
    <s v="25-34"/>
    <s v="Low"/>
    <s v="0-5 Years"/>
  </r>
  <r>
    <n v="290"/>
    <n v="28"/>
    <x v="1"/>
    <s v="Travel_Rarely"/>
    <n v="1117"/>
    <s v="Research &amp; Development"/>
    <n v="8"/>
    <n v="2"/>
    <s v="Life Sciences"/>
    <n v="395"/>
    <n v="4"/>
    <s v="Female"/>
    <n v="66"/>
    <n v="3"/>
    <n v="1"/>
    <s v="Research Scientist"/>
    <n v="4"/>
    <s v="Single"/>
    <n v="3310"/>
    <n v="4488"/>
    <n v="1"/>
    <s v="No"/>
    <n v="21"/>
    <n v="4"/>
    <n v="4"/>
    <n v="80"/>
    <n v="0"/>
    <n v="5"/>
    <n v="3"/>
    <n v="3"/>
    <n v="5"/>
    <n v="3"/>
    <n v="0"/>
    <n v="2"/>
    <n v="0"/>
    <n v="1"/>
    <s v="25-34"/>
    <s v="Low"/>
    <s v="0-5 Years"/>
  </r>
  <r>
    <n v="291"/>
    <n v="49"/>
    <x v="1"/>
    <s v="Travel_Frequently"/>
    <n v="636"/>
    <s v="Research &amp; Development"/>
    <n v="10"/>
    <n v="4"/>
    <s v="Life Sciences"/>
    <n v="396"/>
    <n v="3"/>
    <s v="Female"/>
    <n v="35"/>
    <n v="3"/>
    <n v="5"/>
    <s v="Research Director"/>
    <n v="1"/>
    <s v="Single"/>
    <n v="18665"/>
    <n v="25594"/>
    <n v="9"/>
    <s v="Yes"/>
    <n v="11"/>
    <n v="3"/>
    <n v="4"/>
    <n v="80"/>
    <n v="0"/>
    <n v="22"/>
    <n v="4"/>
    <n v="3"/>
    <n v="3"/>
    <n v="2"/>
    <n v="1"/>
    <n v="2"/>
    <n v="0"/>
    <n v="1"/>
    <s v="45-54"/>
    <s v="High"/>
    <s v="0-5 Years"/>
  </r>
  <r>
    <n v="292"/>
    <n v="36"/>
    <x v="1"/>
    <s v="Travel_Rarely"/>
    <n v="506"/>
    <s v="Research &amp; Development"/>
    <n v="3"/>
    <n v="3"/>
    <s v="Technical Degree"/>
    <n v="397"/>
    <n v="3"/>
    <s v="Male"/>
    <n v="30"/>
    <n v="3"/>
    <n v="2"/>
    <s v="Research Scientist"/>
    <n v="2"/>
    <s v="Single"/>
    <n v="4485"/>
    <n v="26285"/>
    <n v="4"/>
    <s v="No"/>
    <n v="12"/>
    <n v="3"/>
    <n v="4"/>
    <n v="80"/>
    <n v="0"/>
    <n v="10"/>
    <n v="2"/>
    <n v="3"/>
    <n v="8"/>
    <n v="0"/>
    <n v="7"/>
    <n v="7"/>
    <n v="0"/>
    <n v="1"/>
    <s v="35-44"/>
    <s v="Low"/>
    <s v="6-10 Years"/>
  </r>
  <r>
    <n v="293"/>
    <n v="31"/>
    <x v="1"/>
    <s v="Travel_Frequently"/>
    <n v="444"/>
    <s v="Sales"/>
    <n v="5"/>
    <n v="3"/>
    <s v="Marketing"/>
    <n v="399"/>
    <n v="4"/>
    <s v="Female"/>
    <n v="84"/>
    <n v="3"/>
    <n v="1"/>
    <s v="Sales Representative"/>
    <n v="2"/>
    <s v="Divorced"/>
    <n v="2789"/>
    <n v="3909"/>
    <n v="1"/>
    <s v="No"/>
    <n v="11"/>
    <n v="3"/>
    <n v="3"/>
    <n v="80"/>
    <n v="1"/>
    <n v="2"/>
    <n v="5"/>
    <n v="2"/>
    <n v="2"/>
    <n v="2"/>
    <n v="2"/>
    <n v="2"/>
    <n v="0"/>
    <n v="1"/>
    <s v="25-34"/>
    <s v="Low"/>
    <s v="0-5 Years"/>
  </r>
  <r>
    <n v="294"/>
    <n v="26"/>
    <x v="0"/>
    <s v="Travel_Rarely"/>
    <n v="950"/>
    <s v="Sales"/>
    <n v="4"/>
    <n v="4"/>
    <s v="Marketing"/>
    <n v="401"/>
    <n v="4"/>
    <s v="Male"/>
    <n v="48"/>
    <n v="2"/>
    <n v="2"/>
    <s v="Sales Executive"/>
    <n v="4"/>
    <s v="Single"/>
    <n v="5828"/>
    <n v="8450"/>
    <n v="1"/>
    <s v="Yes"/>
    <n v="12"/>
    <n v="3"/>
    <n v="2"/>
    <n v="80"/>
    <n v="0"/>
    <n v="8"/>
    <n v="0"/>
    <n v="3"/>
    <n v="8"/>
    <n v="7"/>
    <n v="7"/>
    <n v="4"/>
    <n v="1"/>
    <n v="0"/>
    <s v="25-34"/>
    <s v="Medium"/>
    <s v="6-10 Years"/>
  </r>
  <r>
    <n v="295"/>
    <n v="37"/>
    <x v="1"/>
    <s v="Travel_Frequently"/>
    <n v="889"/>
    <s v="Research &amp; Development"/>
    <n v="9"/>
    <n v="3"/>
    <s v="Medical"/>
    <n v="403"/>
    <n v="2"/>
    <s v="Male"/>
    <n v="53"/>
    <n v="3"/>
    <n v="1"/>
    <s v="Research Scientist"/>
    <n v="4"/>
    <s v="Married"/>
    <n v="2326"/>
    <n v="11411"/>
    <n v="1"/>
    <s v="Yes"/>
    <n v="12"/>
    <n v="3"/>
    <n v="3"/>
    <n v="80"/>
    <n v="3"/>
    <n v="4"/>
    <n v="3"/>
    <n v="2"/>
    <n v="4"/>
    <n v="2"/>
    <n v="1"/>
    <n v="2"/>
    <n v="0"/>
    <n v="1"/>
    <s v="35-44"/>
    <s v="Low"/>
    <s v="0-5 Years"/>
  </r>
  <r>
    <n v="296"/>
    <n v="42"/>
    <x v="1"/>
    <s v="Travel_Frequently"/>
    <n v="555"/>
    <s v="Sales"/>
    <n v="26"/>
    <n v="3"/>
    <s v="Marketing"/>
    <n v="404"/>
    <n v="3"/>
    <s v="Female"/>
    <n v="77"/>
    <n v="3"/>
    <n v="4"/>
    <s v="Sales Executive"/>
    <n v="2"/>
    <s v="Married"/>
    <n v="13525"/>
    <n v="14864"/>
    <n v="5"/>
    <s v="No"/>
    <n v="14"/>
    <n v="3"/>
    <n v="4"/>
    <n v="80"/>
    <n v="1"/>
    <n v="23"/>
    <n v="2"/>
    <n v="4"/>
    <n v="20"/>
    <n v="4"/>
    <n v="4"/>
    <n v="8"/>
    <n v="0"/>
    <n v="1"/>
    <s v="35-44"/>
    <s v="Upper Medium"/>
    <s v="11-20 Years"/>
  </r>
  <r>
    <n v="297"/>
    <n v="18"/>
    <x v="0"/>
    <s v="Travel_Rarely"/>
    <n v="230"/>
    <s v="Research &amp; Development"/>
    <n v="3"/>
    <n v="3"/>
    <s v="Life Sciences"/>
    <n v="405"/>
    <n v="3"/>
    <s v="Male"/>
    <n v="54"/>
    <n v="3"/>
    <n v="1"/>
    <s v="Laboratory Technician"/>
    <n v="3"/>
    <s v="Single"/>
    <n v="1420"/>
    <n v="25233"/>
    <n v="1"/>
    <s v="No"/>
    <n v="13"/>
    <n v="3"/>
    <n v="3"/>
    <n v="80"/>
    <n v="0"/>
    <n v="0"/>
    <n v="2"/>
    <n v="3"/>
    <n v="0"/>
    <n v="0"/>
    <n v="0"/>
    <n v="0"/>
    <n v="1"/>
    <n v="0"/>
    <s v="Under 25"/>
    <s v="Low"/>
    <s v="0-5 Years"/>
  </r>
  <r>
    <n v="298"/>
    <n v="35"/>
    <x v="1"/>
    <s v="Travel_Rarely"/>
    <n v="1232"/>
    <s v="Sales"/>
    <n v="16"/>
    <n v="3"/>
    <s v="Marketing"/>
    <n v="406"/>
    <n v="3"/>
    <s v="Male"/>
    <n v="96"/>
    <n v="3"/>
    <n v="3"/>
    <s v="Sales Executive"/>
    <n v="2"/>
    <s v="Married"/>
    <n v="8020"/>
    <n v="5100"/>
    <n v="0"/>
    <s v="No"/>
    <n v="15"/>
    <n v="3"/>
    <n v="3"/>
    <n v="80"/>
    <n v="2"/>
    <n v="12"/>
    <n v="3"/>
    <n v="2"/>
    <n v="11"/>
    <n v="9"/>
    <n v="6"/>
    <n v="9"/>
    <n v="0"/>
    <n v="1"/>
    <s v="35-44"/>
    <s v="Medium"/>
    <s v="11-20 Years"/>
  </r>
  <r>
    <n v="299"/>
    <n v="36"/>
    <x v="1"/>
    <s v="Travel_Frequently"/>
    <n v="566"/>
    <s v="Research &amp; Development"/>
    <n v="18"/>
    <n v="4"/>
    <s v="Life Sciences"/>
    <n v="407"/>
    <n v="3"/>
    <s v="Male"/>
    <n v="81"/>
    <n v="4"/>
    <n v="1"/>
    <s v="Laboratory Technician"/>
    <n v="4"/>
    <s v="Married"/>
    <n v="3688"/>
    <n v="7122"/>
    <n v="4"/>
    <s v="No"/>
    <n v="18"/>
    <n v="3"/>
    <n v="4"/>
    <n v="80"/>
    <n v="2"/>
    <n v="4"/>
    <n v="2"/>
    <n v="3"/>
    <n v="1"/>
    <n v="0"/>
    <n v="0"/>
    <n v="0"/>
    <n v="0"/>
    <n v="1"/>
    <s v="35-44"/>
    <s v="Low"/>
    <s v="0-5 Years"/>
  </r>
  <r>
    <n v="300"/>
    <n v="51"/>
    <x v="1"/>
    <s v="Travel_Rarely"/>
    <n v="1302"/>
    <s v="Research &amp; Development"/>
    <n v="2"/>
    <n v="3"/>
    <s v="Medical"/>
    <n v="408"/>
    <n v="4"/>
    <s v="Male"/>
    <n v="84"/>
    <n v="1"/>
    <n v="2"/>
    <s v="Manufacturing Director"/>
    <n v="2"/>
    <s v="Divorced"/>
    <n v="5482"/>
    <n v="16321"/>
    <n v="5"/>
    <s v="No"/>
    <n v="18"/>
    <n v="3"/>
    <n v="4"/>
    <n v="80"/>
    <n v="1"/>
    <n v="13"/>
    <n v="3"/>
    <n v="3"/>
    <n v="4"/>
    <n v="1"/>
    <n v="1"/>
    <n v="2"/>
    <n v="0"/>
    <n v="1"/>
    <s v="45-54"/>
    <s v="Medium"/>
    <s v="0-5 Years"/>
  </r>
  <r>
    <n v="301"/>
    <n v="41"/>
    <x v="1"/>
    <s v="Travel_Rarely"/>
    <n v="334"/>
    <s v="Sales"/>
    <n v="2"/>
    <n v="4"/>
    <s v="Life Sciences"/>
    <n v="410"/>
    <n v="4"/>
    <s v="Male"/>
    <n v="88"/>
    <n v="3"/>
    <n v="4"/>
    <s v="Manager"/>
    <n v="2"/>
    <s v="Single"/>
    <n v="16015"/>
    <n v="15896"/>
    <n v="1"/>
    <s v="No"/>
    <n v="19"/>
    <n v="3"/>
    <n v="2"/>
    <n v="80"/>
    <n v="0"/>
    <n v="22"/>
    <n v="2"/>
    <n v="3"/>
    <n v="22"/>
    <n v="10"/>
    <n v="0"/>
    <n v="4"/>
    <n v="0"/>
    <n v="1"/>
    <s v="35-44"/>
    <s v="High"/>
    <s v="21+ Years"/>
  </r>
  <r>
    <n v="302"/>
    <n v="18"/>
    <x v="1"/>
    <s v="Travel_Rarely"/>
    <n v="812"/>
    <s v="Sales"/>
    <n v="10"/>
    <n v="3"/>
    <s v="Medical"/>
    <n v="411"/>
    <n v="4"/>
    <s v="Female"/>
    <n v="69"/>
    <n v="2"/>
    <n v="1"/>
    <s v="Sales Representative"/>
    <n v="3"/>
    <s v="Single"/>
    <n v="1200"/>
    <n v="9724"/>
    <n v="1"/>
    <s v="No"/>
    <n v="12"/>
    <n v="3"/>
    <n v="1"/>
    <n v="80"/>
    <n v="0"/>
    <n v="0"/>
    <n v="2"/>
    <n v="3"/>
    <n v="0"/>
    <n v="0"/>
    <n v="0"/>
    <n v="0"/>
    <n v="0"/>
    <n v="1"/>
    <s v="Under 25"/>
    <s v="Low"/>
    <s v="0-5 Years"/>
  </r>
  <r>
    <n v="303"/>
    <n v="28"/>
    <x v="1"/>
    <s v="Travel_Rarely"/>
    <n v="1476"/>
    <s v="Research &amp; Development"/>
    <n v="16"/>
    <n v="2"/>
    <s v="Medical"/>
    <n v="412"/>
    <n v="2"/>
    <s v="Male"/>
    <n v="68"/>
    <n v="4"/>
    <n v="2"/>
    <s v="Healthcare Representative"/>
    <n v="1"/>
    <s v="Single"/>
    <n v="5661"/>
    <n v="4824"/>
    <n v="0"/>
    <s v="No"/>
    <n v="19"/>
    <n v="3"/>
    <n v="3"/>
    <n v="80"/>
    <n v="0"/>
    <n v="9"/>
    <n v="2"/>
    <n v="3"/>
    <n v="8"/>
    <n v="3"/>
    <n v="0"/>
    <n v="7"/>
    <n v="0"/>
    <n v="1"/>
    <s v="25-34"/>
    <s v="Medium"/>
    <s v="6-10 Years"/>
  </r>
  <r>
    <n v="304"/>
    <n v="31"/>
    <x v="1"/>
    <s v="Travel_Rarely"/>
    <n v="218"/>
    <s v="Sales"/>
    <n v="7"/>
    <n v="3"/>
    <s v="Technical Degree"/>
    <n v="416"/>
    <n v="2"/>
    <s v="Male"/>
    <n v="100"/>
    <n v="4"/>
    <n v="2"/>
    <s v="Sales Executive"/>
    <n v="4"/>
    <s v="Married"/>
    <n v="6929"/>
    <n v="12241"/>
    <n v="4"/>
    <s v="No"/>
    <n v="11"/>
    <n v="3"/>
    <n v="2"/>
    <n v="80"/>
    <n v="1"/>
    <n v="10"/>
    <n v="3"/>
    <n v="2"/>
    <n v="8"/>
    <n v="7"/>
    <n v="7"/>
    <n v="7"/>
    <n v="0"/>
    <n v="1"/>
    <s v="25-34"/>
    <s v="Medium"/>
    <s v="6-10 Years"/>
  </r>
  <r>
    <n v="305"/>
    <n v="39"/>
    <x v="1"/>
    <s v="Travel_Rarely"/>
    <n v="1132"/>
    <s v="Research &amp; Development"/>
    <n v="1"/>
    <n v="3"/>
    <s v="Medical"/>
    <n v="417"/>
    <n v="3"/>
    <s v="Male"/>
    <n v="48"/>
    <n v="4"/>
    <n v="3"/>
    <s v="Healthcare Representative"/>
    <n v="4"/>
    <s v="Divorced"/>
    <n v="9613"/>
    <n v="10942"/>
    <n v="0"/>
    <s v="No"/>
    <n v="17"/>
    <n v="3"/>
    <n v="1"/>
    <n v="80"/>
    <n v="3"/>
    <n v="19"/>
    <n v="5"/>
    <n v="2"/>
    <n v="18"/>
    <n v="10"/>
    <n v="3"/>
    <n v="7"/>
    <n v="0"/>
    <n v="1"/>
    <s v="35-44"/>
    <s v="Medium"/>
    <s v="11-20 Years"/>
  </r>
  <r>
    <n v="306"/>
    <n v="36"/>
    <x v="1"/>
    <s v="Non-Travel"/>
    <n v="1105"/>
    <s v="Research &amp; Development"/>
    <n v="24"/>
    <n v="4"/>
    <s v="Life Sciences"/>
    <n v="419"/>
    <n v="2"/>
    <s v="Female"/>
    <n v="47"/>
    <n v="3"/>
    <n v="2"/>
    <s v="Laboratory Technician"/>
    <n v="2"/>
    <s v="Married"/>
    <n v="5674"/>
    <n v="6927"/>
    <n v="7"/>
    <s v="No"/>
    <n v="15"/>
    <n v="3"/>
    <n v="3"/>
    <n v="80"/>
    <n v="1"/>
    <n v="11"/>
    <n v="3"/>
    <n v="3"/>
    <n v="9"/>
    <n v="8"/>
    <n v="0"/>
    <n v="8"/>
    <n v="0"/>
    <n v="1"/>
    <s v="35-44"/>
    <s v="Medium"/>
    <s v="6-10 Years"/>
  </r>
  <r>
    <n v="307"/>
    <n v="32"/>
    <x v="1"/>
    <s v="Travel_Rarely"/>
    <n v="906"/>
    <s v="Sales"/>
    <n v="7"/>
    <n v="3"/>
    <s v="Life Sciences"/>
    <n v="420"/>
    <n v="4"/>
    <s v="Male"/>
    <n v="91"/>
    <n v="2"/>
    <n v="2"/>
    <s v="Sales Executive"/>
    <n v="3"/>
    <s v="Married"/>
    <n v="5484"/>
    <n v="16985"/>
    <n v="1"/>
    <s v="No"/>
    <n v="14"/>
    <n v="3"/>
    <n v="3"/>
    <n v="80"/>
    <n v="1"/>
    <n v="13"/>
    <n v="3"/>
    <n v="2"/>
    <n v="13"/>
    <n v="8"/>
    <n v="4"/>
    <n v="8"/>
    <n v="0"/>
    <n v="1"/>
    <s v="25-34"/>
    <s v="Medium"/>
    <s v="11-20 Years"/>
  </r>
  <r>
    <n v="308"/>
    <n v="38"/>
    <x v="1"/>
    <s v="Travel_Rarely"/>
    <n v="849"/>
    <s v="Research &amp; Development"/>
    <n v="25"/>
    <n v="2"/>
    <s v="Life Sciences"/>
    <n v="421"/>
    <n v="1"/>
    <s v="Female"/>
    <n v="81"/>
    <n v="2"/>
    <n v="3"/>
    <s v="Research Director"/>
    <n v="2"/>
    <s v="Married"/>
    <n v="12061"/>
    <n v="26707"/>
    <n v="3"/>
    <s v="No"/>
    <n v="17"/>
    <n v="3"/>
    <n v="3"/>
    <n v="80"/>
    <n v="1"/>
    <n v="19"/>
    <n v="2"/>
    <n v="3"/>
    <n v="10"/>
    <n v="8"/>
    <n v="0"/>
    <n v="1"/>
    <n v="0"/>
    <n v="1"/>
    <s v="35-44"/>
    <s v="Upper Medium"/>
    <s v="6-10 Years"/>
  </r>
  <r>
    <n v="309"/>
    <n v="58"/>
    <x v="1"/>
    <s v="Non-Travel"/>
    <n v="390"/>
    <s v="Research &amp; Development"/>
    <n v="1"/>
    <n v="4"/>
    <s v="Life Sciences"/>
    <n v="422"/>
    <n v="4"/>
    <s v="Male"/>
    <n v="32"/>
    <n v="1"/>
    <n v="2"/>
    <s v="Healthcare Representative"/>
    <n v="3"/>
    <s v="Divorced"/>
    <n v="5660"/>
    <n v="17056"/>
    <n v="2"/>
    <s v="Yes"/>
    <n v="13"/>
    <n v="3"/>
    <n v="4"/>
    <n v="80"/>
    <n v="1"/>
    <n v="12"/>
    <n v="2"/>
    <n v="3"/>
    <n v="5"/>
    <n v="3"/>
    <n v="1"/>
    <n v="2"/>
    <n v="0"/>
    <n v="1"/>
    <s v="55+"/>
    <s v="Medium"/>
    <s v="0-5 Years"/>
  </r>
  <r>
    <n v="310"/>
    <n v="31"/>
    <x v="1"/>
    <s v="Travel_Rarely"/>
    <n v="691"/>
    <s v="Research &amp; Development"/>
    <n v="5"/>
    <n v="4"/>
    <s v="Technical Degree"/>
    <n v="423"/>
    <n v="3"/>
    <s v="Male"/>
    <n v="86"/>
    <n v="3"/>
    <n v="1"/>
    <s v="Research Scientist"/>
    <n v="4"/>
    <s v="Married"/>
    <n v="4821"/>
    <n v="10077"/>
    <n v="0"/>
    <s v="Yes"/>
    <n v="12"/>
    <n v="3"/>
    <n v="3"/>
    <n v="80"/>
    <n v="1"/>
    <n v="6"/>
    <n v="4"/>
    <n v="3"/>
    <n v="5"/>
    <n v="2"/>
    <n v="0"/>
    <n v="3"/>
    <n v="0"/>
    <n v="1"/>
    <s v="25-34"/>
    <s v="Low"/>
    <s v="0-5 Years"/>
  </r>
  <r>
    <n v="311"/>
    <n v="31"/>
    <x v="1"/>
    <s v="Travel_Rarely"/>
    <n v="106"/>
    <s v="Human Resources"/>
    <n v="2"/>
    <n v="3"/>
    <s v="Human Resources"/>
    <n v="424"/>
    <n v="1"/>
    <s v="Male"/>
    <n v="62"/>
    <n v="2"/>
    <n v="2"/>
    <s v="Human Resources"/>
    <n v="1"/>
    <s v="Married"/>
    <n v="6410"/>
    <n v="17822"/>
    <n v="3"/>
    <s v="No"/>
    <n v="12"/>
    <n v="3"/>
    <n v="4"/>
    <n v="80"/>
    <n v="0"/>
    <n v="9"/>
    <n v="1"/>
    <n v="3"/>
    <n v="2"/>
    <n v="2"/>
    <n v="1"/>
    <n v="0"/>
    <n v="0"/>
    <n v="1"/>
    <s v="25-34"/>
    <s v="Medium"/>
    <s v="0-5 Years"/>
  </r>
  <r>
    <n v="312"/>
    <n v="45"/>
    <x v="1"/>
    <s v="Travel_Frequently"/>
    <n v="1249"/>
    <s v="Research &amp; Development"/>
    <n v="7"/>
    <n v="3"/>
    <s v="Life Sciences"/>
    <n v="425"/>
    <n v="1"/>
    <s v="Male"/>
    <n v="97"/>
    <n v="3"/>
    <n v="3"/>
    <s v="Laboratory Technician"/>
    <n v="1"/>
    <s v="Divorced"/>
    <n v="5210"/>
    <n v="20308"/>
    <n v="1"/>
    <s v="No"/>
    <n v="18"/>
    <n v="3"/>
    <n v="1"/>
    <n v="80"/>
    <n v="1"/>
    <n v="24"/>
    <n v="2"/>
    <n v="3"/>
    <n v="24"/>
    <n v="9"/>
    <n v="9"/>
    <n v="11"/>
    <n v="0"/>
    <n v="1"/>
    <s v="45-54"/>
    <s v="Medium"/>
    <s v="21+ Years"/>
  </r>
  <r>
    <n v="313"/>
    <n v="31"/>
    <x v="1"/>
    <s v="Travel_Rarely"/>
    <n v="192"/>
    <s v="Research &amp; Development"/>
    <n v="2"/>
    <n v="4"/>
    <s v="Life Sciences"/>
    <n v="426"/>
    <n v="3"/>
    <s v="Male"/>
    <n v="32"/>
    <n v="3"/>
    <n v="1"/>
    <s v="Research Scientist"/>
    <n v="4"/>
    <s v="Divorced"/>
    <n v="2695"/>
    <n v="7747"/>
    <n v="0"/>
    <s v="Yes"/>
    <n v="18"/>
    <n v="3"/>
    <n v="2"/>
    <n v="80"/>
    <n v="1"/>
    <n v="3"/>
    <n v="2"/>
    <n v="1"/>
    <n v="2"/>
    <n v="2"/>
    <n v="2"/>
    <n v="2"/>
    <n v="0"/>
    <n v="1"/>
    <s v="25-34"/>
    <s v="Low"/>
    <s v="0-5 Years"/>
  </r>
  <r>
    <n v="314"/>
    <n v="33"/>
    <x v="1"/>
    <s v="Travel_Frequently"/>
    <n v="553"/>
    <s v="Research &amp; Development"/>
    <n v="5"/>
    <n v="4"/>
    <s v="Life Sciences"/>
    <n v="428"/>
    <n v="4"/>
    <s v="Female"/>
    <n v="74"/>
    <n v="3"/>
    <n v="3"/>
    <s v="Manager"/>
    <n v="2"/>
    <s v="Married"/>
    <n v="11878"/>
    <n v="23364"/>
    <n v="6"/>
    <s v="No"/>
    <n v="11"/>
    <n v="3"/>
    <n v="2"/>
    <n v="80"/>
    <n v="2"/>
    <n v="12"/>
    <n v="2"/>
    <n v="3"/>
    <n v="10"/>
    <n v="6"/>
    <n v="8"/>
    <n v="8"/>
    <n v="0"/>
    <n v="1"/>
    <s v="25-34"/>
    <s v="Upper Medium"/>
    <s v="6-10 Years"/>
  </r>
  <r>
    <n v="315"/>
    <n v="39"/>
    <x v="1"/>
    <s v="Travel_Rarely"/>
    <n v="117"/>
    <s v="Research &amp; Development"/>
    <n v="10"/>
    <n v="1"/>
    <s v="Medical"/>
    <n v="429"/>
    <n v="3"/>
    <s v="Male"/>
    <n v="99"/>
    <n v="3"/>
    <n v="4"/>
    <s v="Manager"/>
    <n v="1"/>
    <s v="Married"/>
    <n v="17068"/>
    <n v="5355"/>
    <n v="1"/>
    <s v="Yes"/>
    <n v="14"/>
    <n v="3"/>
    <n v="4"/>
    <n v="80"/>
    <n v="0"/>
    <n v="21"/>
    <n v="3"/>
    <n v="3"/>
    <n v="21"/>
    <n v="9"/>
    <n v="11"/>
    <n v="10"/>
    <n v="0"/>
    <n v="1"/>
    <s v="35-44"/>
    <s v="High"/>
    <s v="21+ Years"/>
  </r>
  <r>
    <n v="316"/>
    <n v="43"/>
    <x v="1"/>
    <s v="Travel_Frequently"/>
    <n v="185"/>
    <s v="Research &amp; Development"/>
    <n v="10"/>
    <n v="4"/>
    <s v="Life Sciences"/>
    <n v="430"/>
    <n v="3"/>
    <s v="Female"/>
    <n v="33"/>
    <n v="3"/>
    <n v="1"/>
    <s v="Laboratory Technician"/>
    <n v="4"/>
    <s v="Single"/>
    <n v="2455"/>
    <n v="10675"/>
    <n v="0"/>
    <s v="No"/>
    <n v="19"/>
    <n v="3"/>
    <n v="1"/>
    <n v="80"/>
    <n v="0"/>
    <n v="9"/>
    <n v="5"/>
    <n v="3"/>
    <n v="8"/>
    <n v="7"/>
    <n v="1"/>
    <n v="7"/>
    <n v="0"/>
    <n v="1"/>
    <s v="35-44"/>
    <s v="Low"/>
    <s v="6-10 Years"/>
  </r>
  <r>
    <n v="317"/>
    <n v="49"/>
    <x v="1"/>
    <s v="Travel_Rarely"/>
    <n v="1091"/>
    <s v="Research &amp; Development"/>
    <n v="1"/>
    <n v="2"/>
    <s v="Technical Degree"/>
    <n v="431"/>
    <n v="3"/>
    <s v="Female"/>
    <n v="90"/>
    <n v="2"/>
    <n v="4"/>
    <s v="Healthcare Representative"/>
    <n v="3"/>
    <s v="Single"/>
    <n v="13964"/>
    <n v="17810"/>
    <n v="7"/>
    <s v="Yes"/>
    <n v="12"/>
    <n v="3"/>
    <n v="4"/>
    <n v="80"/>
    <n v="0"/>
    <n v="25"/>
    <n v="2"/>
    <n v="3"/>
    <n v="7"/>
    <n v="1"/>
    <n v="0"/>
    <n v="7"/>
    <n v="0"/>
    <n v="1"/>
    <s v="45-54"/>
    <s v="Upper Medium"/>
    <s v="6-10 Years"/>
  </r>
  <r>
    <n v="318"/>
    <n v="52"/>
    <x v="0"/>
    <s v="Travel_Rarely"/>
    <n v="723"/>
    <s v="Research &amp; Development"/>
    <n v="8"/>
    <n v="4"/>
    <s v="Medical"/>
    <n v="433"/>
    <n v="3"/>
    <s v="Male"/>
    <n v="85"/>
    <n v="2"/>
    <n v="2"/>
    <s v="Research Scientist"/>
    <n v="2"/>
    <s v="Married"/>
    <n v="4941"/>
    <n v="17747"/>
    <n v="2"/>
    <s v="No"/>
    <n v="15"/>
    <n v="3"/>
    <n v="1"/>
    <n v="80"/>
    <n v="0"/>
    <n v="11"/>
    <n v="3"/>
    <n v="2"/>
    <n v="8"/>
    <n v="2"/>
    <n v="7"/>
    <n v="7"/>
    <n v="1"/>
    <n v="0"/>
    <s v="45-54"/>
    <s v="Low"/>
    <s v="6-10 Years"/>
  </r>
  <r>
    <n v="319"/>
    <n v="27"/>
    <x v="1"/>
    <s v="Travel_Rarely"/>
    <n v="1220"/>
    <s v="Research &amp; Development"/>
    <n v="5"/>
    <n v="3"/>
    <s v="Life Sciences"/>
    <n v="434"/>
    <n v="3"/>
    <s v="Female"/>
    <n v="85"/>
    <n v="3"/>
    <n v="1"/>
    <s v="Research Scientist"/>
    <n v="2"/>
    <s v="Single"/>
    <n v="2478"/>
    <n v="20938"/>
    <n v="1"/>
    <s v="Yes"/>
    <n v="12"/>
    <n v="3"/>
    <n v="2"/>
    <n v="80"/>
    <n v="0"/>
    <n v="4"/>
    <n v="2"/>
    <n v="2"/>
    <n v="4"/>
    <n v="3"/>
    <n v="1"/>
    <n v="2"/>
    <n v="0"/>
    <n v="1"/>
    <s v="25-34"/>
    <s v="Low"/>
    <s v="0-5 Years"/>
  </r>
  <r>
    <n v="320"/>
    <n v="32"/>
    <x v="1"/>
    <s v="Travel_Rarely"/>
    <n v="588"/>
    <s v="Sales"/>
    <n v="8"/>
    <n v="2"/>
    <s v="Technical Degree"/>
    <n v="436"/>
    <n v="3"/>
    <s v="Female"/>
    <n v="65"/>
    <n v="2"/>
    <n v="2"/>
    <s v="Sales Executive"/>
    <n v="2"/>
    <s v="Married"/>
    <n v="5228"/>
    <n v="24624"/>
    <n v="1"/>
    <s v="Yes"/>
    <n v="11"/>
    <n v="3"/>
    <n v="4"/>
    <n v="80"/>
    <n v="0"/>
    <n v="13"/>
    <n v="2"/>
    <n v="3"/>
    <n v="13"/>
    <n v="12"/>
    <n v="11"/>
    <n v="9"/>
    <n v="0"/>
    <n v="1"/>
    <s v="25-34"/>
    <s v="Medium"/>
    <s v="11-20 Years"/>
  </r>
  <r>
    <n v="321"/>
    <n v="27"/>
    <x v="1"/>
    <s v="Travel_Rarely"/>
    <n v="1377"/>
    <s v="Sales"/>
    <n v="2"/>
    <n v="3"/>
    <s v="Life Sciences"/>
    <n v="437"/>
    <n v="4"/>
    <s v="Male"/>
    <n v="74"/>
    <n v="3"/>
    <n v="2"/>
    <s v="Sales Executive"/>
    <n v="3"/>
    <s v="Single"/>
    <n v="4478"/>
    <n v="5242"/>
    <n v="1"/>
    <s v="Yes"/>
    <n v="11"/>
    <n v="3"/>
    <n v="1"/>
    <n v="80"/>
    <n v="0"/>
    <n v="5"/>
    <n v="3"/>
    <n v="3"/>
    <n v="5"/>
    <n v="4"/>
    <n v="0"/>
    <n v="4"/>
    <n v="0"/>
    <n v="1"/>
    <s v="25-34"/>
    <s v="Low"/>
    <s v="0-5 Years"/>
  </r>
  <r>
    <n v="322"/>
    <n v="31"/>
    <x v="1"/>
    <s v="Travel_Rarely"/>
    <n v="691"/>
    <s v="Sales"/>
    <n v="7"/>
    <n v="3"/>
    <s v="Marketing"/>
    <n v="438"/>
    <n v="4"/>
    <s v="Male"/>
    <n v="73"/>
    <n v="3"/>
    <n v="2"/>
    <s v="Sales Executive"/>
    <n v="4"/>
    <s v="Divorced"/>
    <n v="7547"/>
    <n v="7143"/>
    <n v="4"/>
    <s v="No"/>
    <n v="12"/>
    <n v="3"/>
    <n v="4"/>
    <n v="80"/>
    <n v="3"/>
    <n v="13"/>
    <n v="3"/>
    <n v="3"/>
    <n v="7"/>
    <n v="7"/>
    <n v="1"/>
    <n v="7"/>
    <n v="0"/>
    <n v="1"/>
    <s v="25-34"/>
    <s v="Medium"/>
    <s v="6-10 Years"/>
  </r>
  <r>
    <n v="323"/>
    <n v="32"/>
    <x v="1"/>
    <s v="Travel_Rarely"/>
    <n v="1018"/>
    <s v="Research &amp; Development"/>
    <n v="2"/>
    <n v="4"/>
    <s v="Medical"/>
    <n v="439"/>
    <n v="1"/>
    <s v="Female"/>
    <n v="74"/>
    <n v="4"/>
    <n v="2"/>
    <s v="Research Scientist"/>
    <n v="4"/>
    <s v="Single"/>
    <n v="5055"/>
    <n v="10557"/>
    <n v="7"/>
    <s v="No"/>
    <n v="16"/>
    <n v="3"/>
    <n v="3"/>
    <n v="80"/>
    <n v="0"/>
    <n v="10"/>
    <n v="0"/>
    <n v="2"/>
    <n v="7"/>
    <n v="7"/>
    <n v="0"/>
    <n v="7"/>
    <n v="0"/>
    <n v="1"/>
    <s v="25-34"/>
    <s v="Medium"/>
    <s v="6-10 Years"/>
  </r>
  <r>
    <n v="324"/>
    <n v="28"/>
    <x v="0"/>
    <s v="Travel_Rarely"/>
    <n v="1157"/>
    <s v="Research &amp; Development"/>
    <n v="2"/>
    <n v="4"/>
    <s v="Medical"/>
    <n v="440"/>
    <n v="1"/>
    <s v="Male"/>
    <n v="84"/>
    <n v="1"/>
    <n v="1"/>
    <s v="Research Scientist"/>
    <n v="4"/>
    <s v="Married"/>
    <n v="3464"/>
    <n v="24737"/>
    <n v="5"/>
    <s v="Yes"/>
    <n v="13"/>
    <n v="3"/>
    <n v="4"/>
    <n v="80"/>
    <n v="0"/>
    <n v="5"/>
    <n v="4"/>
    <n v="2"/>
    <n v="3"/>
    <n v="2"/>
    <n v="2"/>
    <n v="2"/>
    <n v="1"/>
    <n v="0"/>
    <s v="25-34"/>
    <s v="Low"/>
    <s v="0-5 Years"/>
  </r>
  <r>
    <n v="325"/>
    <n v="30"/>
    <x v="1"/>
    <s v="Travel_Rarely"/>
    <n v="1275"/>
    <s v="Research &amp; Development"/>
    <n v="28"/>
    <n v="2"/>
    <s v="Medical"/>
    <n v="441"/>
    <n v="4"/>
    <s v="Female"/>
    <n v="64"/>
    <n v="3"/>
    <n v="2"/>
    <s v="Research Scientist"/>
    <n v="4"/>
    <s v="Married"/>
    <n v="5775"/>
    <n v="11934"/>
    <n v="1"/>
    <s v="No"/>
    <n v="13"/>
    <n v="3"/>
    <n v="4"/>
    <n v="80"/>
    <n v="2"/>
    <n v="11"/>
    <n v="2"/>
    <n v="3"/>
    <n v="10"/>
    <n v="8"/>
    <n v="1"/>
    <n v="9"/>
    <n v="0"/>
    <n v="1"/>
    <s v="25-34"/>
    <s v="Medium"/>
    <s v="6-10 Years"/>
  </r>
  <r>
    <n v="326"/>
    <n v="31"/>
    <x v="1"/>
    <s v="Travel_Frequently"/>
    <n v="798"/>
    <s v="Research &amp; Development"/>
    <n v="7"/>
    <n v="2"/>
    <s v="Life Sciences"/>
    <n v="442"/>
    <n v="3"/>
    <s v="Female"/>
    <n v="48"/>
    <n v="2"/>
    <n v="3"/>
    <s v="Manufacturing Director"/>
    <n v="3"/>
    <s v="Married"/>
    <n v="8943"/>
    <n v="14034"/>
    <n v="1"/>
    <s v="No"/>
    <n v="24"/>
    <n v="4"/>
    <n v="1"/>
    <n v="80"/>
    <n v="1"/>
    <n v="10"/>
    <n v="2"/>
    <n v="3"/>
    <n v="10"/>
    <n v="9"/>
    <n v="8"/>
    <n v="9"/>
    <n v="0"/>
    <n v="1"/>
    <s v="25-34"/>
    <s v="Medium"/>
    <s v="6-10 Years"/>
  </r>
  <r>
    <n v="327"/>
    <n v="39"/>
    <x v="1"/>
    <s v="Travel_Frequently"/>
    <n v="672"/>
    <s v="Research &amp; Development"/>
    <n v="7"/>
    <n v="2"/>
    <s v="Medical"/>
    <n v="444"/>
    <n v="3"/>
    <s v="Male"/>
    <n v="54"/>
    <n v="2"/>
    <n v="5"/>
    <s v="Manager"/>
    <n v="4"/>
    <s v="Married"/>
    <n v="19272"/>
    <n v="21141"/>
    <n v="1"/>
    <s v="No"/>
    <n v="15"/>
    <n v="3"/>
    <n v="1"/>
    <n v="80"/>
    <n v="1"/>
    <n v="21"/>
    <n v="2"/>
    <n v="3"/>
    <n v="21"/>
    <n v="9"/>
    <n v="13"/>
    <n v="3"/>
    <n v="0"/>
    <n v="1"/>
    <s v="35-44"/>
    <s v="High"/>
    <s v="21+ Years"/>
  </r>
  <r>
    <n v="328"/>
    <n v="39"/>
    <x v="0"/>
    <s v="Travel_Rarely"/>
    <n v="1162"/>
    <s v="Sales"/>
    <n v="3"/>
    <n v="2"/>
    <s v="Medical"/>
    <n v="445"/>
    <n v="4"/>
    <s v="Female"/>
    <n v="41"/>
    <n v="3"/>
    <n v="2"/>
    <s v="Sales Executive"/>
    <n v="3"/>
    <s v="Married"/>
    <n v="5238"/>
    <n v="17778"/>
    <n v="4"/>
    <s v="Yes"/>
    <n v="18"/>
    <n v="3"/>
    <n v="1"/>
    <n v="80"/>
    <n v="0"/>
    <n v="12"/>
    <n v="3"/>
    <n v="2"/>
    <n v="1"/>
    <n v="0"/>
    <n v="0"/>
    <n v="0"/>
    <n v="1"/>
    <n v="0"/>
    <s v="35-44"/>
    <s v="Medium"/>
    <s v="0-5 Years"/>
  </r>
  <r>
    <n v="329"/>
    <n v="33"/>
    <x v="1"/>
    <s v="Travel_Frequently"/>
    <n v="508"/>
    <s v="Sales"/>
    <n v="10"/>
    <n v="3"/>
    <s v="Marketing"/>
    <n v="446"/>
    <n v="2"/>
    <s v="Male"/>
    <n v="46"/>
    <n v="2"/>
    <n v="2"/>
    <s v="Sales Executive"/>
    <n v="4"/>
    <s v="Single"/>
    <n v="4682"/>
    <n v="4317"/>
    <n v="3"/>
    <s v="No"/>
    <n v="14"/>
    <n v="3"/>
    <n v="3"/>
    <n v="80"/>
    <n v="0"/>
    <n v="9"/>
    <n v="6"/>
    <n v="2"/>
    <n v="7"/>
    <n v="7"/>
    <n v="0"/>
    <n v="1"/>
    <n v="0"/>
    <n v="1"/>
    <s v="25-34"/>
    <s v="Low"/>
    <s v="6-10 Years"/>
  </r>
  <r>
    <n v="330"/>
    <n v="47"/>
    <x v="1"/>
    <s v="Travel_Rarely"/>
    <n v="1482"/>
    <s v="Research &amp; Development"/>
    <n v="5"/>
    <n v="5"/>
    <s v="Life Sciences"/>
    <n v="447"/>
    <n v="4"/>
    <s v="Male"/>
    <n v="42"/>
    <n v="3"/>
    <n v="5"/>
    <s v="Research Director"/>
    <n v="3"/>
    <s v="Married"/>
    <n v="18300"/>
    <n v="16375"/>
    <n v="4"/>
    <s v="No"/>
    <n v="11"/>
    <n v="3"/>
    <n v="2"/>
    <n v="80"/>
    <n v="1"/>
    <n v="21"/>
    <n v="2"/>
    <n v="3"/>
    <n v="3"/>
    <n v="2"/>
    <n v="1"/>
    <n v="1"/>
    <n v="0"/>
    <n v="1"/>
    <s v="45-54"/>
    <s v="High"/>
    <s v="0-5 Years"/>
  </r>
  <r>
    <n v="331"/>
    <n v="43"/>
    <x v="1"/>
    <s v="Travel_Frequently"/>
    <n v="559"/>
    <s v="Research &amp; Development"/>
    <n v="10"/>
    <n v="4"/>
    <s v="Life Sciences"/>
    <n v="448"/>
    <n v="3"/>
    <s v="Female"/>
    <n v="82"/>
    <n v="2"/>
    <n v="2"/>
    <s v="Laboratory Technician"/>
    <n v="3"/>
    <s v="Divorced"/>
    <n v="5257"/>
    <n v="6227"/>
    <n v="1"/>
    <s v="No"/>
    <n v="11"/>
    <n v="3"/>
    <n v="2"/>
    <n v="80"/>
    <n v="1"/>
    <n v="9"/>
    <n v="3"/>
    <n v="4"/>
    <n v="9"/>
    <n v="7"/>
    <n v="0"/>
    <n v="0"/>
    <n v="0"/>
    <n v="1"/>
    <s v="35-44"/>
    <s v="Medium"/>
    <s v="6-10 Years"/>
  </r>
  <r>
    <n v="332"/>
    <n v="27"/>
    <x v="1"/>
    <s v="Non-Travel"/>
    <n v="210"/>
    <s v="Sales"/>
    <n v="1"/>
    <n v="1"/>
    <s v="Marketing"/>
    <n v="449"/>
    <n v="3"/>
    <s v="Male"/>
    <n v="73"/>
    <n v="3"/>
    <n v="2"/>
    <s v="Sales Executive"/>
    <n v="2"/>
    <s v="Married"/>
    <n v="6349"/>
    <n v="22107"/>
    <n v="0"/>
    <s v="Yes"/>
    <n v="13"/>
    <n v="3"/>
    <n v="4"/>
    <n v="80"/>
    <n v="1"/>
    <n v="6"/>
    <n v="0"/>
    <n v="3"/>
    <n v="5"/>
    <n v="4"/>
    <n v="1"/>
    <n v="4"/>
    <n v="0"/>
    <n v="1"/>
    <s v="25-34"/>
    <s v="Medium"/>
    <s v="0-5 Years"/>
  </r>
  <r>
    <n v="333"/>
    <n v="54"/>
    <x v="1"/>
    <s v="Travel_Frequently"/>
    <n v="928"/>
    <s v="Research &amp; Development"/>
    <n v="20"/>
    <n v="4"/>
    <s v="Life Sciences"/>
    <n v="450"/>
    <n v="4"/>
    <s v="Female"/>
    <n v="31"/>
    <n v="3"/>
    <n v="2"/>
    <s v="Research Scientist"/>
    <n v="3"/>
    <s v="Single"/>
    <n v="4869"/>
    <n v="16885"/>
    <n v="3"/>
    <s v="No"/>
    <n v="12"/>
    <n v="3"/>
    <n v="4"/>
    <n v="80"/>
    <n v="0"/>
    <n v="20"/>
    <n v="4"/>
    <n v="2"/>
    <n v="4"/>
    <n v="3"/>
    <n v="0"/>
    <n v="3"/>
    <n v="0"/>
    <n v="1"/>
    <s v="45-54"/>
    <s v="Low"/>
    <s v="0-5 Years"/>
  </r>
  <r>
    <n v="334"/>
    <n v="43"/>
    <x v="1"/>
    <s v="Travel_Rarely"/>
    <n v="1001"/>
    <s v="Research &amp; Development"/>
    <n v="7"/>
    <n v="3"/>
    <s v="Life Sciences"/>
    <n v="451"/>
    <n v="3"/>
    <s v="Female"/>
    <n v="43"/>
    <n v="3"/>
    <n v="3"/>
    <s v="Healthcare Representative"/>
    <n v="1"/>
    <s v="Married"/>
    <n v="9985"/>
    <n v="9262"/>
    <n v="8"/>
    <s v="No"/>
    <n v="16"/>
    <n v="3"/>
    <n v="1"/>
    <n v="80"/>
    <n v="1"/>
    <n v="10"/>
    <n v="1"/>
    <n v="2"/>
    <n v="1"/>
    <n v="0"/>
    <n v="0"/>
    <n v="0"/>
    <n v="0"/>
    <n v="1"/>
    <s v="35-44"/>
    <s v="Medium"/>
    <s v="0-5 Years"/>
  </r>
  <r>
    <n v="335"/>
    <n v="45"/>
    <x v="1"/>
    <s v="Travel_Rarely"/>
    <n v="549"/>
    <s v="Research &amp; Development"/>
    <n v="8"/>
    <n v="4"/>
    <s v="Other"/>
    <n v="452"/>
    <n v="4"/>
    <s v="Male"/>
    <n v="75"/>
    <n v="3"/>
    <n v="2"/>
    <s v="Research Scientist"/>
    <n v="4"/>
    <s v="Married"/>
    <n v="3697"/>
    <n v="9278"/>
    <n v="9"/>
    <s v="No"/>
    <n v="14"/>
    <n v="3"/>
    <n v="1"/>
    <n v="80"/>
    <n v="2"/>
    <n v="12"/>
    <n v="3"/>
    <n v="3"/>
    <n v="10"/>
    <n v="9"/>
    <n v="9"/>
    <n v="8"/>
    <n v="0"/>
    <n v="1"/>
    <s v="45-54"/>
    <s v="Low"/>
    <s v="6-10 Years"/>
  </r>
  <r>
    <n v="336"/>
    <n v="40"/>
    <x v="1"/>
    <s v="Travel_Rarely"/>
    <n v="1124"/>
    <s v="Sales"/>
    <n v="1"/>
    <n v="2"/>
    <s v="Medical"/>
    <n v="453"/>
    <n v="2"/>
    <s v="Male"/>
    <n v="57"/>
    <n v="1"/>
    <n v="2"/>
    <s v="Sales Executive"/>
    <n v="4"/>
    <s v="Married"/>
    <n v="7457"/>
    <n v="13273"/>
    <n v="2"/>
    <s v="Yes"/>
    <n v="22"/>
    <n v="4"/>
    <n v="3"/>
    <n v="80"/>
    <n v="3"/>
    <n v="6"/>
    <n v="2"/>
    <n v="2"/>
    <n v="4"/>
    <n v="3"/>
    <n v="0"/>
    <n v="2"/>
    <n v="0"/>
    <n v="1"/>
    <s v="35-44"/>
    <s v="Medium"/>
    <s v="0-5 Years"/>
  </r>
  <r>
    <n v="337"/>
    <n v="29"/>
    <x v="0"/>
    <s v="Travel_Rarely"/>
    <n v="318"/>
    <s v="Research &amp; Development"/>
    <n v="8"/>
    <n v="4"/>
    <s v="Other"/>
    <n v="454"/>
    <n v="2"/>
    <s v="Male"/>
    <n v="77"/>
    <n v="1"/>
    <n v="1"/>
    <s v="Laboratory Technician"/>
    <n v="1"/>
    <s v="Married"/>
    <n v="2119"/>
    <n v="4759"/>
    <n v="1"/>
    <s v="Yes"/>
    <n v="11"/>
    <n v="3"/>
    <n v="4"/>
    <n v="80"/>
    <n v="0"/>
    <n v="7"/>
    <n v="4"/>
    <n v="2"/>
    <n v="7"/>
    <n v="7"/>
    <n v="0"/>
    <n v="7"/>
    <n v="1"/>
    <n v="0"/>
    <s v="25-34"/>
    <s v="Low"/>
    <s v="6-10 Years"/>
  </r>
  <r>
    <n v="338"/>
    <n v="29"/>
    <x v="1"/>
    <s v="Travel_Rarely"/>
    <n v="738"/>
    <s v="Research &amp; Development"/>
    <n v="9"/>
    <n v="5"/>
    <s v="Other"/>
    <n v="455"/>
    <n v="2"/>
    <s v="Male"/>
    <n v="30"/>
    <n v="2"/>
    <n v="1"/>
    <s v="Laboratory Technician"/>
    <n v="4"/>
    <s v="Single"/>
    <n v="3983"/>
    <n v="7621"/>
    <n v="0"/>
    <s v="No"/>
    <n v="17"/>
    <n v="3"/>
    <n v="3"/>
    <n v="80"/>
    <n v="0"/>
    <n v="4"/>
    <n v="2"/>
    <n v="3"/>
    <n v="3"/>
    <n v="2"/>
    <n v="2"/>
    <n v="2"/>
    <n v="0"/>
    <n v="1"/>
    <s v="25-34"/>
    <s v="Low"/>
    <s v="0-5 Years"/>
  </r>
  <r>
    <n v="339"/>
    <n v="30"/>
    <x v="1"/>
    <s v="Travel_Rarely"/>
    <n v="570"/>
    <s v="Sales"/>
    <n v="5"/>
    <n v="3"/>
    <s v="Marketing"/>
    <n v="456"/>
    <n v="4"/>
    <s v="Female"/>
    <n v="30"/>
    <n v="2"/>
    <n v="2"/>
    <s v="Sales Executive"/>
    <n v="3"/>
    <s v="Divorced"/>
    <n v="6118"/>
    <n v="5431"/>
    <n v="1"/>
    <s v="No"/>
    <n v="13"/>
    <n v="3"/>
    <n v="3"/>
    <n v="80"/>
    <n v="3"/>
    <n v="10"/>
    <n v="2"/>
    <n v="3"/>
    <n v="10"/>
    <n v="9"/>
    <n v="1"/>
    <n v="2"/>
    <n v="0"/>
    <n v="1"/>
    <s v="25-34"/>
    <s v="Medium"/>
    <s v="6-10 Years"/>
  </r>
  <r>
    <n v="340"/>
    <n v="27"/>
    <x v="1"/>
    <s v="Travel_Rarely"/>
    <n v="1130"/>
    <s v="Sales"/>
    <n v="8"/>
    <n v="4"/>
    <s v="Marketing"/>
    <n v="458"/>
    <n v="2"/>
    <s v="Female"/>
    <n v="56"/>
    <n v="3"/>
    <n v="2"/>
    <s v="Sales Executive"/>
    <n v="2"/>
    <s v="Married"/>
    <n v="6214"/>
    <n v="3415"/>
    <n v="1"/>
    <s v="No"/>
    <n v="18"/>
    <n v="3"/>
    <n v="1"/>
    <n v="80"/>
    <n v="1"/>
    <n v="8"/>
    <n v="3"/>
    <n v="3"/>
    <n v="8"/>
    <n v="7"/>
    <n v="0"/>
    <n v="7"/>
    <n v="0"/>
    <n v="1"/>
    <s v="25-34"/>
    <s v="Medium"/>
    <s v="6-10 Years"/>
  </r>
  <r>
    <n v="341"/>
    <n v="37"/>
    <x v="1"/>
    <s v="Travel_Rarely"/>
    <n v="1192"/>
    <s v="Research &amp; Development"/>
    <n v="5"/>
    <n v="2"/>
    <s v="Medical"/>
    <n v="460"/>
    <n v="4"/>
    <s v="Male"/>
    <n v="61"/>
    <n v="3"/>
    <n v="2"/>
    <s v="Manufacturing Director"/>
    <n v="4"/>
    <s v="Divorced"/>
    <n v="6347"/>
    <n v="23177"/>
    <n v="7"/>
    <s v="No"/>
    <n v="16"/>
    <n v="3"/>
    <n v="3"/>
    <n v="80"/>
    <n v="2"/>
    <n v="8"/>
    <n v="2"/>
    <n v="2"/>
    <n v="6"/>
    <n v="2"/>
    <n v="0"/>
    <n v="4"/>
    <n v="0"/>
    <n v="1"/>
    <s v="35-44"/>
    <s v="Medium"/>
    <s v="6-10 Years"/>
  </r>
  <r>
    <n v="342"/>
    <n v="38"/>
    <x v="1"/>
    <s v="Travel_Rarely"/>
    <n v="343"/>
    <s v="Research &amp; Development"/>
    <n v="15"/>
    <n v="2"/>
    <s v="Life Sciences"/>
    <n v="461"/>
    <n v="3"/>
    <s v="Male"/>
    <n v="92"/>
    <n v="2"/>
    <n v="3"/>
    <s v="Research Director"/>
    <n v="4"/>
    <s v="Divorced"/>
    <n v="11510"/>
    <n v="15682"/>
    <n v="0"/>
    <s v="Yes"/>
    <n v="14"/>
    <n v="3"/>
    <n v="2"/>
    <n v="80"/>
    <n v="1"/>
    <n v="12"/>
    <n v="3"/>
    <n v="3"/>
    <n v="11"/>
    <n v="10"/>
    <n v="2"/>
    <n v="9"/>
    <n v="0"/>
    <n v="1"/>
    <s v="35-44"/>
    <s v="Upper Medium"/>
    <s v="11-20 Years"/>
  </r>
  <r>
    <n v="343"/>
    <n v="31"/>
    <x v="1"/>
    <s v="Travel_Rarely"/>
    <n v="1232"/>
    <s v="Research &amp; Development"/>
    <n v="7"/>
    <n v="4"/>
    <s v="Medical"/>
    <n v="462"/>
    <n v="3"/>
    <s v="Female"/>
    <n v="39"/>
    <n v="3"/>
    <n v="3"/>
    <s v="Manufacturing Director"/>
    <n v="4"/>
    <s v="Single"/>
    <n v="7143"/>
    <n v="25713"/>
    <n v="1"/>
    <s v="Yes"/>
    <n v="14"/>
    <n v="3"/>
    <n v="3"/>
    <n v="80"/>
    <n v="0"/>
    <n v="11"/>
    <n v="2"/>
    <n v="2"/>
    <n v="11"/>
    <n v="9"/>
    <n v="4"/>
    <n v="10"/>
    <n v="0"/>
    <n v="1"/>
    <s v="25-34"/>
    <s v="Medium"/>
    <s v="11-20 Years"/>
  </r>
  <r>
    <n v="344"/>
    <n v="29"/>
    <x v="1"/>
    <s v="Travel_Rarely"/>
    <n v="144"/>
    <s v="Sales"/>
    <n v="10"/>
    <n v="1"/>
    <s v="Marketing"/>
    <n v="463"/>
    <n v="4"/>
    <s v="Female"/>
    <n v="39"/>
    <n v="2"/>
    <n v="2"/>
    <s v="Sales Executive"/>
    <n v="2"/>
    <s v="Divorced"/>
    <n v="8268"/>
    <n v="11866"/>
    <n v="1"/>
    <s v="Yes"/>
    <n v="14"/>
    <n v="3"/>
    <n v="1"/>
    <n v="80"/>
    <n v="2"/>
    <n v="7"/>
    <n v="2"/>
    <n v="3"/>
    <n v="7"/>
    <n v="7"/>
    <n v="1"/>
    <n v="7"/>
    <n v="0"/>
    <n v="1"/>
    <s v="25-34"/>
    <s v="Medium"/>
    <s v="6-10 Years"/>
  </r>
  <r>
    <n v="345"/>
    <n v="35"/>
    <x v="1"/>
    <s v="Travel_Rarely"/>
    <n v="1296"/>
    <s v="Research &amp; Development"/>
    <n v="5"/>
    <n v="4"/>
    <s v="Technical Degree"/>
    <n v="464"/>
    <n v="3"/>
    <s v="Male"/>
    <n v="62"/>
    <n v="3"/>
    <n v="3"/>
    <s v="Manufacturing Director"/>
    <n v="2"/>
    <s v="Single"/>
    <n v="8095"/>
    <n v="18264"/>
    <n v="0"/>
    <s v="No"/>
    <n v="13"/>
    <n v="3"/>
    <n v="4"/>
    <n v="80"/>
    <n v="0"/>
    <n v="17"/>
    <n v="5"/>
    <n v="3"/>
    <n v="16"/>
    <n v="6"/>
    <n v="0"/>
    <n v="13"/>
    <n v="0"/>
    <n v="1"/>
    <s v="35-44"/>
    <s v="Medium"/>
    <s v="11-20 Years"/>
  </r>
  <r>
    <n v="346"/>
    <n v="23"/>
    <x v="1"/>
    <s v="Travel_Rarely"/>
    <n v="1309"/>
    <s v="Research &amp; Development"/>
    <n v="26"/>
    <n v="1"/>
    <s v="Life Sciences"/>
    <n v="465"/>
    <n v="3"/>
    <s v="Male"/>
    <n v="83"/>
    <n v="3"/>
    <n v="1"/>
    <s v="Research Scientist"/>
    <n v="4"/>
    <s v="Divorced"/>
    <n v="2904"/>
    <n v="16092"/>
    <n v="1"/>
    <s v="No"/>
    <n v="12"/>
    <n v="3"/>
    <n v="3"/>
    <n v="80"/>
    <n v="2"/>
    <n v="4"/>
    <n v="2"/>
    <n v="2"/>
    <n v="4"/>
    <n v="2"/>
    <n v="0"/>
    <n v="2"/>
    <n v="0"/>
    <n v="1"/>
    <s v="Under 25"/>
    <s v="Low"/>
    <s v="0-5 Years"/>
  </r>
  <r>
    <n v="347"/>
    <n v="41"/>
    <x v="1"/>
    <s v="Travel_Rarely"/>
    <n v="483"/>
    <s v="Research &amp; Development"/>
    <n v="6"/>
    <n v="3"/>
    <s v="Medical"/>
    <n v="466"/>
    <n v="4"/>
    <s v="Male"/>
    <n v="95"/>
    <n v="2"/>
    <n v="2"/>
    <s v="Manufacturing Director"/>
    <n v="2"/>
    <s v="Single"/>
    <n v="6032"/>
    <n v="10110"/>
    <n v="6"/>
    <s v="Yes"/>
    <n v="15"/>
    <n v="3"/>
    <n v="4"/>
    <n v="80"/>
    <n v="0"/>
    <n v="8"/>
    <n v="3"/>
    <n v="3"/>
    <n v="5"/>
    <n v="4"/>
    <n v="1"/>
    <n v="2"/>
    <n v="0"/>
    <n v="1"/>
    <s v="35-44"/>
    <s v="Medium"/>
    <s v="0-5 Years"/>
  </r>
  <r>
    <n v="348"/>
    <n v="47"/>
    <x v="1"/>
    <s v="Travel_Frequently"/>
    <n v="1309"/>
    <s v="Sales"/>
    <n v="4"/>
    <n v="1"/>
    <s v="Medical"/>
    <n v="467"/>
    <n v="2"/>
    <s v="Male"/>
    <n v="99"/>
    <n v="3"/>
    <n v="2"/>
    <s v="Sales Representative"/>
    <n v="3"/>
    <s v="Single"/>
    <n v="2976"/>
    <n v="25751"/>
    <n v="3"/>
    <s v="No"/>
    <n v="19"/>
    <n v="3"/>
    <n v="1"/>
    <n v="80"/>
    <n v="0"/>
    <n v="5"/>
    <n v="3"/>
    <n v="3"/>
    <n v="0"/>
    <n v="0"/>
    <n v="0"/>
    <n v="0"/>
    <n v="0"/>
    <n v="1"/>
    <s v="45-54"/>
    <s v="Low"/>
    <s v="0-5 Years"/>
  </r>
  <r>
    <n v="349"/>
    <n v="42"/>
    <x v="1"/>
    <s v="Travel_Rarely"/>
    <n v="810"/>
    <s v="Research &amp; Development"/>
    <n v="23"/>
    <n v="5"/>
    <s v="Life Sciences"/>
    <n v="468"/>
    <n v="1"/>
    <s v="Female"/>
    <n v="44"/>
    <n v="3"/>
    <n v="4"/>
    <s v="Research Director"/>
    <n v="4"/>
    <s v="Single"/>
    <n v="15992"/>
    <n v="15901"/>
    <n v="2"/>
    <s v="No"/>
    <n v="14"/>
    <n v="3"/>
    <n v="2"/>
    <n v="80"/>
    <n v="0"/>
    <n v="16"/>
    <n v="2"/>
    <n v="3"/>
    <n v="1"/>
    <n v="0"/>
    <n v="0"/>
    <n v="0"/>
    <n v="0"/>
    <n v="1"/>
    <s v="35-44"/>
    <s v="High"/>
    <s v="0-5 Years"/>
  </r>
  <r>
    <n v="350"/>
    <n v="29"/>
    <x v="1"/>
    <s v="Non-Travel"/>
    <n v="746"/>
    <s v="Sales"/>
    <n v="2"/>
    <n v="3"/>
    <s v="Life Sciences"/>
    <n v="469"/>
    <n v="4"/>
    <s v="Male"/>
    <n v="61"/>
    <n v="3"/>
    <n v="2"/>
    <s v="Sales Executive"/>
    <n v="3"/>
    <s v="Married"/>
    <n v="4649"/>
    <n v="16928"/>
    <n v="1"/>
    <s v="No"/>
    <n v="14"/>
    <n v="3"/>
    <n v="1"/>
    <n v="80"/>
    <n v="1"/>
    <n v="4"/>
    <n v="3"/>
    <n v="2"/>
    <n v="4"/>
    <n v="3"/>
    <n v="0"/>
    <n v="2"/>
    <n v="0"/>
    <n v="1"/>
    <s v="25-34"/>
    <s v="Low"/>
    <s v="0-5 Years"/>
  </r>
  <r>
    <n v="351"/>
    <n v="42"/>
    <x v="1"/>
    <s v="Travel_Rarely"/>
    <n v="544"/>
    <s v="Human Resources"/>
    <n v="2"/>
    <n v="1"/>
    <s v="Technical Degree"/>
    <n v="470"/>
    <n v="3"/>
    <s v="Male"/>
    <n v="52"/>
    <n v="3"/>
    <n v="1"/>
    <s v="Human Resources"/>
    <n v="3"/>
    <s v="Divorced"/>
    <n v="2696"/>
    <n v="24017"/>
    <n v="0"/>
    <s v="Yes"/>
    <n v="11"/>
    <n v="3"/>
    <n v="3"/>
    <n v="80"/>
    <n v="1"/>
    <n v="4"/>
    <n v="5"/>
    <n v="3"/>
    <n v="3"/>
    <n v="2"/>
    <n v="1"/>
    <n v="0"/>
    <n v="0"/>
    <n v="1"/>
    <s v="35-44"/>
    <s v="Low"/>
    <s v="0-5 Years"/>
  </r>
  <r>
    <n v="352"/>
    <n v="32"/>
    <x v="1"/>
    <s v="Travel_Rarely"/>
    <n v="1062"/>
    <s v="Research &amp; Development"/>
    <n v="2"/>
    <n v="3"/>
    <s v="Medical"/>
    <n v="471"/>
    <n v="3"/>
    <s v="Female"/>
    <n v="75"/>
    <n v="3"/>
    <n v="1"/>
    <s v="Laboratory Technician"/>
    <n v="2"/>
    <s v="Married"/>
    <n v="2370"/>
    <n v="3956"/>
    <n v="1"/>
    <s v="No"/>
    <n v="13"/>
    <n v="3"/>
    <n v="3"/>
    <n v="80"/>
    <n v="1"/>
    <n v="8"/>
    <n v="4"/>
    <n v="3"/>
    <n v="8"/>
    <n v="0"/>
    <n v="0"/>
    <n v="7"/>
    <n v="0"/>
    <n v="1"/>
    <s v="25-34"/>
    <s v="Low"/>
    <s v="6-10 Years"/>
  </r>
  <r>
    <n v="353"/>
    <n v="48"/>
    <x v="1"/>
    <s v="Travel_Rarely"/>
    <n v="530"/>
    <s v="Sales"/>
    <n v="29"/>
    <n v="1"/>
    <s v="Medical"/>
    <n v="473"/>
    <n v="1"/>
    <s v="Female"/>
    <n v="91"/>
    <n v="3"/>
    <n v="3"/>
    <s v="Manager"/>
    <n v="3"/>
    <s v="Married"/>
    <n v="12504"/>
    <n v="23978"/>
    <n v="3"/>
    <s v="No"/>
    <n v="21"/>
    <n v="4"/>
    <n v="2"/>
    <n v="80"/>
    <n v="1"/>
    <n v="15"/>
    <n v="3"/>
    <n v="1"/>
    <n v="0"/>
    <n v="0"/>
    <n v="0"/>
    <n v="0"/>
    <n v="0"/>
    <n v="1"/>
    <s v="45-54"/>
    <s v="Upper Medium"/>
    <s v="0-5 Years"/>
  </r>
  <r>
    <n v="354"/>
    <n v="37"/>
    <x v="1"/>
    <s v="Travel_Rarely"/>
    <n v="1319"/>
    <s v="Research &amp; Development"/>
    <n v="6"/>
    <n v="3"/>
    <s v="Medical"/>
    <n v="474"/>
    <n v="3"/>
    <s v="Male"/>
    <n v="51"/>
    <n v="4"/>
    <n v="2"/>
    <s v="Research Scientist"/>
    <n v="1"/>
    <s v="Divorced"/>
    <n v="5974"/>
    <n v="17001"/>
    <n v="4"/>
    <s v="Yes"/>
    <n v="13"/>
    <n v="3"/>
    <n v="1"/>
    <n v="80"/>
    <n v="2"/>
    <n v="13"/>
    <n v="2"/>
    <n v="3"/>
    <n v="7"/>
    <n v="7"/>
    <n v="6"/>
    <n v="7"/>
    <n v="0"/>
    <n v="1"/>
    <s v="35-44"/>
    <s v="Medium"/>
    <s v="6-10 Years"/>
  </r>
  <r>
    <n v="355"/>
    <n v="30"/>
    <x v="1"/>
    <s v="Non-Travel"/>
    <n v="641"/>
    <s v="Sales"/>
    <n v="25"/>
    <n v="2"/>
    <s v="Technical Degree"/>
    <n v="475"/>
    <n v="4"/>
    <s v="Female"/>
    <n v="85"/>
    <n v="3"/>
    <n v="2"/>
    <s v="Sales Executive"/>
    <n v="3"/>
    <s v="Married"/>
    <n v="4736"/>
    <n v="6069"/>
    <n v="7"/>
    <s v="Yes"/>
    <n v="12"/>
    <n v="3"/>
    <n v="2"/>
    <n v="80"/>
    <n v="1"/>
    <n v="4"/>
    <n v="2"/>
    <n v="4"/>
    <n v="2"/>
    <n v="2"/>
    <n v="2"/>
    <n v="2"/>
    <n v="0"/>
    <n v="1"/>
    <s v="25-34"/>
    <s v="Low"/>
    <s v="0-5 Years"/>
  </r>
  <r>
    <n v="356"/>
    <n v="26"/>
    <x v="1"/>
    <s v="Travel_Rarely"/>
    <n v="933"/>
    <s v="Sales"/>
    <n v="1"/>
    <n v="3"/>
    <s v="Life Sciences"/>
    <n v="476"/>
    <n v="3"/>
    <s v="Male"/>
    <n v="57"/>
    <n v="3"/>
    <n v="2"/>
    <s v="Sales Executive"/>
    <n v="3"/>
    <s v="Married"/>
    <n v="5296"/>
    <n v="20156"/>
    <n v="1"/>
    <s v="No"/>
    <n v="17"/>
    <n v="3"/>
    <n v="2"/>
    <n v="80"/>
    <n v="1"/>
    <n v="8"/>
    <n v="3"/>
    <n v="3"/>
    <n v="8"/>
    <n v="7"/>
    <n v="7"/>
    <n v="7"/>
    <n v="0"/>
    <n v="1"/>
    <s v="25-34"/>
    <s v="Medium"/>
    <s v="6-10 Years"/>
  </r>
  <r>
    <n v="357"/>
    <n v="42"/>
    <x v="1"/>
    <s v="Travel_Rarely"/>
    <n v="1332"/>
    <s v="Research &amp; Development"/>
    <n v="2"/>
    <n v="4"/>
    <s v="Other"/>
    <n v="477"/>
    <n v="1"/>
    <s v="Male"/>
    <n v="98"/>
    <n v="2"/>
    <n v="2"/>
    <s v="Healthcare Representative"/>
    <n v="4"/>
    <s v="Single"/>
    <n v="6781"/>
    <n v="17078"/>
    <n v="3"/>
    <s v="No"/>
    <n v="23"/>
    <n v="4"/>
    <n v="2"/>
    <n v="80"/>
    <n v="0"/>
    <n v="14"/>
    <n v="6"/>
    <n v="3"/>
    <n v="1"/>
    <n v="0"/>
    <n v="0"/>
    <n v="0"/>
    <n v="0"/>
    <n v="1"/>
    <s v="35-44"/>
    <s v="Medium"/>
    <s v="0-5 Years"/>
  </r>
  <r>
    <n v="358"/>
    <n v="21"/>
    <x v="0"/>
    <s v="Travel_Frequently"/>
    <n v="756"/>
    <s v="Sales"/>
    <n v="1"/>
    <n v="1"/>
    <s v="Technical Degree"/>
    <n v="478"/>
    <n v="1"/>
    <s v="Female"/>
    <n v="99"/>
    <n v="2"/>
    <n v="1"/>
    <s v="Sales Representative"/>
    <n v="2"/>
    <s v="Single"/>
    <n v="2174"/>
    <n v="9150"/>
    <n v="1"/>
    <s v="Yes"/>
    <n v="11"/>
    <n v="3"/>
    <n v="3"/>
    <n v="80"/>
    <n v="0"/>
    <n v="3"/>
    <n v="3"/>
    <n v="3"/>
    <n v="3"/>
    <n v="2"/>
    <n v="1"/>
    <n v="2"/>
    <n v="1"/>
    <n v="0"/>
    <s v="Under 25"/>
    <s v="Low"/>
    <s v="0-5 Years"/>
  </r>
  <r>
    <n v="359"/>
    <n v="36"/>
    <x v="1"/>
    <s v="Non-Travel"/>
    <n v="845"/>
    <s v="Sales"/>
    <n v="1"/>
    <n v="5"/>
    <s v="Medical"/>
    <n v="479"/>
    <n v="4"/>
    <s v="Female"/>
    <n v="45"/>
    <n v="3"/>
    <n v="2"/>
    <s v="Sales Executive"/>
    <n v="4"/>
    <s v="Single"/>
    <n v="6653"/>
    <n v="15276"/>
    <n v="4"/>
    <s v="No"/>
    <n v="15"/>
    <n v="3"/>
    <n v="2"/>
    <n v="80"/>
    <n v="0"/>
    <n v="7"/>
    <n v="6"/>
    <n v="3"/>
    <n v="1"/>
    <n v="0"/>
    <n v="0"/>
    <n v="0"/>
    <n v="0"/>
    <n v="1"/>
    <s v="35-44"/>
    <s v="Medium"/>
    <s v="0-5 Years"/>
  </r>
  <r>
    <n v="360"/>
    <n v="36"/>
    <x v="1"/>
    <s v="Travel_Frequently"/>
    <n v="541"/>
    <s v="Sales"/>
    <n v="3"/>
    <n v="4"/>
    <s v="Medical"/>
    <n v="481"/>
    <n v="1"/>
    <s v="Male"/>
    <n v="48"/>
    <n v="2"/>
    <n v="3"/>
    <s v="Sales Executive"/>
    <n v="4"/>
    <s v="Married"/>
    <n v="9699"/>
    <n v="7246"/>
    <n v="4"/>
    <s v="No"/>
    <n v="11"/>
    <n v="3"/>
    <n v="1"/>
    <n v="80"/>
    <n v="1"/>
    <n v="16"/>
    <n v="2"/>
    <n v="3"/>
    <n v="13"/>
    <n v="9"/>
    <n v="1"/>
    <n v="12"/>
    <n v="0"/>
    <n v="1"/>
    <s v="35-44"/>
    <s v="Medium"/>
    <s v="11-20 Years"/>
  </r>
  <r>
    <n v="361"/>
    <n v="57"/>
    <x v="1"/>
    <s v="Travel_Rarely"/>
    <n v="593"/>
    <s v="Research &amp; Development"/>
    <n v="1"/>
    <n v="4"/>
    <s v="Medical"/>
    <n v="482"/>
    <n v="4"/>
    <s v="Male"/>
    <n v="88"/>
    <n v="3"/>
    <n v="2"/>
    <s v="Healthcare Representative"/>
    <n v="3"/>
    <s v="Married"/>
    <n v="6755"/>
    <n v="2967"/>
    <n v="2"/>
    <s v="No"/>
    <n v="11"/>
    <n v="3"/>
    <n v="3"/>
    <n v="80"/>
    <n v="0"/>
    <n v="15"/>
    <n v="2"/>
    <n v="3"/>
    <n v="3"/>
    <n v="2"/>
    <n v="1"/>
    <n v="2"/>
    <n v="0"/>
    <n v="1"/>
    <s v="55+"/>
    <s v="Medium"/>
    <s v="0-5 Years"/>
  </r>
  <r>
    <n v="362"/>
    <n v="40"/>
    <x v="1"/>
    <s v="Travel_Rarely"/>
    <n v="1171"/>
    <s v="Research &amp; Development"/>
    <n v="10"/>
    <n v="4"/>
    <s v="Life Sciences"/>
    <n v="483"/>
    <n v="4"/>
    <s v="Female"/>
    <n v="46"/>
    <n v="4"/>
    <n v="1"/>
    <s v="Laboratory Technician"/>
    <n v="3"/>
    <s v="Married"/>
    <n v="2213"/>
    <n v="22495"/>
    <n v="3"/>
    <s v="Yes"/>
    <n v="13"/>
    <n v="3"/>
    <n v="3"/>
    <n v="80"/>
    <n v="1"/>
    <n v="10"/>
    <n v="3"/>
    <n v="3"/>
    <n v="7"/>
    <n v="7"/>
    <n v="1"/>
    <n v="7"/>
    <n v="0"/>
    <n v="1"/>
    <s v="35-44"/>
    <s v="Low"/>
    <s v="6-10 Years"/>
  </r>
  <r>
    <n v="363"/>
    <n v="21"/>
    <x v="1"/>
    <s v="Non-Travel"/>
    <n v="895"/>
    <s v="Sales"/>
    <n v="9"/>
    <n v="2"/>
    <s v="Medical"/>
    <n v="484"/>
    <n v="1"/>
    <s v="Male"/>
    <n v="39"/>
    <n v="3"/>
    <n v="1"/>
    <s v="Sales Representative"/>
    <n v="4"/>
    <s v="Single"/>
    <n v="2610"/>
    <n v="2851"/>
    <n v="1"/>
    <s v="No"/>
    <n v="24"/>
    <n v="4"/>
    <n v="3"/>
    <n v="80"/>
    <n v="0"/>
    <n v="3"/>
    <n v="3"/>
    <n v="2"/>
    <n v="3"/>
    <n v="2"/>
    <n v="2"/>
    <n v="2"/>
    <n v="0"/>
    <n v="1"/>
    <s v="Under 25"/>
    <s v="Low"/>
    <s v="0-5 Years"/>
  </r>
  <r>
    <n v="364"/>
    <n v="33"/>
    <x v="0"/>
    <s v="Travel_Rarely"/>
    <n v="350"/>
    <s v="Sales"/>
    <n v="5"/>
    <n v="3"/>
    <s v="Marketing"/>
    <n v="485"/>
    <n v="4"/>
    <s v="Female"/>
    <n v="34"/>
    <n v="3"/>
    <n v="1"/>
    <s v="Sales Representative"/>
    <n v="3"/>
    <s v="Single"/>
    <n v="2851"/>
    <n v="9150"/>
    <n v="1"/>
    <s v="Yes"/>
    <n v="13"/>
    <n v="3"/>
    <n v="2"/>
    <n v="80"/>
    <n v="0"/>
    <n v="1"/>
    <n v="2"/>
    <n v="3"/>
    <n v="1"/>
    <n v="0"/>
    <n v="0"/>
    <n v="0"/>
    <n v="1"/>
    <n v="0"/>
    <s v="25-34"/>
    <s v="Low"/>
    <s v="0-5 Years"/>
  </r>
  <r>
    <n v="365"/>
    <n v="37"/>
    <x v="1"/>
    <s v="Travel_Rarely"/>
    <n v="921"/>
    <s v="Research &amp; Development"/>
    <n v="10"/>
    <n v="3"/>
    <s v="Medical"/>
    <n v="486"/>
    <n v="3"/>
    <s v="Female"/>
    <n v="98"/>
    <n v="3"/>
    <n v="1"/>
    <s v="Laboratory Technician"/>
    <n v="1"/>
    <s v="Married"/>
    <n v="3452"/>
    <n v="17663"/>
    <n v="6"/>
    <s v="No"/>
    <n v="20"/>
    <n v="4"/>
    <n v="2"/>
    <n v="80"/>
    <n v="1"/>
    <n v="17"/>
    <n v="3"/>
    <n v="3"/>
    <n v="5"/>
    <n v="4"/>
    <n v="0"/>
    <n v="3"/>
    <n v="0"/>
    <n v="1"/>
    <s v="35-44"/>
    <s v="Low"/>
    <s v="0-5 Years"/>
  </r>
  <r>
    <n v="366"/>
    <n v="46"/>
    <x v="1"/>
    <s v="Non-Travel"/>
    <n v="1144"/>
    <s v="Research &amp; Development"/>
    <n v="7"/>
    <n v="4"/>
    <s v="Medical"/>
    <n v="487"/>
    <n v="3"/>
    <s v="Female"/>
    <n v="30"/>
    <n v="3"/>
    <n v="2"/>
    <s v="Manufacturing Director"/>
    <n v="3"/>
    <s v="Married"/>
    <n v="5258"/>
    <n v="16044"/>
    <n v="2"/>
    <s v="No"/>
    <n v="14"/>
    <n v="3"/>
    <n v="3"/>
    <n v="80"/>
    <n v="0"/>
    <n v="7"/>
    <n v="2"/>
    <n v="4"/>
    <n v="1"/>
    <n v="0"/>
    <n v="0"/>
    <n v="0"/>
    <n v="0"/>
    <n v="1"/>
    <s v="45-54"/>
    <s v="Medium"/>
    <s v="0-5 Years"/>
  </r>
  <r>
    <n v="367"/>
    <n v="41"/>
    <x v="0"/>
    <s v="Travel_Frequently"/>
    <n v="143"/>
    <s v="Sales"/>
    <n v="4"/>
    <n v="3"/>
    <s v="Marketing"/>
    <n v="488"/>
    <n v="1"/>
    <s v="Male"/>
    <n v="56"/>
    <n v="3"/>
    <n v="2"/>
    <s v="Sales Executive"/>
    <n v="2"/>
    <s v="Single"/>
    <n v="9355"/>
    <n v="9558"/>
    <n v="1"/>
    <s v="No"/>
    <n v="18"/>
    <n v="3"/>
    <n v="3"/>
    <n v="80"/>
    <n v="0"/>
    <n v="8"/>
    <n v="5"/>
    <n v="3"/>
    <n v="8"/>
    <n v="7"/>
    <n v="7"/>
    <n v="7"/>
    <n v="1"/>
    <n v="0"/>
    <s v="35-44"/>
    <s v="Medium"/>
    <s v="6-10 Years"/>
  </r>
  <r>
    <n v="368"/>
    <n v="50"/>
    <x v="1"/>
    <s v="Travel_Rarely"/>
    <n v="1046"/>
    <s v="Research &amp; Development"/>
    <n v="10"/>
    <n v="3"/>
    <s v="Technical Degree"/>
    <n v="491"/>
    <n v="4"/>
    <s v="Male"/>
    <n v="100"/>
    <n v="2"/>
    <n v="3"/>
    <s v="Healthcare Representative"/>
    <n v="4"/>
    <s v="Single"/>
    <n v="10496"/>
    <n v="2755"/>
    <n v="6"/>
    <s v="No"/>
    <n v="15"/>
    <n v="3"/>
    <n v="4"/>
    <n v="80"/>
    <n v="0"/>
    <n v="20"/>
    <n v="2"/>
    <n v="3"/>
    <n v="4"/>
    <n v="3"/>
    <n v="1"/>
    <n v="3"/>
    <n v="0"/>
    <n v="1"/>
    <s v="45-54"/>
    <s v="Upper Medium"/>
    <s v="0-5 Years"/>
  </r>
  <r>
    <n v="369"/>
    <n v="40"/>
    <x v="0"/>
    <s v="Travel_Rarely"/>
    <n v="575"/>
    <s v="Sales"/>
    <n v="22"/>
    <n v="2"/>
    <s v="Marketing"/>
    <n v="492"/>
    <n v="3"/>
    <s v="Male"/>
    <n v="68"/>
    <n v="2"/>
    <n v="2"/>
    <s v="Sales Executive"/>
    <n v="3"/>
    <s v="Married"/>
    <n v="6380"/>
    <n v="6110"/>
    <n v="2"/>
    <s v="Yes"/>
    <n v="12"/>
    <n v="3"/>
    <n v="1"/>
    <n v="80"/>
    <n v="2"/>
    <n v="8"/>
    <n v="6"/>
    <n v="3"/>
    <n v="6"/>
    <n v="4"/>
    <n v="1"/>
    <n v="0"/>
    <n v="1"/>
    <n v="0"/>
    <s v="35-44"/>
    <s v="Medium"/>
    <s v="6-10 Years"/>
  </r>
  <r>
    <n v="370"/>
    <n v="31"/>
    <x v="1"/>
    <s v="Travel_Rarely"/>
    <n v="408"/>
    <s v="Research &amp; Development"/>
    <n v="9"/>
    <n v="4"/>
    <s v="Life Sciences"/>
    <n v="493"/>
    <n v="3"/>
    <s v="Male"/>
    <n v="42"/>
    <n v="2"/>
    <n v="1"/>
    <s v="Research Scientist"/>
    <n v="2"/>
    <s v="Single"/>
    <n v="2657"/>
    <n v="7551"/>
    <n v="0"/>
    <s v="Yes"/>
    <n v="16"/>
    <n v="3"/>
    <n v="4"/>
    <n v="80"/>
    <n v="0"/>
    <n v="3"/>
    <n v="5"/>
    <n v="3"/>
    <n v="2"/>
    <n v="2"/>
    <n v="2"/>
    <n v="2"/>
    <n v="0"/>
    <n v="1"/>
    <s v="25-34"/>
    <s v="Low"/>
    <s v="0-5 Years"/>
  </r>
  <r>
    <n v="371"/>
    <n v="21"/>
    <x v="0"/>
    <s v="Travel_Rarely"/>
    <n v="156"/>
    <s v="Sales"/>
    <n v="12"/>
    <n v="3"/>
    <s v="Life Sciences"/>
    <n v="494"/>
    <n v="3"/>
    <s v="Female"/>
    <n v="90"/>
    <n v="4"/>
    <n v="1"/>
    <s v="Sales Representative"/>
    <n v="2"/>
    <s v="Single"/>
    <n v="2716"/>
    <n v="25422"/>
    <n v="1"/>
    <s v="No"/>
    <n v="15"/>
    <n v="3"/>
    <n v="4"/>
    <n v="80"/>
    <n v="0"/>
    <n v="1"/>
    <n v="0"/>
    <n v="3"/>
    <n v="1"/>
    <n v="0"/>
    <n v="0"/>
    <n v="0"/>
    <n v="1"/>
    <n v="0"/>
    <s v="Under 25"/>
    <s v="Low"/>
    <s v="0-5 Years"/>
  </r>
  <r>
    <n v="372"/>
    <n v="29"/>
    <x v="1"/>
    <s v="Travel_Rarely"/>
    <n v="1283"/>
    <s v="Research &amp; Development"/>
    <n v="23"/>
    <n v="3"/>
    <s v="Life Sciences"/>
    <n v="495"/>
    <n v="4"/>
    <s v="Male"/>
    <n v="54"/>
    <n v="3"/>
    <n v="1"/>
    <s v="Research Scientist"/>
    <n v="4"/>
    <s v="Single"/>
    <n v="2201"/>
    <n v="18168"/>
    <n v="9"/>
    <s v="No"/>
    <n v="16"/>
    <n v="3"/>
    <n v="4"/>
    <n v="80"/>
    <n v="0"/>
    <n v="6"/>
    <n v="4"/>
    <n v="3"/>
    <n v="3"/>
    <n v="2"/>
    <n v="1"/>
    <n v="2"/>
    <n v="0"/>
    <n v="1"/>
    <s v="25-34"/>
    <s v="Low"/>
    <s v="0-5 Years"/>
  </r>
  <r>
    <n v="373"/>
    <n v="35"/>
    <x v="1"/>
    <s v="Travel_Rarely"/>
    <n v="755"/>
    <s v="Research &amp; Development"/>
    <n v="9"/>
    <n v="4"/>
    <s v="Life Sciences"/>
    <n v="496"/>
    <n v="3"/>
    <s v="Male"/>
    <n v="97"/>
    <n v="2"/>
    <n v="2"/>
    <s v="Healthcare Representative"/>
    <n v="2"/>
    <s v="Single"/>
    <n v="6540"/>
    <n v="19394"/>
    <n v="9"/>
    <s v="No"/>
    <n v="19"/>
    <n v="3"/>
    <n v="3"/>
    <n v="80"/>
    <n v="0"/>
    <n v="10"/>
    <n v="5"/>
    <n v="3"/>
    <n v="1"/>
    <n v="1"/>
    <n v="0"/>
    <n v="0"/>
    <n v="0"/>
    <n v="1"/>
    <s v="35-44"/>
    <s v="Medium"/>
    <s v="0-5 Years"/>
  </r>
  <r>
    <n v="374"/>
    <n v="27"/>
    <x v="1"/>
    <s v="Travel_Rarely"/>
    <n v="1469"/>
    <s v="Research &amp; Development"/>
    <n v="1"/>
    <n v="2"/>
    <s v="Medical"/>
    <n v="497"/>
    <n v="4"/>
    <s v="Male"/>
    <n v="82"/>
    <n v="3"/>
    <n v="1"/>
    <s v="Laboratory Technician"/>
    <n v="2"/>
    <s v="Divorced"/>
    <n v="3816"/>
    <n v="17881"/>
    <n v="1"/>
    <s v="No"/>
    <n v="11"/>
    <n v="3"/>
    <n v="2"/>
    <n v="80"/>
    <n v="1"/>
    <n v="5"/>
    <n v="2"/>
    <n v="3"/>
    <n v="5"/>
    <n v="2"/>
    <n v="0"/>
    <n v="4"/>
    <n v="0"/>
    <n v="1"/>
    <s v="25-34"/>
    <s v="Low"/>
    <s v="0-5 Years"/>
  </r>
  <r>
    <n v="375"/>
    <n v="28"/>
    <x v="1"/>
    <s v="Travel_Rarely"/>
    <n v="304"/>
    <s v="Sales"/>
    <n v="9"/>
    <n v="4"/>
    <s v="Life Sciences"/>
    <n v="498"/>
    <n v="2"/>
    <s v="Male"/>
    <n v="92"/>
    <n v="3"/>
    <n v="2"/>
    <s v="Sales Executive"/>
    <n v="4"/>
    <s v="Single"/>
    <n v="5253"/>
    <n v="20750"/>
    <n v="1"/>
    <s v="No"/>
    <n v="16"/>
    <n v="3"/>
    <n v="4"/>
    <n v="80"/>
    <n v="0"/>
    <n v="7"/>
    <n v="1"/>
    <n v="3"/>
    <n v="7"/>
    <n v="5"/>
    <n v="0"/>
    <n v="7"/>
    <n v="0"/>
    <n v="1"/>
    <s v="25-34"/>
    <s v="Medium"/>
    <s v="6-10 Years"/>
  </r>
  <r>
    <n v="376"/>
    <n v="49"/>
    <x v="1"/>
    <s v="Travel_Rarely"/>
    <n v="1261"/>
    <s v="Research &amp; Development"/>
    <n v="7"/>
    <n v="3"/>
    <s v="Other"/>
    <n v="499"/>
    <n v="2"/>
    <s v="Male"/>
    <n v="31"/>
    <n v="2"/>
    <n v="3"/>
    <s v="Healthcare Representative"/>
    <n v="3"/>
    <s v="Single"/>
    <n v="10965"/>
    <n v="12066"/>
    <n v="8"/>
    <s v="No"/>
    <n v="24"/>
    <n v="4"/>
    <n v="3"/>
    <n v="80"/>
    <n v="0"/>
    <n v="26"/>
    <n v="2"/>
    <n v="3"/>
    <n v="5"/>
    <n v="2"/>
    <n v="0"/>
    <n v="0"/>
    <n v="0"/>
    <n v="1"/>
    <s v="45-54"/>
    <s v="Upper Medium"/>
    <s v="0-5 Years"/>
  </r>
  <r>
    <n v="377"/>
    <n v="51"/>
    <x v="1"/>
    <s v="Travel_Rarely"/>
    <n v="1178"/>
    <s v="Sales"/>
    <n v="14"/>
    <n v="2"/>
    <s v="Life Sciences"/>
    <n v="500"/>
    <n v="3"/>
    <s v="Female"/>
    <n v="87"/>
    <n v="3"/>
    <n v="2"/>
    <s v="Sales Executive"/>
    <n v="4"/>
    <s v="Married"/>
    <n v="4936"/>
    <n v="14862"/>
    <n v="4"/>
    <s v="No"/>
    <n v="11"/>
    <n v="3"/>
    <n v="3"/>
    <n v="80"/>
    <n v="1"/>
    <n v="18"/>
    <n v="2"/>
    <n v="2"/>
    <n v="7"/>
    <n v="7"/>
    <n v="0"/>
    <n v="7"/>
    <n v="0"/>
    <n v="1"/>
    <s v="45-54"/>
    <s v="Low"/>
    <s v="6-10 Years"/>
  </r>
  <r>
    <n v="378"/>
    <n v="36"/>
    <x v="1"/>
    <s v="Travel_Rarely"/>
    <n v="329"/>
    <s v="Research &amp; Development"/>
    <n v="2"/>
    <n v="3"/>
    <s v="Life Sciences"/>
    <n v="501"/>
    <n v="4"/>
    <s v="Female"/>
    <n v="96"/>
    <n v="3"/>
    <n v="1"/>
    <s v="Research Scientist"/>
    <n v="3"/>
    <s v="Married"/>
    <n v="2543"/>
    <n v="11868"/>
    <n v="4"/>
    <s v="No"/>
    <n v="13"/>
    <n v="3"/>
    <n v="2"/>
    <n v="80"/>
    <n v="1"/>
    <n v="6"/>
    <n v="3"/>
    <n v="3"/>
    <n v="2"/>
    <n v="2"/>
    <n v="2"/>
    <n v="2"/>
    <n v="0"/>
    <n v="1"/>
    <s v="35-44"/>
    <s v="Low"/>
    <s v="0-5 Years"/>
  </r>
  <r>
    <n v="379"/>
    <n v="34"/>
    <x v="0"/>
    <s v="Non-Travel"/>
    <n v="1362"/>
    <s v="Sales"/>
    <n v="19"/>
    <n v="3"/>
    <s v="Marketing"/>
    <n v="502"/>
    <n v="1"/>
    <s v="Male"/>
    <n v="67"/>
    <n v="4"/>
    <n v="2"/>
    <s v="Sales Executive"/>
    <n v="4"/>
    <s v="Single"/>
    <n v="5304"/>
    <n v="4652"/>
    <n v="8"/>
    <s v="Yes"/>
    <n v="13"/>
    <n v="3"/>
    <n v="2"/>
    <n v="80"/>
    <n v="0"/>
    <n v="9"/>
    <n v="3"/>
    <n v="2"/>
    <n v="5"/>
    <n v="2"/>
    <n v="0"/>
    <n v="4"/>
    <n v="1"/>
    <n v="0"/>
    <s v="25-34"/>
    <s v="Medium"/>
    <s v="0-5 Years"/>
  </r>
  <r>
    <n v="380"/>
    <n v="55"/>
    <x v="1"/>
    <s v="Travel_Rarely"/>
    <n v="1311"/>
    <s v="Research &amp; Development"/>
    <n v="2"/>
    <n v="3"/>
    <s v="Life Sciences"/>
    <n v="505"/>
    <n v="3"/>
    <s v="Female"/>
    <n v="97"/>
    <n v="3"/>
    <n v="4"/>
    <s v="Manager"/>
    <n v="4"/>
    <s v="Single"/>
    <n v="16659"/>
    <n v="23258"/>
    <n v="2"/>
    <s v="Yes"/>
    <n v="13"/>
    <n v="3"/>
    <n v="3"/>
    <n v="80"/>
    <n v="0"/>
    <n v="30"/>
    <n v="2"/>
    <n v="3"/>
    <n v="5"/>
    <n v="4"/>
    <n v="1"/>
    <n v="2"/>
    <n v="0"/>
    <n v="1"/>
    <s v="55+"/>
    <s v="High"/>
    <s v="0-5 Years"/>
  </r>
  <r>
    <n v="381"/>
    <n v="24"/>
    <x v="1"/>
    <s v="Travel_Rarely"/>
    <n v="1371"/>
    <s v="Sales"/>
    <n v="10"/>
    <n v="4"/>
    <s v="Marketing"/>
    <n v="507"/>
    <n v="4"/>
    <s v="Female"/>
    <n v="77"/>
    <n v="3"/>
    <n v="2"/>
    <s v="Sales Executive"/>
    <n v="3"/>
    <s v="Divorced"/>
    <n v="4260"/>
    <n v="5915"/>
    <n v="1"/>
    <s v="Yes"/>
    <n v="12"/>
    <n v="3"/>
    <n v="4"/>
    <n v="80"/>
    <n v="1"/>
    <n v="5"/>
    <n v="2"/>
    <n v="4"/>
    <n v="5"/>
    <n v="2"/>
    <n v="0"/>
    <n v="3"/>
    <n v="0"/>
    <n v="1"/>
    <s v="Under 25"/>
    <s v="Low"/>
    <s v="0-5 Years"/>
  </r>
  <r>
    <n v="382"/>
    <n v="30"/>
    <x v="1"/>
    <s v="Travel_Rarely"/>
    <n v="202"/>
    <s v="Sales"/>
    <n v="2"/>
    <n v="1"/>
    <s v="Technical Degree"/>
    <n v="508"/>
    <n v="3"/>
    <s v="Male"/>
    <n v="72"/>
    <n v="3"/>
    <n v="1"/>
    <s v="Sales Representative"/>
    <n v="2"/>
    <s v="Married"/>
    <n v="2476"/>
    <n v="17434"/>
    <n v="1"/>
    <s v="No"/>
    <n v="18"/>
    <n v="3"/>
    <n v="1"/>
    <n v="80"/>
    <n v="1"/>
    <n v="1"/>
    <n v="3"/>
    <n v="3"/>
    <n v="1"/>
    <n v="0"/>
    <n v="0"/>
    <n v="0"/>
    <n v="0"/>
    <n v="1"/>
    <s v="25-34"/>
    <s v="Low"/>
    <s v="0-5 Years"/>
  </r>
  <r>
    <n v="383"/>
    <n v="26"/>
    <x v="0"/>
    <s v="Travel_Frequently"/>
    <n v="575"/>
    <s v="Research &amp; Development"/>
    <n v="3"/>
    <n v="1"/>
    <s v="Technical Degree"/>
    <n v="510"/>
    <n v="3"/>
    <s v="Male"/>
    <n v="73"/>
    <n v="3"/>
    <n v="1"/>
    <s v="Research Scientist"/>
    <n v="1"/>
    <s v="Single"/>
    <n v="3102"/>
    <n v="6582"/>
    <n v="0"/>
    <s v="No"/>
    <n v="22"/>
    <n v="4"/>
    <n v="3"/>
    <n v="80"/>
    <n v="0"/>
    <n v="7"/>
    <n v="2"/>
    <n v="3"/>
    <n v="6"/>
    <n v="4"/>
    <n v="0"/>
    <n v="4"/>
    <n v="1"/>
    <n v="0"/>
    <s v="25-34"/>
    <s v="Low"/>
    <s v="6-10 Years"/>
  </r>
  <r>
    <n v="384"/>
    <n v="22"/>
    <x v="1"/>
    <s v="Travel_Rarely"/>
    <n v="253"/>
    <s v="Research &amp; Development"/>
    <n v="11"/>
    <n v="3"/>
    <s v="Medical"/>
    <n v="511"/>
    <n v="1"/>
    <s v="Female"/>
    <n v="43"/>
    <n v="3"/>
    <n v="1"/>
    <s v="Research Scientist"/>
    <n v="2"/>
    <s v="Married"/>
    <n v="2244"/>
    <n v="24440"/>
    <n v="1"/>
    <s v="No"/>
    <n v="13"/>
    <n v="3"/>
    <n v="4"/>
    <n v="80"/>
    <n v="1"/>
    <n v="2"/>
    <n v="1"/>
    <n v="3"/>
    <n v="2"/>
    <n v="1"/>
    <n v="1"/>
    <n v="2"/>
    <n v="0"/>
    <n v="1"/>
    <s v="Under 25"/>
    <s v="Low"/>
    <s v="0-5 Years"/>
  </r>
  <r>
    <n v="385"/>
    <n v="36"/>
    <x v="1"/>
    <s v="Travel_Rarely"/>
    <n v="164"/>
    <s v="Sales"/>
    <n v="2"/>
    <n v="2"/>
    <s v="Medical"/>
    <n v="513"/>
    <n v="2"/>
    <s v="Male"/>
    <n v="61"/>
    <n v="2"/>
    <n v="3"/>
    <s v="Sales Executive"/>
    <n v="3"/>
    <s v="Married"/>
    <n v="7596"/>
    <n v="3809"/>
    <n v="1"/>
    <s v="No"/>
    <n v="13"/>
    <n v="3"/>
    <n v="2"/>
    <n v="80"/>
    <n v="2"/>
    <n v="10"/>
    <n v="2"/>
    <n v="3"/>
    <n v="10"/>
    <n v="9"/>
    <n v="9"/>
    <n v="0"/>
    <n v="0"/>
    <n v="1"/>
    <s v="35-44"/>
    <s v="Medium"/>
    <s v="6-10 Years"/>
  </r>
  <r>
    <n v="386"/>
    <n v="30"/>
    <x v="0"/>
    <s v="Travel_Frequently"/>
    <n v="464"/>
    <s v="Research &amp; Development"/>
    <n v="4"/>
    <n v="3"/>
    <s v="Technical Degree"/>
    <n v="514"/>
    <n v="3"/>
    <s v="Male"/>
    <n v="40"/>
    <n v="3"/>
    <n v="1"/>
    <s v="Research Scientist"/>
    <n v="4"/>
    <s v="Single"/>
    <n v="2285"/>
    <n v="3427"/>
    <n v="9"/>
    <s v="Yes"/>
    <n v="23"/>
    <n v="4"/>
    <n v="3"/>
    <n v="80"/>
    <n v="0"/>
    <n v="3"/>
    <n v="4"/>
    <n v="3"/>
    <n v="1"/>
    <n v="0"/>
    <n v="0"/>
    <n v="0"/>
    <n v="1"/>
    <n v="0"/>
    <s v="25-34"/>
    <s v="Low"/>
    <s v="0-5 Years"/>
  </r>
  <r>
    <n v="387"/>
    <n v="37"/>
    <x v="1"/>
    <s v="Travel_Rarely"/>
    <n v="1107"/>
    <s v="Research &amp; Development"/>
    <n v="14"/>
    <n v="3"/>
    <s v="Life Sciences"/>
    <n v="515"/>
    <n v="4"/>
    <s v="Female"/>
    <n v="95"/>
    <n v="3"/>
    <n v="1"/>
    <s v="Laboratory Technician"/>
    <n v="1"/>
    <s v="Divorced"/>
    <n v="3034"/>
    <n v="26914"/>
    <n v="1"/>
    <s v="No"/>
    <n v="12"/>
    <n v="3"/>
    <n v="3"/>
    <n v="80"/>
    <n v="1"/>
    <n v="18"/>
    <n v="2"/>
    <n v="2"/>
    <n v="18"/>
    <n v="7"/>
    <n v="12"/>
    <n v="17"/>
    <n v="0"/>
    <n v="1"/>
    <s v="35-44"/>
    <s v="Low"/>
    <s v="11-20 Years"/>
  </r>
  <r>
    <n v="388"/>
    <n v="40"/>
    <x v="1"/>
    <s v="Travel_Rarely"/>
    <n v="759"/>
    <s v="Sales"/>
    <n v="2"/>
    <n v="2"/>
    <s v="Marketing"/>
    <n v="516"/>
    <n v="4"/>
    <s v="Female"/>
    <n v="46"/>
    <n v="3"/>
    <n v="2"/>
    <s v="Sales Executive"/>
    <n v="2"/>
    <s v="Divorced"/>
    <n v="5715"/>
    <n v="22553"/>
    <n v="7"/>
    <s v="No"/>
    <n v="12"/>
    <n v="3"/>
    <n v="3"/>
    <n v="80"/>
    <n v="2"/>
    <n v="8"/>
    <n v="5"/>
    <n v="3"/>
    <n v="5"/>
    <n v="4"/>
    <n v="1"/>
    <n v="3"/>
    <n v="0"/>
    <n v="1"/>
    <s v="35-44"/>
    <s v="Medium"/>
    <s v="0-5 Years"/>
  </r>
  <r>
    <n v="389"/>
    <n v="42"/>
    <x v="1"/>
    <s v="Travel_Rarely"/>
    <n v="201"/>
    <s v="Research &amp; Development"/>
    <n v="1"/>
    <n v="4"/>
    <s v="Life Sciences"/>
    <n v="517"/>
    <n v="2"/>
    <s v="Female"/>
    <n v="95"/>
    <n v="3"/>
    <n v="1"/>
    <s v="Laboratory Technician"/>
    <n v="1"/>
    <s v="Divorced"/>
    <n v="2576"/>
    <n v="20490"/>
    <n v="3"/>
    <s v="No"/>
    <n v="16"/>
    <n v="3"/>
    <n v="2"/>
    <n v="80"/>
    <n v="1"/>
    <n v="8"/>
    <n v="5"/>
    <n v="3"/>
    <n v="5"/>
    <n v="2"/>
    <n v="1"/>
    <n v="2"/>
    <n v="0"/>
    <n v="1"/>
    <s v="35-44"/>
    <s v="Low"/>
    <s v="0-5 Years"/>
  </r>
  <r>
    <n v="390"/>
    <n v="37"/>
    <x v="1"/>
    <s v="Travel_Rarely"/>
    <n v="1305"/>
    <s v="Research &amp; Development"/>
    <n v="10"/>
    <n v="4"/>
    <s v="Life Sciences"/>
    <n v="518"/>
    <n v="3"/>
    <s v="Male"/>
    <n v="49"/>
    <n v="3"/>
    <n v="2"/>
    <s v="Manufacturing Director"/>
    <n v="2"/>
    <s v="Single"/>
    <n v="4197"/>
    <n v="21123"/>
    <n v="2"/>
    <s v="Yes"/>
    <n v="12"/>
    <n v="3"/>
    <n v="4"/>
    <n v="80"/>
    <n v="0"/>
    <n v="18"/>
    <n v="2"/>
    <n v="2"/>
    <n v="1"/>
    <n v="0"/>
    <n v="0"/>
    <n v="1"/>
    <n v="0"/>
    <n v="1"/>
    <s v="35-44"/>
    <s v="Low"/>
    <s v="0-5 Years"/>
  </r>
  <r>
    <n v="391"/>
    <n v="43"/>
    <x v="1"/>
    <s v="Travel_Rarely"/>
    <n v="982"/>
    <s v="Research &amp; Development"/>
    <n v="12"/>
    <n v="3"/>
    <s v="Life Sciences"/>
    <n v="520"/>
    <n v="1"/>
    <s v="Male"/>
    <n v="59"/>
    <n v="2"/>
    <n v="4"/>
    <s v="Research Director"/>
    <n v="2"/>
    <s v="Divorced"/>
    <n v="14336"/>
    <n v="4345"/>
    <n v="1"/>
    <s v="No"/>
    <n v="11"/>
    <n v="3"/>
    <n v="3"/>
    <n v="80"/>
    <n v="1"/>
    <n v="25"/>
    <n v="3"/>
    <n v="3"/>
    <n v="25"/>
    <n v="10"/>
    <n v="3"/>
    <n v="9"/>
    <n v="0"/>
    <n v="1"/>
    <s v="35-44"/>
    <s v="Upper Medium"/>
    <s v="21+ Years"/>
  </r>
  <r>
    <n v="392"/>
    <n v="40"/>
    <x v="1"/>
    <s v="Travel_Rarely"/>
    <n v="555"/>
    <s v="Research &amp; Development"/>
    <n v="2"/>
    <n v="3"/>
    <s v="Medical"/>
    <n v="521"/>
    <n v="2"/>
    <s v="Female"/>
    <n v="78"/>
    <n v="2"/>
    <n v="2"/>
    <s v="Laboratory Technician"/>
    <n v="3"/>
    <s v="Married"/>
    <n v="3448"/>
    <n v="13436"/>
    <n v="6"/>
    <s v="No"/>
    <n v="22"/>
    <n v="4"/>
    <n v="2"/>
    <n v="80"/>
    <n v="1"/>
    <n v="20"/>
    <n v="3"/>
    <n v="3"/>
    <n v="1"/>
    <n v="0"/>
    <n v="0"/>
    <n v="0"/>
    <n v="0"/>
    <n v="1"/>
    <s v="35-44"/>
    <s v="Low"/>
    <s v="0-5 Years"/>
  </r>
  <r>
    <n v="393"/>
    <n v="54"/>
    <x v="1"/>
    <s v="Travel_Rarely"/>
    <n v="821"/>
    <s v="Research &amp; Development"/>
    <n v="5"/>
    <n v="2"/>
    <s v="Medical"/>
    <n v="522"/>
    <n v="1"/>
    <s v="Male"/>
    <n v="86"/>
    <n v="3"/>
    <n v="5"/>
    <s v="Research Director"/>
    <n v="1"/>
    <s v="Married"/>
    <n v="19406"/>
    <n v="8509"/>
    <n v="4"/>
    <s v="No"/>
    <n v="11"/>
    <n v="3"/>
    <n v="3"/>
    <n v="80"/>
    <n v="1"/>
    <n v="24"/>
    <n v="4"/>
    <n v="2"/>
    <n v="4"/>
    <n v="2"/>
    <n v="1"/>
    <n v="2"/>
    <n v="0"/>
    <n v="1"/>
    <s v="45-54"/>
    <s v="High"/>
    <s v="0-5 Years"/>
  </r>
  <r>
    <n v="394"/>
    <n v="34"/>
    <x v="1"/>
    <s v="Non-Travel"/>
    <n v="1381"/>
    <s v="Sales"/>
    <n v="4"/>
    <n v="4"/>
    <s v="Marketing"/>
    <n v="523"/>
    <n v="3"/>
    <s v="Female"/>
    <n v="72"/>
    <n v="3"/>
    <n v="2"/>
    <s v="Sales Executive"/>
    <n v="3"/>
    <s v="Married"/>
    <n v="6538"/>
    <n v="12740"/>
    <n v="9"/>
    <s v="No"/>
    <n v="15"/>
    <n v="3"/>
    <n v="1"/>
    <n v="80"/>
    <n v="1"/>
    <n v="6"/>
    <n v="3"/>
    <n v="3"/>
    <n v="3"/>
    <n v="2"/>
    <n v="1"/>
    <n v="2"/>
    <n v="0"/>
    <n v="1"/>
    <s v="25-34"/>
    <s v="Medium"/>
    <s v="0-5 Years"/>
  </r>
  <r>
    <n v="395"/>
    <n v="31"/>
    <x v="1"/>
    <s v="Travel_Rarely"/>
    <n v="480"/>
    <s v="Research &amp; Development"/>
    <n v="7"/>
    <n v="2"/>
    <s v="Medical"/>
    <n v="524"/>
    <n v="2"/>
    <s v="Female"/>
    <n v="31"/>
    <n v="3"/>
    <n v="2"/>
    <s v="Manufacturing Director"/>
    <n v="1"/>
    <s v="Married"/>
    <n v="4306"/>
    <n v="4156"/>
    <n v="1"/>
    <s v="No"/>
    <n v="12"/>
    <n v="3"/>
    <n v="2"/>
    <n v="80"/>
    <n v="1"/>
    <n v="13"/>
    <n v="5"/>
    <n v="1"/>
    <n v="13"/>
    <n v="10"/>
    <n v="3"/>
    <n v="12"/>
    <n v="0"/>
    <n v="1"/>
    <s v="25-34"/>
    <s v="Low"/>
    <s v="11-20 Years"/>
  </r>
  <r>
    <n v="396"/>
    <n v="43"/>
    <x v="1"/>
    <s v="Travel_Frequently"/>
    <n v="313"/>
    <s v="Research &amp; Development"/>
    <n v="21"/>
    <n v="3"/>
    <s v="Medical"/>
    <n v="525"/>
    <n v="4"/>
    <s v="Male"/>
    <n v="61"/>
    <n v="3"/>
    <n v="1"/>
    <s v="Laboratory Technician"/>
    <n v="4"/>
    <s v="Married"/>
    <n v="2258"/>
    <n v="15238"/>
    <n v="7"/>
    <s v="No"/>
    <n v="20"/>
    <n v="4"/>
    <n v="1"/>
    <n v="80"/>
    <n v="1"/>
    <n v="8"/>
    <n v="1"/>
    <n v="3"/>
    <n v="3"/>
    <n v="2"/>
    <n v="1"/>
    <n v="2"/>
    <n v="0"/>
    <n v="1"/>
    <s v="35-44"/>
    <s v="Low"/>
    <s v="0-5 Years"/>
  </r>
  <r>
    <n v="397"/>
    <n v="43"/>
    <x v="1"/>
    <s v="Travel_Rarely"/>
    <n v="1473"/>
    <s v="Research &amp; Development"/>
    <n v="8"/>
    <n v="4"/>
    <s v="Other"/>
    <n v="526"/>
    <n v="3"/>
    <s v="Female"/>
    <n v="74"/>
    <n v="3"/>
    <n v="2"/>
    <s v="Healthcare Representative"/>
    <n v="3"/>
    <s v="Divorced"/>
    <n v="4522"/>
    <n v="2227"/>
    <n v="4"/>
    <s v="Yes"/>
    <n v="14"/>
    <n v="3"/>
    <n v="4"/>
    <n v="80"/>
    <n v="0"/>
    <n v="8"/>
    <n v="3"/>
    <n v="3"/>
    <n v="5"/>
    <n v="2"/>
    <n v="0"/>
    <n v="2"/>
    <n v="0"/>
    <n v="1"/>
    <s v="35-44"/>
    <s v="Low"/>
    <s v="0-5 Years"/>
  </r>
  <r>
    <n v="398"/>
    <n v="25"/>
    <x v="1"/>
    <s v="Travel_Rarely"/>
    <n v="891"/>
    <s v="Sales"/>
    <n v="4"/>
    <n v="2"/>
    <s v="Life Sciences"/>
    <n v="527"/>
    <n v="2"/>
    <s v="Female"/>
    <n v="99"/>
    <n v="2"/>
    <n v="2"/>
    <s v="Sales Executive"/>
    <n v="4"/>
    <s v="Single"/>
    <n v="4487"/>
    <n v="12090"/>
    <n v="1"/>
    <s v="Yes"/>
    <n v="11"/>
    <n v="3"/>
    <n v="2"/>
    <n v="80"/>
    <n v="0"/>
    <n v="5"/>
    <n v="3"/>
    <n v="3"/>
    <n v="5"/>
    <n v="4"/>
    <n v="1"/>
    <n v="3"/>
    <n v="0"/>
    <n v="1"/>
    <s v="25-34"/>
    <s v="Low"/>
    <s v="0-5 Years"/>
  </r>
  <r>
    <n v="399"/>
    <n v="37"/>
    <x v="1"/>
    <s v="Non-Travel"/>
    <n v="1063"/>
    <s v="Research &amp; Development"/>
    <n v="25"/>
    <n v="5"/>
    <s v="Medical"/>
    <n v="529"/>
    <n v="2"/>
    <s v="Female"/>
    <n v="72"/>
    <n v="3"/>
    <n v="2"/>
    <s v="Research Scientist"/>
    <n v="3"/>
    <s v="Married"/>
    <n v="4449"/>
    <n v="23866"/>
    <n v="3"/>
    <s v="Yes"/>
    <n v="15"/>
    <n v="3"/>
    <n v="1"/>
    <n v="80"/>
    <n v="2"/>
    <n v="15"/>
    <n v="2"/>
    <n v="3"/>
    <n v="13"/>
    <n v="11"/>
    <n v="10"/>
    <n v="7"/>
    <n v="0"/>
    <n v="1"/>
    <s v="35-44"/>
    <s v="Low"/>
    <s v="11-20 Years"/>
  </r>
  <r>
    <n v="400"/>
    <n v="31"/>
    <x v="1"/>
    <s v="Travel_Rarely"/>
    <n v="329"/>
    <s v="Research &amp; Development"/>
    <n v="1"/>
    <n v="2"/>
    <s v="Life Sciences"/>
    <n v="530"/>
    <n v="4"/>
    <s v="Male"/>
    <n v="98"/>
    <n v="2"/>
    <n v="1"/>
    <s v="Laboratory Technician"/>
    <n v="1"/>
    <s v="Married"/>
    <n v="2218"/>
    <n v="16193"/>
    <n v="1"/>
    <s v="No"/>
    <n v="12"/>
    <n v="3"/>
    <n v="3"/>
    <n v="80"/>
    <n v="1"/>
    <n v="4"/>
    <n v="3"/>
    <n v="3"/>
    <n v="4"/>
    <n v="2"/>
    <n v="3"/>
    <n v="2"/>
    <n v="0"/>
    <n v="1"/>
    <s v="25-34"/>
    <s v="Low"/>
    <s v="0-5 Years"/>
  </r>
  <r>
    <n v="401"/>
    <n v="39"/>
    <x v="1"/>
    <s v="Travel_Frequently"/>
    <n v="1218"/>
    <s v="Research &amp; Development"/>
    <n v="1"/>
    <n v="1"/>
    <s v="Life Sciences"/>
    <n v="531"/>
    <n v="2"/>
    <s v="Male"/>
    <n v="52"/>
    <n v="3"/>
    <n v="5"/>
    <s v="Manager"/>
    <n v="3"/>
    <s v="Divorced"/>
    <n v="19197"/>
    <n v="8213"/>
    <n v="1"/>
    <s v="Yes"/>
    <n v="14"/>
    <n v="3"/>
    <n v="3"/>
    <n v="80"/>
    <n v="1"/>
    <n v="21"/>
    <n v="3"/>
    <n v="3"/>
    <n v="21"/>
    <n v="8"/>
    <n v="1"/>
    <n v="6"/>
    <n v="0"/>
    <n v="1"/>
    <s v="35-44"/>
    <s v="High"/>
    <s v="21+ Years"/>
  </r>
  <r>
    <n v="402"/>
    <n v="56"/>
    <x v="1"/>
    <s v="Travel_Frequently"/>
    <n v="906"/>
    <s v="Sales"/>
    <n v="6"/>
    <n v="3"/>
    <s v="Life Sciences"/>
    <n v="532"/>
    <n v="3"/>
    <s v="Female"/>
    <n v="86"/>
    <n v="4"/>
    <n v="4"/>
    <s v="Sales Executive"/>
    <n v="1"/>
    <s v="Married"/>
    <n v="13212"/>
    <n v="18256"/>
    <n v="9"/>
    <s v="No"/>
    <n v="11"/>
    <n v="3"/>
    <n v="4"/>
    <n v="80"/>
    <n v="3"/>
    <n v="36"/>
    <n v="0"/>
    <n v="2"/>
    <n v="7"/>
    <n v="7"/>
    <n v="7"/>
    <n v="7"/>
    <n v="0"/>
    <n v="1"/>
    <s v="55+"/>
    <s v="Upper Medium"/>
    <s v="6-10 Years"/>
  </r>
  <r>
    <n v="403"/>
    <n v="30"/>
    <x v="1"/>
    <s v="Travel_Rarely"/>
    <n v="1082"/>
    <s v="Sales"/>
    <n v="12"/>
    <n v="3"/>
    <s v="Technical Degree"/>
    <n v="533"/>
    <n v="2"/>
    <s v="Female"/>
    <n v="83"/>
    <n v="3"/>
    <n v="2"/>
    <s v="Sales Executive"/>
    <n v="3"/>
    <s v="Single"/>
    <n v="6577"/>
    <n v="19558"/>
    <n v="0"/>
    <s v="No"/>
    <n v="11"/>
    <n v="3"/>
    <n v="2"/>
    <n v="80"/>
    <n v="0"/>
    <n v="6"/>
    <n v="6"/>
    <n v="3"/>
    <n v="5"/>
    <n v="4"/>
    <n v="4"/>
    <n v="4"/>
    <n v="0"/>
    <n v="1"/>
    <s v="25-34"/>
    <s v="Medium"/>
    <s v="0-5 Years"/>
  </r>
  <r>
    <n v="404"/>
    <n v="41"/>
    <x v="1"/>
    <s v="Travel_Rarely"/>
    <n v="645"/>
    <s v="Sales"/>
    <n v="1"/>
    <n v="3"/>
    <s v="Marketing"/>
    <n v="534"/>
    <n v="2"/>
    <s v="Male"/>
    <n v="49"/>
    <n v="4"/>
    <n v="3"/>
    <s v="Sales Executive"/>
    <n v="1"/>
    <s v="Married"/>
    <n v="8392"/>
    <n v="19566"/>
    <n v="1"/>
    <s v="No"/>
    <n v="16"/>
    <n v="3"/>
    <n v="3"/>
    <n v="80"/>
    <n v="1"/>
    <n v="10"/>
    <n v="2"/>
    <n v="3"/>
    <n v="10"/>
    <n v="7"/>
    <n v="0"/>
    <n v="7"/>
    <n v="0"/>
    <n v="1"/>
    <s v="35-44"/>
    <s v="Medium"/>
    <s v="6-10 Years"/>
  </r>
  <r>
    <n v="405"/>
    <n v="28"/>
    <x v="1"/>
    <s v="Travel_Rarely"/>
    <n v="1300"/>
    <s v="Research &amp; Development"/>
    <n v="17"/>
    <n v="2"/>
    <s v="Medical"/>
    <n v="536"/>
    <n v="3"/>
    <s v="Male"/>
    <n v="79"/>
    <n v="3"/>
    <n v="2"/>
    <s v="Laboratory Technician"/>
    <n v="1"/>
    <s v="Divorced"/>
    <n v="4558"/>
    <n v="13535"/>
    <n v="1"/>
    <s v="No"/>
    <n v="12"/>
    <n v="3"/>
    <n v="4"/>
    <n v="80"/>
    <n v="1"/>
    <n v="10"/>
    <n v="2"/>
    <n v="3"/>
    <n v="10"/>
    <n v="0"/>
    <n v="1"/>
    <n v="8"/>
    <n v="0"/>
    <n v="1"/>
    <s v="25-34"/>
    <s v="Low"/>
    <s v="6-10 Years"/>
  </r>
  <r>
    <n v="406"/>
    <n v="25"/>
    <x v="0"/>
    <s v="Travel_Rarely"/>
    <n v="688"/>
    <s v="Research &amp; Development"/>
    <n v="3"/>
    <n v="3"/>
    <s v="Medical"/>
    <n v="538"/>
    <n v="1"/>
    <s v="Male"/>
    <n v="91"/>
    <n v="3"/>
    <n v="1"/>
    <s v="Laboratory Technician"/>
    <n v="1"/>
    <s v="Married"/>
    <n v="4031"/>
    <n v="9396"/>
    <n v="5"/>
    <s v="No"/>
    <n v="13"/>
    <n v="3"/>
    <n v="3"/>
    <n v="80"/>
    <n v="1"/>
    <n v="6"/>
    <n v="5"/>
    <n v="3"/>
    <n v="2"/>
    <n v="2"/>
    <n v="0"/>
    <n v="2"/>
    <n v="1"/>
    <n v="0"/>
    <s v="25-34"/>
    <s v="Low"/>
    <s v="0-5 Years"/>
  </r>
  <r>
    <n v="407"/>
    <n v="52"/>
    <x v="1"/>
    <s v="Travel_Rarely"/>
    <n v="319"/>
    <s v="Research &amp; Development"/>
    <n v="3"/>
    <n v="3"/>
    <s v="Medical"/>
    <n v="543"/>
    <n v="4"/>
    <s v="Male"/>
    <n v="39"/>
    <n v="2"/>
    <n v="3"/>
    <s v="Manufacturing Director"/>
    <n v="3"/>
    <s v="Married"/>
    <n v="7969"/>
    <n v="19609"/>
    <n v="2"/>
    <s v="Yes"/>
    <n v="14"/>
    <n v="3"/>
    <n v="3"/>
    <n v="80"/>
    <n v="0"/>
    <n v="28"/>
    <n v="4"/>
    <n v="3"/>
    <n v="5"/>
    <n v="4"/>
    <n v="0"/>
    <n v="4"/>
    <n v="0"/>
    <n v="1"/>
    <s v="45-54"/>
    <s v="Medium"/>
    <s v="0-5 Years"/>
  </r>
  <r>
    <n v="408"/>
    <n v="45"/>
    <x v="1"/>
    <s v="Travel_Rarely"/>
    <n v="192"/>
    <s v="Research &amp; Development"/>
    <n v="10"/>
    <n v="2"/>
    <s v="Life Sciences"/>
    <n v="544"/>
    <n v="1"/>
    <s v="Male"/>
    <n v="69"/>
    <n v="3"/>
    <n v="1"/>
    <s v="Research Scientist"/>
    <n v="4"/>
    <s v="Married"/>
    <n v="2654"/>
    <n v="9655"/>
    <n v="3"/>
    <s v="No"/>
    <n v="21"/>
    <n v="4"/>
    <n v="4"/>
    <n v="80"/>
    <n v="2"/>
    <n v="8"/>
    <n v="3"/>
    <n v="2"/>
    <n v="2"/>
    <n v="2"/>
    <n v="0"/>
    <n v="2"/>
    <n v="0"/>
    <n v="1"/>
    <s v="45-54"/>
    <s v="Low"/>
    <s v="0-5 Years"/>
  </r>
  <r>
    <n v="409"/>
    <n v="52"/>
    <x v="1"/>
    <s v="Travel_Rarely"/>
    <n v="1490"/>
    <s v="Research &amp; Development"/>
    <n v="4"/>
    <n v="2"/>
    <s v="Life Sciences"/>
    <n v="546"/>
    <n v="4"/>
    <s v="Female"/>
    <n v="30"/>
    <n v="3"/>
    <n v="4"/>
    <s v="Manager"/>
    <n v="4"/>
    <s v="Married"/>
    <n v="16555"/>
    <n v="10310"/>
    <n v="2"/>
    <s v="No"/>
    <n v="13"/>
    <n v="3"/>
    <n v="4"/>
    <n v="80"/>
    <n v="0"/>
    <n v="31"/>
    <n v="2"/>
    <n v="1"/>
    <n v="5"/>
    <n v="2"/>
    <n v="1"/>
    <n v="4"/>
    <n v="0"/>
    <n v="1"/>
    <s v="45-54"/>
    <s v="High"/>
    <s v="0-5 Years"/>
  </r>
  <r>
    <n v="410"/>
    <n v="42"/>
    <x v="1"/>
    <s v="Travel_Frequently"/>
    <n v="532"/>
    <s v="Research &amp; Development"/>
    <n v="29"/>
    <n v="2"/>
    <s v="Life Sciences"/>
    <n v="547"/>
    <n v="1"/>
    <s v="Female"/>
    <n v="92"/>
    <n v="3"/>
    <n v="2"/>
    <s v="Research Scientist"/>
    <n v="3"/>
    <s v="Divorced"/>
    <n v="4556"/>
    <n v="12932"/>
    <n v="2"/>
    <s v="No"/>
    <n v="11"/>
    <n v="3"/>
    <n v="2"/>
    <n v="80"/>
    <n v="1"/>
    <n v="19"/>
    <n v="3"/>
    <n v="3"/>
    <n v="5"/>
    <n v="4"/>
    <n v="0"/>
    <n v="2"/>
    <n v="0"/>
    <n v="1"/>
    <s v="35-44"/>
    <s v="Low"/>
    <s v="0-5 Years"/>
  </r>
  <r>
    <n v="411"/>
    <n v="30"/>
    <x v="1"/>
    <s v="Travel_Rarely"/>
    <n v="317"/>
    <s v="Research &amp; Development"/>
    <n v="2"/>
    <n v="3"/>
    <s v="Life Sciences"/>
    <n v="548"/>
    <n v="3"/>
    <s v="Female"/>
    <n v="43"/>
    <n v="1"/>
    <n v="2"/>
    <s v="Manufacturing Director"/>
    <n v="4"/>
    <s v="Single"/>
    <n v="6091"/>
    <n v="24793"/>
    <n v="2"/>
    <s v="No"/>
    <n v="20"/>
    <n v="4"/>
    <n v="3"/>
    <n v="80"/>
    <n v="0"/>
    <n v="11"/>
    <n v="2"/>
    <n v="3"/>
    <n v="5"/>
    <n v="4"/>
    <n v="0"/>
    <n v="2"/>
    <n v="0"/>
    <n v="1"/>
    <s v="25-34"/>
    <s v="Medium"/>
    <s v="0-5 Years"/>
  </r>
  <r>
    <n v="412"/>
    <n v="60"/>
    <x v="1"/>
    <s v="Travel_Rarely"/>
    <n v="422"/>
    <s v="Research &amp; Development"/>
    <n v="7"/>
    <n v="3"/>
    <s v="Life Sciences"/>
    <n v="549"/>
    <n v="1"/>
    <s v="Female"/>
    <n v="41"/>
    <n v="3"/>
    <n v="5"/>
    <s v="Manager"/>
    <n v="1"/>
    <s v="Married"/>
    <n v="19566"/>
    <n v="3854"/>
    <n v="5"/>
    <s v="No"/>
    <n v="11"/>
    <n v="3"/>
    <n v="4"/>
    <n v="80"/>
    <n v="0"/>
    <n v="33"/>
    <n v="5"/>
    <n v="1"/>
    <n v="29"/>
    <n v="8"/>
    <n v="11"/>
    <n v="10"/>
    <n v="0"/>
    <n v="1"/>
    <s v="55+"/>
    <s v="High"/>
    <s v="21+ Years"/>
  </r>
  <r>
    <n v="413"/>
    <n v="46"/>
    <x v="1"/>
    <s v="Travel_Rarely"/>
    <n v="1485"/>
    <s v="Research &amp; Development"/>
    <n v="18"/>
    <n v="3"/>
    <s v="Medical"/>
    <n v="550"/>
    <n v="3"/>
    <s v="Female"/>
    <n v="87"/>
    <n v="3"/>
    <n v="2"/>
    <s v="Manufacturing Director"/>
    <n v="3"/>
    <s v="Divorced"/>
    <n v="4810"/>
    <n v="26314"/>
    <n v="2"/>
    <s v="No"/>
    <n v="14"/>
    <n v="3"/>
    <n v="3"/>
    <n v="80"/>
    <n v="1"/>
    <n v="19"/>
    <n v="5"/>
    <n v="2"/>
    <n v="10"/>
    <n v="7"/>
    <n v="0"/>
    <n v="8"/>
    <n v="0"/>
    <n v="1"/>
    <s v="45-54"/>
    <s v="Low"/>
    <s v="6-10 Years"/>
  </r>
  <r>
    <n v="414"/>
    <n v="42"/>
    <x v="1"/>
    <s v="Travel_Frequently"/>
    <n v="1368"/>
    <s v="Research &amp; Development"/>
    <n v="28"/>
    <n v="4"/>
    <s v="Technical Degree"/>
    <n v="551"/>
    <n v="4"/>
    <s v="Female"/>
    <n v="88"/>
    <n v="2"/>
    <n v="2"/>
    <s v="Healthcare Representative"/>
    <n v="4"/>
    <s v="Married"/>
    <n v="4523"/>
    <n v="4386"/>
    <n v="0"/>
    <s v="No"/>
    <n v="11"/>
    <n v="3"/>
    <n v="4"/>
    <n v="80"/>
    <n v="3"/>
    <n v="7"/>
    <n v="4"/>
    <n v="4"/>
    <n v="6"/>
    <n v="5"/>
    <n v="0"/>
    <n v="4"/>
    <n v="0"/>
    <n v="1"/>
    <s v="35-44"/>
    <s v="Low"/>
    <s v="6-10 Years"/>
  </r>
  <r>
    <n v="415"/>
    <n v="24"/>
    <x v="0"/>
    <s v="Travel_Rarely"/>
    <n v="1448"/>
    <s v="Sales"/>
    <n v="1"/>
    <n v="1"/>
    <s v="Technical Degree"/>
    <n v="554"/>
    <n v="1"/>
    <s v="Female"/>
    <n v="62"/>
    <n v="3"/>
    <n v="1"/>
    <s v="Sales Representative"/>
    <n v="2"/>
    <s v="Single"/>
    <n v="3202"/>
    <n v="21972"/>
    <n v="1"/>
    <s v="Yes"/>
    <n v="16"/>
    <n v="3"/>
    <n v="2"/>
    <n v="80"/>
    <n v="0"/>
    <n v="6"/>
    <n v="4"/>
    <n v="3"/>
    <n v="5"/>
    <n v="3"/>
    <n v="1"/>
    <n v="4"/>
    <n v="1"/>
    <n v="0"/>
    <s v="Under 25"/>
    <s v="Low"/>
    <s v="0-5 Years"/>
  </r>
  <r>
    <n v="416"/>
    <n v="34"/>
    <x v="0"/>
    <s v="Travel_Frequently"/>
    <n v="296"/>
    <s v="Sales"/>
    <n v="6"/>
    <n v="2"/>
    <s v="Marketing"/>
    <n v="555"/>
    <n v="4"/>
    <s v="Female"/>
    <n v="33"/>
    <n v="1"/>
    <n v="1"/>
    <s v="Sales Representative"/>
    <n v="3"/>
    <s v="Divorced"/>
    <n v="2351"/>
    <n v="12253"/>
    <n v="0"/>
    <s v="No"/>
    <n v="16"/>
    <n v="3"/>
    <n v="4"/>
    <n v="80"/>
    <n v="1"/>
    <n v="3"/>
    <n v="3"/>
    <n v="2"/>
    <n v="2"/>
    <n v="2"/>
    <n v="1"/>
    <n v="0"/>
    <n v="1"/>
    <n v="0"/>
    <s v="25-34"/>
    <s v="Low"/>
    <s v="0-5 Years"/>
  </r>
  <r>
    <n v="417"/>
    <n v="38"/>
    <x v="1"/>
    <s v="Travel_Frequently"/>
    <n v="1490"/>
    <s v="Research &amp; Development"/>
    <n v="2"/>
    <n v="2"/>
    <s v="Life Sciences"/>
    <n v="556"/>
    <n v="4"/>
    <s v="Male"/>
    <n v="42"/>
    <n v="3"/>
    <n v="1"/>
    <s v="Laboratory Technician"/>
    <n v="4"/>
    <s v="Married"/>
    <n v="1702"/>
    <n v="12106"/>
    <n v="1"/>
    <s v="Yes"/>
    <n v="23"/>
    <n v="4"/>
    <n v="3"/>
    <n v="80"/>
    <n v="1"/>
    <n v="1"/>
    <n v="3"/>
    <n v="3"/>
    <n v="1"/>
    <n v="0"/>
    <n v="0"/>
    <n v="0"/>
    <n v="0"/>
    <n v="1"/>
    <s v="35-44"/>
    <s v="Low"/>
    <s v="0-5 Years"/>
  </r>
  <r>
    <n v="418"/>
    <n v="40"/>
    <x v="1"/>
    <s v="Travel_Rarely"/>
    <n v="1398"/>
    <s v="Sales"/>
    <n v="2"/>
    <n v="4"/>
    <s v="Life Sciences"/>
    <n v="558"/>
    <n v="3"/>
    <s v="Female"/>
    <n v="79"/>
    <n v="3"/>
    <n v="5"/>
    <s v="Manager"/>
    <n v="3"/>
    <s v="Married"/>
    <n v="18041"/>
    <n v="13022"/>
    <n v="0"/>
    <s v="No"/>
    <n v="14"/>
    <n v="3"/>
    <n v="4"/>
    <n v="80"/>
    <n v="0"/>
    <n v="21"/>
    <n v="2"/>
    <n v="3"/>
    <n v="20"/>
    <n v="15"/>
    <n v="1"/>
    <n v="12"/>
    <n v="0"/>
    <n v="1"/>
    <s v="35-44"/>
    <s v="High"/>
    <s v="11-20 Years"/>
  </r>
  <r>
    <n v="419"/>
    <n v="26"/>
    <x v="1"/>
    <s v="Travel_Rarely"/>
    <n v="1349"/>
    <s v="Research &amp; Development"/>
    <n v="23"/>
    <n v="3"/>
    <s v="Life Sciences"/>
    <n v="560"/>
    <n v="1"/>
    <s v="Female"/>
    <n v="90"/>
    <n v="3"/>
    <n v="1"/>
    <s v="Research Scientist"/>
    <n v="4"/>
    <s v="Divorced"/>
    <n v="2886"/>
    <n v="3032"/>
    <n v="1"/>
    <s v="No"/>
    <n v="22"/>
    <n v="4"/>
    <n v="2"/>
    <n v="80"/>
    <n v="2"/>
    <n v="3"/>
    <n v="3"/>
    <n v="1"/>
    <n v="3"/>
    <n v="2"/>
    <n v="0"/>
    <n v="2"/>
    <n v="0"/>
    <n v="1"/>
    <s v="25-34"/>
    <s v="Low"/>
    <s v="0-5 Years"/>
  </r>
  <r>
    <n v="420"/>
    <n v="30"/>
    <x v="1"/>
    <s v="Non-Travel"/>
    <n v="1400"/>
    <s v="Research &amp; Development"/>
    <n v="3"/>
    <n v="3"/>
    <s v="Life Sciences"/>
    <n v="562"/>
    <n v="3"/>
    <s v="Male"/>
    <n v="53"/>
    <n v="3"/>
    <n v="1"/>
    <s v="Laboratory Technician"/>
    <n v="4"/>
    <s v="Married"/>
    <n v="2097"/>
    <n v="16734"/>
    <n v="4"/>
    <s v="No"/>
    <n v="15"/>
    <n v="3"/>
    <n v="3"/>
    <n v="80"/>
    <n v="1"/>
    <n v="9"/>
    <n v="3"/>
    <n v="1"/>
    <n v="5"/>
    <n v="3"/>
    <n v="1"/>
    <n v="4"/>
    <n v="0"/>
    <n v="1"/>
    <s v="25-34"/>
    <s v="Low"/>
    <s v="0-5 Years"/>
  </r>
  <r>
    <n v="421"/>
    <n v="29"/>
    <x v="1"/>
    <s v="Travel_Rarely"/>
    <n v="986"/>
    <s v="Research &amp; Development"/>
    <n v="3"/>
    <n v="4"/>
    <s v="Medical"/>
    <n v="564"/>
    <n v="2"/>
    <s v="Male"/>
    <n v="93"/>
    <n v="2"/>
    <n v="3"/>
    <s v="Research Director"/>
    <n v="3"/>
    <s v="Married"/>
    <n v="11935"/>
    <n v="21526"/>
    <n v="1"/>
    <s v="No"/>
    <n v="18"/>
    <n v="3"/>
    <n v="3"/>
    <n v="80"/>
    <n v="0"/>
    <n v="10"/>
    <n v="2"/>
    <n v="3"/>
    <n v="10"/>
    <n v="2"/>
    <n v="0"/>
    <n v="7"/>
    <n v="0"/>
    <n v="1"/>
    <s v="25-34"/>
    <s v="Upper Medium"/>
    <s v="6-10 Years"/>
  </r>
  <r>
    <n v="422"/>
    <n v="29"/>
    <x v="0"/>
    <s v="Travel_Rarely"/>
    <n v="408"/>
    <s v="Research &amp; Development"/>
    <n v="25"/>
    <n v="5"/>
    <s v="Technical Degree"/>
    <n v="565"/>
    <n v="3"/>
    <s v="Female"/>
    <n v="71"/>
    <n v="2"/>
    <n v="1"/>
    <s v="Research Scientist"/>
    <n v="2"/>
    <s v="Married"/>
    <n v="2546"/>
    <n v="18300"/>
    <n v="5"/>
    <s v="No"/>
    <n v="16"/>
    <n v="3"/>
    <n v="2"/>
    <n v="80"/>
    <n v="0"/>
    <n v="6"/>
    <n v="2"/>
    <n v="4"/>
    <n v="2"/>
    <n v="2"/>
    <n v="1"/>
    <n v="1"/>
    <n v="1"/>
    <n v="0"/>
    <s v="25-34"/>
    <s v="Low"/>
    <s v="0-5 Years"/>
  </r>
  <r>
    <n v="423"/>
    <n v="19"/>
    <x v="0"/>
    <s v="Travel_Rarely"/>
    <n v="489"/>
    <s v="Human Resources"/>
    <n v="2"/>
    <n v="2"/>
    <s v="Technical Degree"/>
    <n v="566"/>
    <n v="1"/>
    <s v="Male"/>
    <n v="52"/>
    <n v="2"/>
    <n v="1"/>
    <s v="Human Resources"/>
    <n v="4"/>
    <s v="Single"/>
    <n v="2564"/>
    <n v="18437"/>
    <n v="1"/>
    <s v="No"/>
    <n v="12"/>
    <n v="3"/>
    <n v="3"/>
    <n v="80"/>
    <n v="0"/>
    <n v="1"/>
    <n v="3"/>
    <n v="4"/>
    <n v="1"/>
    <n v="0"/>
    <n v="0"/>
    <n v="0"/>
    <n v="1"/>
    <n v="0"/>
    <s v="Under 25"/>
    <s v="Low"/>
    <s v="0-5 Years"/>
  </r>
  <r>
    <n v="424"/>
    <n v="30"/>
    <x v="1"/>
    <s v="Non-Travel"/>
    <n v="1398"/>
    <s v="Sales"/>
    <n v="22"/>
    <n v="4"/>
    <s v="Other"/>
    <n v="567"/>
    <n v="3"/>
    <s v="Female"/>
    <n v="69"/>
    <n v="3"/>
    <n v="3"/>
    <s v="Sales Executive"/>
    <n v="1"/>
    <s v="Married"/>
    <n v="8412"/>
    <n v="2890"/>
    <n v="0"/>
    <s v="No"/>
    <n v="11"/>
    <n v="3"/>
    <n v="3"/>
    <n v="80"/>
    <n v="0"/>
    <n v="10"/>
    <n v="3"/>
    <n v="3"/>
    <n v="9"/>
    <n v="8"/>
    <n v="7"/>
    <n v="8"/>
    <n v="0"/>
    <n v="1"/>
    <s v="25-34"/>
    <s v="Medium"/>
    <s v="6-10 Years"/>
  </r>
  <r>
    <n v="425"/>
    <n v="57"/>
    <x v="1"/>
    <s v="Travel_Rarely"/>
    <n v="210"/>
    <s v="Sales"/>
    <n v="29"/>
    <n v="3"/>
    <s v="Marketing"/>
    <n v="568"/>
    <n v="1"/>
    <s v="Male"/>
    <n v="56"/>
    <n v="2"/>
    <n v="4"/>
    <s v="Manager"/>
    <n v="4"/>
    <s v="Divorced"/>
    <n v="14118"/>
    <n v="22102"/>
    <n v="3"/>
    <s v="No"/>
    <n v="12"/>
    <n v="3"/>
    <n v="3"/>
    <n v="80"/>
    <n v="1"/>
    <n v="32"/>
    <n v="3"/>
    <n v="2"/>
    <n v="1"/>
    <n v="0"/>
    <n v="0"/>
    <n v="0"/>
    <n v="0"/>
    <n v="1"/>
    <s v="55+"/>
    <s v="Upper Medium"/>
    <s v="0-5 Years"/>
  </r>
  <r>
    <n v="426"/>
    <n v="50"/>
    <x v="1"/>
    <s v="Travel_Rarely"/>
    <n v="1099"/>
    <s v="Research &amp; Development"/>
    <n v="29"/>
    <n v="4"/>
    <s v="Life Sciences"/>
    <n v="569"/>
    <n v="2"/>
    <s v="Male"/>
    <n v="88"/>
    <n v="2"/>
    <n v="4"/>
    <s v="Manager"/>
    <n v="3"/>
    <s v="Married"/>
    <n v="17046"/>
    <n v="9314"/>
    <n v="0"/>
    <s v="No"/>
    <n v="15"/>
    <n v="3"/>
    <n v="2"/>
    <n v="80"/>
    <n v="1"/>
    <n v="28"/>
    <n v="2"/>
    <n v="3"/>
    <n v="27"/>
    <n v="10"/>
    <n v="15"/>
    <n v="7"/>
    <n v="0"/>
    <n v="1"/>
    <s v="45-54"/>
    <s v="High"/>
    <s v="21+ Years"/>
  </r>
  <r>
    <n v="427"/>
    <n v="30"/>
    <x v="1"/>
    <s v="Non-Travel"/>
    <n v="1116"/>
    <s v="Research &amp; Development"/>
    <n v="2"/>
    <n v="3"/>
    <s v="Medical"/>
    <n v="571"/>
    <n v="3"/>
    <s v="Female"/>
    <n v="49"/>
    <n v="3"/>
    <n v="1"/>
    <s v="Laboratory Technician"/>
    <n v="4"/>
    <s v="Single"/>
    <n v="2564"/>
    <n v="7181"/>
    <n v="0"/>
    <s v="No"/>
    <n v="14"/>
    <n v="3"/>
    <n v="3"/>
    <n v="80"/>
    <n v="0"/>
    <n v="12"/>
    <n v="2"/>
    <n v="2"/>
    <n v="11"/>
    <n v="7"/>
    <n v="6"/>
    <n v="7"/>
    <n v="0"/>
    <n v="1"/>
    <s v="25-34"/>
    <s v="Low"/>
    <s v="11-20 Years"/>
  </r>
  <r>
    <n v="428"/>
    <n v="60"/>
    <x v="1"/>
    <s v="Travel_Frequently"/>
    <n v="1499"/>
    <s v="Sales"/>
    <n v="28"/>
    <n v="3"/>
    <s v="Marketing"/>
    <n v="573"/>
    <n v="3"/>
    <s v="Female"/>
    <n v="80"/>
    <n v="2"/>
    <n v="3"/>
    <s v="Sales Executive"/>
    <n v="1"/>
    <s v="Married"/>
    <n v="10266"/>
    <n v="2845"/>
    <n v="4"/>
    <s v="No"/>
    <n v="19"/>
    <n v="3"/>
    <n v="4"/>
    <n v="80"/>
    <n v="0"/>
    <n v="22"/>
    <n v="5"/>
    <n v="4"/>
    <n v="18"/>
    <n v="13"/>
    <n v="13"/>
    <n v="11"/>
    <n v="0"/>
    <n v="1"/>
    <s v="55+"/>
    <s v="Upper Medium"/>
    <s v="11-20 Years"/>
  </r>
  <r>
    <n v="429"/>
    <n v="47"/>
    <x v="1"/>
    <s v="Travel_Rarely"/>
    <n v="983"/>
    <s v="Research &amp; Development"/>
    <n v="2"/>
    <n v="2"/>
    <s v="Medical"/>
    <n v="574"/>
    <n v="1"/>
    <s v="Female"/>
    <n v="65"/>
    <n v="3"/>
    <n v="2"/>
    <s v="Manufacturing Director"/>
    <n v="4"/>
    <s v="Divorced"/>
    <n v="5070"/>
    <n v="7389"/>
    <n v="5"/>
    <s v="No"/>
    <n v="13"/>
    <n v="3"/>
    <n v="3"/>
    <n v="80"/>
    <n v="3"/>
    <n v="20"/>
    <n v="2"/>
    <n v="3"/>
    <n v="5"/>
    <n v="0"/>
    <n v="0"/>
    <n v="4"/>
    <n v="0"/>
    <n v="1"/>
    <s v="45-54"/>
    <s v="Medium"/>
    <s v="0-5 Years"/>
  </r>
  <r>
    <n v="430"/>
    <n v="46"/>
    <x v="1"/>
    <s v="Travel_Rarely"/>
    <n v="1009"/>
    <s v="Research &amp; Development"/>
    <n v="2"/>
    <n v="3"/>
    <s v="Life Sciences"/>
    <n v="575"/>
    <n v="1"/>
    <s v="Male"/>
    <n v="51"/>
    <n v="3"/>
    <n v="4"/>
    <s v="Research Director"/>
    <n v="3"/>
    <s v="Married"/>
    <n v="17861"/>
    <n v="2288"/>
    <n v="6"/>
    <s v="No"/>
    <n v="13"/>
    <n v="3"/>
    <n v="3"/>
    <n v="80"/>
    <n v="0"/>
    <n v="26"/>
    <n v="2"/>
    <n v="1"/>
    <n v="3"/>
    <n v="2"/>
    <n v="0"/>
    <n v="1"/>
    <n v="0"/>
    <n v="1"/>
    <s v="45-54"/>
    <s v="High"/>
    <s v="0-5 Years"/>
  </r>
  <r>
    <n v="431"/>
    <n v="35"/>
    <x v="1"/>
    <s v="Travel_Rarely"/>
    <n v="144"/>
    <s v="Research &amp; Development"/>
    <n v="22"/>
    <n v="3"/>
    <s v="Life Sciences"/>
    <n v="577"/>
    <n v="4"/>
    <s v="Male"/>
    <n v="46"/>
    <n v="1"/>
    <n v="1"/>
    <s v="Laboratory Technician"/>
    <n v="3"/>
    <s v="Single"/>
    <n v="4230"/>
    <n v="19225"/>
    <n v="0"/>
    <s v="No"/>
    <n v="15"/>
    <n v="3"/>
    <n v="3"/>
    <n v="80"/>
    <n v="0"/>
    <n v="6"/>
    <n v="2"/>
    <n v="3"/>
    <n v="5"/>
    <n v="4"/>
    <n v="4"/>
    <n v="3"/>
    <n v="0"/>
    <n v="1"/>
    <s v="35-44"/>
    <s v="Low"/>
    <s v="0-5 Years"/>
  </r>
  <r>
    <n v="432"/>
    <n v="54"/>
    <x v="1"/>
    <s v="Travel_Rarely"/>
    <n v="548"/>
    <s v="Research &amp; Development"/>
    <n v="8"/>
    <n v="4"/>
    <s v="Life Sciences"/>
    <n v="578"/>
    <n v="3"/>
    <s v="Female"/>
    <n v="42"/>
    <n v="3"/>
    <n v="2"/>
    <s v="Laboratory Technician"/>
    <n v="3"/>
    <s v="Single"/>
    <n v="3780"/>
    <n v="23428"/>
    <n v="7"/>
    <s v="No"/>
    <n v="11"/>
    <n v="3"/>
    <n v="3"/>
    <n v="80"/>
    <n v="0"/>
    <n v="19"/>
    <n v="3"/>
    <n v="3"/>
    <n v="1"/>
    <n v="0"/>
    <n v="0"/>
    <n v="0"/>
    <n v="0"/>
    <n v="1"/>
    <s v="45-54"/>
    <s v="Low"/>
    <s v="0-5 Years"/>
  </r>
  <r>
    <n v="433"/>
    <n v="34"/>
    <x v="1"/>
    <s v="Travel_Rarely"/>
    <n v="1303"/>
    <s v="Research &amp; Development"/>
    <n v="2"/>
    <n v="4"/>
    <s v="Life Sciences"/>
    <n v="579"/>
    <n v="4"/>
    <s v="Male"/>
    <n v="62"/>
    <n v="2"/>
    <n v="1"/>
    <s v="Research Scientist"/>
    <n v="3"/>
    <s v="Divorced"/>
    <n v="2768"/>
    <n v="8416"/>
    <n v="3"/>
    <s v="No"/>
    <n v="12"/>
    <n v="3"/>
    <n v="3"/>
    <n v="80"/>
    <n v="1"/>
    <n v="14"/>
    <n v="3"/>
    <n v="3"/>
    <n v="7"/>
    <n v="3"/>
    <n v="5"/>
    <n v="7"/>
    <n v="0"/>
    <n v="1"/>
    <s v="25-34"/>
    <s v="Low"/>
    <s v="6-10 Years"/>
  </r>
  <r>
    <n v="434"/>
    <n v="46"/>
    <x v="1"/>
    <s v="Travel_Rarely"/>
    <n v="1125"/>
    <s v="Sales"/>
    <n v="10"/>
    <n v="3"/>
    <s v="Marketing"/>
    <n v="580"/>
    <n v="3"/>
    <s v="Female"/>
    <n v="94"/>
    <n v="2"/>
    <n v="3"/>
    <s v="Sales Executive"/>
    <n v="4"/>
    <s v="Married"/>
    <n v="9071"/>
    <n v="11563"/>
    <n v="2"/>
    <s v="Yes"/>
    <n v="19"/>
    <n v="3"/>
    <n v="3"/>
    <n v="80"/>
    <n v="1"/>
    <n v="15"/>
    <n v="3"/>
    <n v="3"/>
    <n v="3"/>
    <n v="2"/>
    <n v="1"/>
    <n v="2"/>
    <n v="0"/>
    <n v="1"/>
    <s v="45-54"/>
    <s v="Medium"/>
    <s v="0-5 Years"/>
  </r>
  <r>
    <n v="435"/>
    <n v="31"/>
    <x v="1"/>
    <s v="Travel_Rarely"/>
    <n v="1274"/>
    <s v="Research &amp; Development"/>
    <n v="9"/>
    <n v="1"/>
    <s v="Life Sciences"/>
    <n v="581"/>
    <n v="3"/>
    <s v="Male"/>
    <n v="33"/>
    <n v="3"/>
    <n v="3"/>
    <s v="Manufacturing Director"/>
    <n v="2"/>
    <s v="Divorced"/>
    <n v="10648"/>
    <n v="14394"/>
    <n v="1"/>
    <s v="No"/>
    <n v="25"/>
    <n v="4"/>
    <n v="4"/>
    <n v="80"/>
    <n v="1"/>
    <n v="13"/>
    <n v="6"/>
    <n v="4"/>
    <n v="13"/>
    <n v="8"/>
    <n v="0"/>
    <n v="8"/>
    <n v="0"/>
    <n v="1"/>
    <s v="25-34"/>
    <s v="Upper Medium"/>
    <s v="11-20 Years"/>
  </r>
  <r>
    <n v="436"/>
    <n v="33"/>
    <x v="0"/>
    <s v="Travel_Rarely"/>
    <n v="1277"/>
    <s v="Research &amp; Development"/>
    <n v="15"/>
    <n v="1"/>
    <s v="Medical"/>
    <n v="582"/>
    <n v="2"/>
    <s v="Male"/>
    <n v="56"/>
    <n v="3"/>
    <n v="3"/>
    <s v="Manager"/>
    <n v="3"/>
    <s v="Married"/>
    <n v="13610"/>
    <n v="24619"/>
    <n v="7"/>
    <s v="Yes"/>
    <n v="12"/>
    <n v="3"/>
    <n v="4"/>
    <n v="80"/>
    <n v="0"/>
    <n v="15"/>
    <n v="2"/>
    <n v="4"/>
    <n v="7"/>
    <n v="6"/>
    <n v="7"/>
    <n v="7"/>
    <n v="1"/>
    <n v="0"/>
    <s v="25-34"/>
    <s v="Upper Medium"/>
    <s v="6-10 Years"/>
  </r>
  <r>
    <n v="437"/>
    <n v="33"/>
    <x v="0"/>
    <s v="Travel_Rarely"/>
    <n v="587"/>
    <s v="Research &amp; Development"/>
    <n v="10"/>
    <n v="1"/>
    <s v="Medical"/>
    <n v="584"/>
    <n v="1"/>
    <s v="Male"/>
    <n v="38"/>
    <n v="1"/>
    <n v="1"/>
    <s v="Laboratory Technician"/>
    <n v="4"/>
    <s v="Divorced"/>
    <n v="3408"/>
    <n v="6705"/>
    <n v="7"/>
    <s v="No"/>
    <n v="13"/>
    <n v="3"/>
    <n v="1"/>
    <n v="80"/>
    <n v="3"/>
    <n v="8"/>
    <n v="2"/>
    <n v="3"/>
    <n v="4"/>
    <n v="3"/>
    <n v="1"/>
    <n v="3"/>
    <n v="1"/>
    <n v="0"/>
    <s v="25-34"/>
    <s v="Low"/>
    <s v="0-5 Years"/>
  </r>
  <r>
    <n v="438"/>
    <n v="30"/>
    <x v="1"/>
    <s v="Travel_Rarely"/>
    <n v="413"/>
    <s v="Sales"/>
    <n v="7"/>
    <n v="1"/>
    <s v="Marketing"/>
    <n v="585"/>
    <n v="4"/>
    <s v="Male"/>
    <n v="57"/>
    <n v="3"/>
    <n v="1"/>
    <s v="Sales Representative"/>
    <n v="2"/>
    <s v="Single"/>
    <n v="2983"/>
    <n v="18398"/>
    <n v="0"/>
    <s v="No"/>
    <n v="14"/>
    <n v="3"/>
    <n v="1"/>
    <n v="80"/>
    <n v="0"/>
    <n v="4"/>
    <n v="3"/>
    <n v="3"/>
    <n v="3"/>
    <n v="2"/>
    <n v="1"/>
    <n v="2"/>
    <n v="0"/>
    <n v="1"/>
    <s v="25-34"/>
    <s v="Low"/>
    <s v="0-5 Years"/>
  </r>
  <r>
    <n v="439"/>
    <n v="35"/>
    <x v="1"/>
    <s v="Travel_Rarely"/>
    <n v="1276"/>
    <s v="Research &amp; Development"/>
    <n v="16"/>
    <n v="3"/>
    <s v="Life Sciences"/>
    <n v="586"/>
    <n v="4"/>
    <s v="Male"/>
    <n v="72"/>
    <n v="3"/>
    <n v="3"/>
    <s v="Healthcare Representative"/>
    <n v="3"/>
    <s v="Married"/>
    <n v="7632"/>
    <n v="14295"/>
    <n v="4"/>
    <s v="Yes"/>
    <n v="12"/>
    <n v="3"/>
    <n v="3"/>
    <n v="80"/>
    <n v="0"/>
    <n v="10"/>
    <n v="2"/>
    <n v="3"/>
    <n v="8"/>
    <n v="7"/>
    <n v="0"/>
    <n v="0"/>
    <n v="0"/>
    <n v="1"/>
    <s v="35-44"/>
    <s v="Medium"/>
    <s v="6-10 Years"/>
  </r>
  <r>
    <n v="440"/>
    <n v="31"/>
    <x v="0"/>
    <s v="Travel_Frequently"/>
    <n v="534"/>
    <s v="Research &amp; Development"/>
    <n v="20"/>
    <n v="3"/>
    <s v="Life Sciences"/>
    <n v="587"/>
    <n v="1"/>
    <s v="Male"/>
    <n v="66"/>
    <n v="3"/>
    <n v="3"/>
    <s v="Healthcare Representative"/>
    <n v="3"/>
    <s v="Married"/>
    <n v="9824"/>
    <n v="22908"/>
    <n v="3"/>
    <s v="No"/>
    <n v="12"/>
    <n v="3"/>
    <n v="1"/>
    <n v="80"/>
    <n v="0"/>
    <n v="12"/>
    <n v="2"/>
    <n v="3"/>
    <n v="1"/>
    <n v="0"/>
    <n v="0"/>
    <n v="0"/>
    <n v="1"/>
    <n v="0"/>
    <s v="25-34"/>
    <s v="Medium"/>
    <s v="0-5 Years"/>
  </r>
  <r>
    <n v="441"/>
    <n v="34"/>
    <x v="0"/>
    <s v="Travel_Frequently"/>
    <n v="988"/>
    <s v="Human Resources"/>
    <n v="23"/>
    <n v="3"/>
    <s v="Human Resources"/>
    <n v="590"/>
    <n v="2"/>
    <s v="Female"/>
    <n v="43"/>
    <n v="3"/>
    <n v="3"/>
    <s v="Human Resources"/>
    <n v="1"/>
    <s v="Divorced"/>
    <n v="9950"/>
    <n v="11533"/>
    <n v="9"/>
    <s v="Yes"/>
    <n v="15"/>
    <n v="3"/>
    <n v="3"/>
    <n v="80"/>
    <n v="3"/>
    <n v="11"/>
    <n v="2"/>
    <n v="3"/>
    <n v="3"/>
    <n v="2"/>
    <n v="0"/>
    <n v="2"/>
    <n v="1"/>
    <n v="0"/>
    <s v="25-34"/>
    <s v="Medium"/>
    <s v="0-5 Years"/>
  </r>
  <r>
    <n v="442"/>
    <n v="42"/>
    <x v="1"/>
    <s v="Travel_Frequently"/>
    <n v="1474"/>
    <s v="Research &amp; Development"/>
    <n v="5"/>
    <n v="2"/>
    <s v="Other"/>
    <n v="591"/>
    <n v="2"/>
    <s v="Male"/>
    <n v="97"/>
    <n v="3"/>
    <n v="1"/>
    <s v="Laboratory Technician"/>
    <n v="3"/>
    <s v="Married"/>
    <n v="2093"/>
    <n v="9260"/>
    <n v="4"/>
    <s v="No"/>
    <n v="17"/>
    <n v="3"/>
    <n v="4"/>
    <n v="80"/>
    <n v="1"/>
    <n v="8"/>
    <n v="4"/>
    <n v="3"/>
    <n v="2"/>
    <n v="2"/>
    <n v="2"/>
    <n v="0"/>
    <n v="0"/>
    <n v="1"/>
    <s v="35-44"/>
    <s v="Low"/>
    <s v="0-5 Years"/>
  </r>
  <r>
    <n v="443"/>
    <n v="36"/>
    <x v="1"/>
    <s v="Non-Travel"/>
    <n v="635"/>
    <s v="Sales"/>
    <n v="10"/>
    <n v="4"/>
    <s v="Medical"/>
    <n v="592"/>
    <n v="2"/>
    <s v="Male"/>
    <n v="32"/>
    <n v="3"/>
    <n v="3"/>
    <s v="Sales Executive"/>
    <n v="4"/>
    <s v="Single"/>
    <n v="9980"/>
    <n v="15318"/>
    <n v="1"/>
    <s v="No"/>
    <n v="14"/>
    <n v="3"/>
    <n v="4"/>
    <n v="80"/>
    <n v="0"/>
    <n v="10"/>
    <n v="3"/>
    <n v="2"/>
    <n v="10"/>
    <n v="3"/>
    <n v="9"/>
    <n v="7"/>
    <n v="0"/>
    <n v="1"/>
    <s v="35-44"/>
    <s v="Medium"/>
    <s v="6-10 Years"/>
  </r>
  <r>
    <n v="444"/>
    <n v="22"/>
    <x v="0"/>
    <s v="Travel_Frequently"/>
    <n v="1368"/>
    <s v="Research &amp; Development"/>
    <n v="4"/>
    <n v="1"/>
    <s v="Technical Degree"/>
    <n v="593"/>
    <n v="3"/>
    <s v="Male"/>
    <n v="99"/>
    <n v="2"/>
    <n v="1"/>
    <s v="Laboratory Technician"/>
    <n v="3"/>
    <s v="Single"/>
    <n v="3894"/>
    <n v="9129"/>
    <n v="5"/>
    <s v="No"/>
    <n v="16"/>
    <n v="3"/>
    <n v="3"/>
    <n v="80"/>
    <n v="0"/>
    <n v="4"/>
    <n v="3"/>
    <n v="3"/>
    <n v="2"/>
    <n v="2"/>
    <n v="1"/>
    <n v="2"/>
    <n v="1"/>
    <n v="0"/>
    <s v="Under 25"/>
    <s v="Low"/>
    <s v="0-5 Years"/>
  </r>
  <r>
    <n v="445"/>
    <n v="48"/>
    <x v="1"/>
    <s v="Travel_Rarely"/>
    <n v="163"/>
    <s v="Sales"/>
    <n v="2"/>
    <n v="5"/>
    <s v="Marketing"/>
    <n v="595"/>
    <n v="2"/>
    <s v="Female"/>
    <n v="37"/>
    <n v="3"/>
    <n v="2"/>
    <s v="Sales Executive"/>
    <n v="4"/>
    <s v="Married"/>
    <n v="4051"/>
    <n v="19658"/>
    <n v="2"/>
    <s v="No"/>
    <n v="14"/>
    <n v="3"/>
    <n v="1"/>
    <n v="80"/>
    <n v="1"/>
    <n v="14"/>
    <n v="2"/>
    <n v="3"/>
    <n v="9"/>
    <n v="7"/>
    <n v="6"/>
    <n v="7"/>
    <n v="0"/>
    <n v="1"/>
    <s v="45-54"/>
    <s v="Low"/>
    <s v="6-10 Years"/>
  </r>
  <r>
    <n v="446"/>
    <n v="55"/>
    <x v="1"/>
    <s v="Travel_Rarely"/>
    <n v="1117"/>
    <s v="Sales"/>
    <n v="18"/>
    <n v="5"/>
    <s v="Life Sciences"/>
    <n v="597"/>
    <n v="1"/>
    <s v="Female"/>
    <n v="83"/>
    <n v="3"/>
    <n v="4"/>
    <s v="Manager"/>
    <n v="2"/>
    <s v="Single"/>
    <n v="16835"/>
    <n v="9873"/>
    <n v="3"/>
    <s v="No"/>
    <n v="23"/>
    <n v="4"/>
    <n v="4"/>
    <n v="80"/>
    <n v="0"/>
    <n v="37"/>
    <n v="2"/>
    <n v="3"/>
    <n v="10"/>
    <n v="9"/>
    <n v="7"/>
    <n v="7"/>
    <n v="0"/>
    <n v="1"/>
    <s v="55+"/>
    <s v="High"/>
    <s v="6-10 Years"/>
  </r>
  <r>
    <n v="447"/>
    <n v="41"/>
    <x v="1"/>
    <s v="Non-Travel"/>
    <n v="267"/>
    <s v="Sales"/>
    <n v="10"/>
    <n v="2"/>
    <s v="Life Sciences"/>
    <n v="599"/>
    <n v="4"/>
    <s v="Male"/>
    <n v="56"/>
    <n v="3"/>
    <n v="2"/>
    <s v="Sales Executive"/>
    <n v="4"/>
    <s v="Single"/>
    <n v="6230"/>
    <n v="13430"/>
    <n v="7"/>
    <s v="No"/>
    <n v="14"/>
    <n v="3"/>
    <n v="4"/>
    <n v="80"/>
    <n v="0"/>
    <n v="16"/>
    <n v="3"/>
    <n v="3"/>
    <n v="14"/>
    <n v="3"/>
    <n v="1"/>
    <n v="10"/>
    <n v="0"/>
    <n v="1"/>
    <s v="35-44"/>
    <s v="Medium"/>
    <s v="11-20 Years"/>
  </r>
  <r>
    <n v="448"/>
    <n v="35"/>
    <x v="1"/>
    <s v="Travel_Rarely"/>
    <n v="619"/>
    <s v="Sales"/>
    <n v="1"/>
    <n v="3"/>
    <s v="Marketing"/>
    <n v="600"/>
    <n v="2"/>
    <s v="Male"/>
    <n v="85"/>
    <n v="3"/>
    <n v="2"/>
    <s v="Sales Executive"/>
    <n v="3"/>
    <s v="Married"/>
    <n v="4717"/>
    <n v="18659"/>
    <n v="9"/>
    <s v="No"/>
    <n v="11"/>
    <n v="3"/>
    <n v="3"/>
    <n v="80"/>
    <n v="0"/>
    <n v="15"/>
    <n v="2"/>
    <n v="3"/>
    <n v="11"/>
    <n v="9"/>
    <n v="6"/>
    <n v="9"/>
    <n v="0"/>
    <n v="1"/>
    <s v="35-44"/>
    <s v="Low"/>
    <s v="11-20 Years"/>
  </r>
  <r>
    <n v="449"/>
    <n v="40"/>
    <x v="1"/>
    <s v="Travel_Rarely"/>
    <n v="302"/>
    <s v="Research &amp; Development"/>
    <n v="6"/>
    <n v="3"/>
    <s v="Life Sciences"/>
    <n v="601"/>
    <n v="2"/>
    <s v="Female"/>
    <n v="75"/>
    <n v="3"/>
    <n v="4"/>
    <s v="Manufacturing Director"/>
    <n v="3"/>
    <s v="Single"/>
    <n v="13237"/>
    <n v="20364"/>
    <n v="7"/>
    <s v="No"/>
    <n v="15"/>
    <n v="3"/>
    <n v="3"/>
    <n v="80"/>
    <n v="0"/>
    <n v="22"/>
    <n v="3"/>
    <n v="3"/>
    <n v="20"/>
    <n v="6"/>
    <n v="5"/>
    <n v="13"/>
    <n v="0"/>
    <n v="1"/>
    <s v="35-44"/>
    <s v="Upper Medium"/>
    <s v="11-20 Years"/>
  </r>
  <r>
    <n v="450"/>
    <n v="39"/>
    <x v="1"/>
    <s v="Travel_Frequently"/>
    <n v="443"/>
    <s v="Research &amp; Development"/>
    <n v="8"/>
    <n v="1"/>
    <s v="Life Sciences"/>
    <n v="602"/>
    <n v="3"/>
    <s v="Female"/>
    <n v="48"/>
    <n v="3"/>
    <n v="1"/>
    <s v="Laboratory Technician"/>
    <n v="3"/>
    <s v="Married"/>
    <n v="3755"/>
    <n v="17872"/>
    <n v="1"/>
    <s v="No"/>
    <n v="11"/>
    <n v="3"/>
    <n v="1"/>
    <n v="80"/>
    <n v="1"/>
    <n v="8"/>
    <n v="3"/>
    <n v="3"/>
    <n v="8"/>
    <n v="3"/>
    <n v="0"/>
    <n v="7"/>
    <n v="0"/>
    <n v="1"/>
    <s v="35-44"/>
    <s v="Low"/>
    <s v="6-10 Years"/>
  </r>
  <r>
    <n v="451"/>
    <n v="31"/>
    <x v="1"/>
    <s v="Travel_Rarely"/>
    <n v="828"/>
    <s v="Sales"/>
    <n v="2"/>
    <n v="1"/>
    <s v="Life Sciences"/>
    <n v="604"/>
    <n v="2"/>
    <s v="Male"/>
    <n v="77"/>
    <n v="3"/>
    <n v="2"/>
    <s v="Sales Executive"/>
    <n v="4"/>
    <s v="Single"/>
    <n v="6582"/>
    <n v="8346"/>
    <n v="4"/>
    <s v="Yes"/>
    <n v="13"/>
    <n v="3"/>
    <n v="3"/>
    <n v="80"/>
    <n v="0"/>
    <n v="10"/>
    <n v="2"/>
    <n v="4"/>
    <n v="6"/>
    <n v="5"/>
    <n v="0"/>
    <n v="5"/>
    <n v="0"/>
    <n v="1"/>
    <s v="25-34"/>
    <s v="Medium"/>
    <s v="6-10 Years"/>
  </r>
  <r>
    <n v="452"/>
    <n v="42"/>
    <x v="1"/>
    <s v="Travel_Rarely"/>
    <n v="319"/>
    <s v="Research &amp; Development"/>
    <n v="24"/>
    <n v="3"/>
    <s v="Medical"/>
    <n v="605"/>
    <n v="4"/>
    <s v="Male"/>
    <n v="56"/>
    <n v="3"/>
    <n v="3"/>
    <s v="Manufacturing Director"/>
    <n v="1"/>
    <s v="Married"/>
    <n v="7406"/>
    <n v="6950"/>
    <n v="1"/>
    <s v="Yes"/>
    <n v="21"/>
    <n v="4"/>
    <n v="4"/>
    <n v="80"/>
    <n v="1"/>
    <n v="10"/>
    <n v="5"/>
    <n v="2"/>
    <n v="10"/>
    <n v="9"/>
    <n v="5"/>
    <n v="8"/>
    <n v="0"/>
    <n v="1"/>
    <s v="35-44"/>
    <s v="Medium"/>
    <s v="6-10 Years"/>
  </r>
  <r>
    <n v="453"/>
    <n v="45"/>
    <x v="1"/>
    <s v="Travel_Rarely"/>
    <n v="561"/>
    <s v="Sales"/>
    <n v="2"/>
    <n v="3"/>
    <s v="Other"/>
    <n v="606"/>
    <n v="4"/>
    <s v="Male"/>
    <n v="61"/>
    <n v="3"/>
    <n v="2"/>
    <s v="Sales Executive"/>
    <n v="2"/>
    <s v="Married"/>
    <n v="4805"/>
    <n v="16177"/>
    <n v="0"/>
    <s v="No"/>
    <n v="19"/>
    <n v="3"/>
    <n v="2"/>
    <n v="80"/>
    <n v="1"/>
    <n v="9"/>
    <n v="3"/>
    <n v="4"/>
    <n v="8"/>
    <n v="7"/>
    <n v="3"/>
    <n v="7"/>
    <n v="0"/>
    <n v="1"/>
    <s v="45-54"/>
    <s v="Low"/>
    <s v="6-10 Years"/>
  </r>
  <r>
    <n v="454"/>
    <n v="26"/>
    <x v="0"/>
    <s v="Travel_Frequently"/>
    <n v="426"/>
    <s v="Human Resources"/>
    <n v="17"/>
    <n v="4"/>
    <s v="Life Sciences"/>
    <n v="608"/>
    <n v="2"/>
    <s v="Female"/>
    <n v="58"/>
    <n v="3"/>
    <n v="1"/>
    <s v="Human Resources"/>
    <n v="3"/>
    <s v="Divorced"/>
    <n v="2741"/>
    <n v="22808"/>
    <n v="0"/>
    <s v="Yes"/>
    <n v="11"/>
    <n v="3"/>
    <n v="2"/>
    <n v="80"/>
    <n v="1"/>
    <n v="8"/>
    <n v="2"/>
    <n v="2"/>
    <n v="7"/>
    <n v="7"/>
    <n v="1"/>
    <n v="0"/>
    <n v="1"/>
    <n v="0"/>
    <s v="25-34"/>
    <s v="Low"/>
    <s v="6-10 Years"/>
  </r>
  <r>
    <n v="455"/>
    <n v="29"/>
    <x v="1"/>
    <s v="Travel_Rarely"/>
    <n v="232"/>
    <s v="Research &amp; Development"/>
    <n v="19"/>
    <n v="3"/>
    <s v="Technical Degree"/>
    <n v="611"/>
    <n v="4"/>
    <s v="Male"/>
    <n v="34"/>
    <n v="3"/>
    <n v="2"/>
    <s v="Manufacturing Director"/>
    <n v="4"/>
    <s v="Divorced"/>
    <n v="4262"/>
    <n v="22645"/>
    <n v="4"/>
    <s v="No"/>
    <n v="12"/>
    <n v="3"/>
    <n v="2"/>
    <n v="80"/>
    <n v="2"/>
    <n v="8"/>
    <n v="2"/>
    <n v="4"/>
    <n v="3"/>
    <n v="2"/>
    <n v="1"/>
    <n v="2"/>
    <n v="0"/>
    <n v="1"/>
    <s v="25-34"/>
    <s v="Low"/>
    <s v="0-5 Years"/>
  </r>
  <r>
    <n v="456"/>
    <n v="33"/>
    <x v="1"/>
    <s v="Travel_Rarely"/>
    <n v="922"/>
    <s v="Research &amp; Development"/>
    <n v="1"/>
    <n v="5"/>
    <s v="Medical"/>
    <n v="612"/>
    <n v="1"/>
    <s v="Female"/>
    <n v="95"/>
    <n v="4"/>
    <n v="4"/>
    <s v="Research Director"/>
    <n v="3"/>
    <s v="Divorced"/>
    <n v="16184"/>
    <n v="22578"/>
    <n v="4"/>
    <s v="No"/>
    <n v="19"/>
    <n v="3"/>
    <n v="3"/>
    <n v="80"/>
    <n v="1"/>
    <n v="10"/>
    <n v="2"/>
    <n v="3"/>
    <n v="6"/>
    <n v="1"/>
    <n v="0"/>
    <n v="5"/>
    <n v="0"/>
    <n v="1"/>
    <s v="25-34"/>
    <s v="High"/>
    <s v="6-10 Years"/>
  </r>
  <r>
    <n v="457"/>
    <n v="31"/>
    <x v="1"/>
    <s v="Travel_Rarely"/>
    <n v="688"/>
    <s v="Sales"/>
    <n v="7"/>
    <n v="3"/>
    <s v="Life Sciences"/>
    <n v="613"/>
    <n v="3"/>
    <s v="Male"/>
    <n v="44"/>
    <n v="2"/>
    <n v="3"/>
    <s v="Manager"/>
    <n v="4"/>
    <s v="Divorced"/>
    <n v="11557"/>
    <n v="25291"/>
    <n v="9"/>
    <s v="No"/>
    <n v="21"/>
    <n v="4"/>
    <n v="3"/>
    <n v="80"/>
    <n v="1"/>
    <n v="10"/>
    <n v="3"/>
    <n v="2"/>
    <n v="5"/>
    <n v="4"/>
    <n v="0"/>
    <n v="1"/>
    <n v="0"/>
    <n v="1"/>
    <s v="25-34"/>
    <s v="Upper Medium"/>
    <s v="0-5 Years"/>
  </r>
  <r>
    <n v="458"/>
    <n v="18"/>
    <x v="0"/>
    <s v="Travel_Frequently"/>
    <n v="1306"/>
    <s v="Sales"/>
    <n v="5"/>
    <n v="3"/>
    <s v="Marketing"/>
    <n v="614"/>
    <n v="2"/>
    <s v="Male"/>
    <n v="69"/>
    <n v="3"/>
    <n v="1"/>
    <s v="Sales Representative"/>
    <n v="2"/>
    <s v="Single"/>
    <n v="1878"/>
    <n v="8059"/>
    <n v="1"/>
    <s v="Yes"/>
    <n v="14"/>
    <n v="3"/>
    <n v="4"/>
    <n v="80"/>
    <n v="0"/>
    <n v="0"/>
    <n v="3"/>
    <n v="3"/>
    <n v="0"/>
    <n v="0"/>
    <n v="0"/>
    <n v="0"/>
    <n v="1"/>
    <n v="0"/>
    <s v="Under 25"/>
    <s v="Low"/>
    <s v="0-5 Years"/>
  </r>
  <r>
    <n v="459"/>
    <n v="40"/>
    <x v="1"/>
    <s v="Non-Travel"/>
    <n v="1094"/>
    <s v="Sales"/>
    <n v="28"/>
    <n v="3"/>
    <s v="Other"/>
    <n v="615"/>
    <n v="3"/>
    <s v="Male"/>
    <n v="58"/>
    <n v="1"/>
    <n v="3"/>
    <s v="Sales Executive"/>
    <n v="1"/>
    <s v="Divorced"/>
    <n v="10932"/>
    <n v="11373"/>
    <n v="3"/>
    <s v="No"/>
    <n v="15"/>
    <n v="3"/>
    <n v="3"/>
    <n v="80"/>
    <n v="1"/>
    <n v="20"/>
    <n v="2"/>
    <n v="3"/>
    <n v="1"/>
    <n v="0"/>
    <n v="0"/>
    <n v="1"/>
    <n v="0"/>
    <n v="1"/>
    <s v="35-44"/>
    <s v="Upper Medium"/>
    <s v="0-5 Years"/>
  </r>
  <r>
    <n v="460"/>
    <n v="41"/>
    <x v="1"/>
    <s v="Non-Travel"/>
    <n v="509"/>
    <s v="Research &amp; Development"/>
    <n v="2"/>
    <n v="4"/>
    <s v="Other"/>
    <n v="616"/>
    <n v="1"/>
    <s v="Female"/>
    <n v="62"/>
    <n v="2"/>
    <n v="2"/>
    <s v="Healthcare Representative"/>
    <n v="3"/>
    <s v="Single"/>
    <n v="6811"/>
    <n v="2112"/>
    <n v="2"/>
    <s v="Yes"/>
    <n v="17"/>
    <n v="3"/>
    <n v="1"/>
    <n v="80"/>
    <n v="0"/>
    <n v="10"/>
    <n v="3"/>
    <n v="3"/>
    <n v="8"/>
    <n v="7"/>
    <n v="0"/>
    <n v="7"/>
    <n v="0"/>
    <n v="1"/>
    <s v="35-44"/>
    <s v="Medium"/>
    <s v="6-10 Years"/>
  </r>
  <r>
    <n v="461"/>
    <n v="26"/>
    <x v="1"/>
    <s v="Travel_Rarely"/>
    <n v="775"/>
    <s v="Sales"/>
    <n v="29"/>
    <n v="2"/>
    <s v="Medical"/>
    <n v="618"/>
    <n v="1"/>
    <s v="Male"/>
    <n v="45"/>
    <n v="3"/>
    <n v="2"/>
    <s v="Sales Executive"/>
    <n v="3"/>
    <s v="Divorced"/>
    <n v="4306"/>
    <n v="4267"/>
    <n v="5"/>
    <s v="No"/>
    <n v="12"/>
    <n v="3"/>
    <n v="1"/>
    <n v="80"/>
    <n v="2"/>
    <n v="8"/>
    <n v="5"/>
    <n v="3"/>
    <n v="0"/>
    <n v="0"/>
    <n v="0"/>
    <n v="0"/>
    <n v="0"/>
    <n v="1"/>
    <s v="25-34"/>
    <s v="Low"/>
    <s v="0-5 Years"/>
  </r>
  <r>
    <n v="462"/>
    <n v="35"/>
    <x v="1"/>
    <s v="Travel_Rarely"/>
    <n v="195"/>
    <s v="Sales"/>
    <n v="1"/>
    <n v="3"/>
    <s v="Medical"/>
    <n v="620"/>
    <n v="1"/>
    <s v="Female"/>
    <n v="80"/>
    <n v="3"/>
    <n v="2"/>
    <s v="Sales Executive"/>
    <n v="3"/>
    <s v="Single"/>
    <n v="4859"/>
    <n v="6698"/>
    <n v="1"/>
    <s v="No"/>
    <n v="16"/>
    <n v="3"/>
    <n v="4"/>
    <n v="80"/>
    <n v="0"/>
    <n v="5"/>
    <n v="3"/>
    <n v="3"/>
    <n v="5"/>
    <n v="4"/>
    <n v="0"/>
    <n v="3"/>
    <n v="0"/>
    <n v="1"/>
    <s v="35-44"/>
    <s v="Low"/>
    <s v="0-5 Years"/>
  </r>
  <r>
    <n v="463"/>
    <n v="34"/>
    <x v="1"/>
    <s v="Travel_Rarely"/>
    <n v="258"/>
    <s v="Sales"/>
    <n v="21"/>
    <n v="4"/>
    <s v="Life Sciences"/>
    <n v="621"/>
    <n v="4"/>
    <s v="Male"/>
    <n v="74"/>
    <n v="4"/>
    <n v="2"/>
    <s v="Sales Executive"/>
    <n v="4"/>
    <s v="Single"/>
    <n v="5337"/>
    <n v="19921"/>
    <n v="1"/>
    <s v="No"/>
    <n v="12"/>
    <n v="3"/>
    <n v="4"/>
    <n v="80"/>
    <n v="0"/>
    <n v="10"/>
    <n v="3"/>
    <n v="3"/>
    <n v="10"/>
    <n v="7"/>
    <n v="5"/>
    <n v="7"/>
    <n v="0"/>
    <n v="1"/>
    <s v="25-34"/>
    <s v="Medium"/>
    <s v="6-10 Years"/>
  </r>
  <r>
    <n v="464"/>
    <n v="26"/>
    <x v="0"/>
    <s v="Travel_Rarely"/>
    <n v="471"/>
    <s v="Research &amp; Development"/>
    <n v="24"/>
    <n v="3"/>
    <s v="Technical Degree"/>
    <n v="622"/>
    <n v="3"/>
    <s v="Male"/>
    <n v="66"/>
    <n v="1"/>
    <n v="1"/>
    <s v="Laboratory Technician"/>
    <n v="4"/>
    <s v="Single"/>
    <n v="2340"/>
    <n v="23213"/>
    <n v="1"/>
    <s v="Yes"/>
    <n v="18"/>
    <n v="3"/>
    <n v="2"/>
    <n v="80"/>
    <n v="0"/>
    <n v="1"/>
    <n v="3"/>
    <n v="1"/>
    <n v="1"/>
    <n v="0"/>
    <n v="0"/>
    <n v="0"/>
    <n v="1"/>
    <n v="0"/>
    <s v="25-34"/>
    <s v="Low"/>
    <s v="0-5 Years"/>
  </r>
  <r>
    <n v="465"/>
    <n v="37"/>
    <x v="1"/>
    <s v="Travel_Rarely"/>
    <n v="799"/>
    <s v="Research &amp; Development"/>
    <n v="1"/>
    <n v="3"/>
    <s v="Technical Degree"/>
    <n v="623"/>
    <n v="2"/>
    <s v="Female"/>
    <n v="59"/>
    <n v="3"/>
    <n v="3"/>
    <s v="Manufacturing Director"/>
    <n v="4"/>
    <s v="Single"/>
    <n v="7491"/>
    <n v="23848"/>
    <n v="4"/>
    <s v="No"/>
    <n v="17"/>
    <n v="3"/>
    <n v="4"/>
    <n v="80"/>
    <n v="0"/>
    <n v="12"/>
    <n v="3"/>
    <n v="4"/>
    <n v="6"/>
    <n v="5"/>
    <n v="1"/>
    <n v="2"/>
    <n v="0"/>
    <n v="1"/>
    <s v="35-44"/>
    <s v="Medium"/>
    <s v="6-10 Years"/>
  </r>
  <r>
    <n v="466"/>
    <n v="46"/>
    <x v="1"/>
    <s v="Travel_Frequently"/>
    <n v="1034"/>
    <s v="Research &amp; Development"/>
    <n v="18"/>
    <n v="1"/>
    <s v="Medical"/>
    <n v="624"/>
    <n v="1"/>
    <s v="Female"/>
    <n v="86"/>
    <n v="3"/>
    <n v="3"/>
    <s v="Healthcare Representative"/>
    <n v="3"/>
    <s v="Married"/>
    <n v="10527"/>
    <n v="8984"/>
    <n v="5"/>
    <s v="No"/>
    <n v="11"/>
    <n v="3"/>
    <n v="4"/>
    <n v="80"/>
    <n v="0"/>
    <n v="28"/>
    <n v="3"/>
    <n v="2"/>
    <n v="2"/>
    <n v="2"/>
    <n v="1"/>
    <n v="2"/>
    <n v="0"/>
    <n v="1"/>
    <s v="45-54"/>
    <s v="Upper Medium"/>
    <s v="0-5 Years"/>
  </r>
  <r>
    <n v="467"/>
    <n v="41"/>
    <x v="1"/>
    <s v="Travel_Rarely"/>
    <n v="1276"/>
    <s v="Sales"/>
    <n v="2"/>
    <n v="5"/>
    <s v="Life Sciences"/>
    <n v="625"/>
    <n v="2"/>
    <s v="Female"/>
    <n v="91"/>
    <n v="3"/>
    <n v="4"/>
    <s v="Manager"/>
    <n v="1"/>
    <s v="Married"/>
    <n v="16595"/>
    <n v="5626"/>
    <n v="7"/>
    <s v="No"/>
    <n v="16"/>
    <n v="3"/>
    <n v="2"/>
    <n v="80"/>
    <n v="1"/>
    <n v="22"/>
    <n v="2"/>
    <n v="3"/>
    <n v="18"/>
    <n v="16"/>
    <n v="11"/>
    <n v="8"/>
    <n v="0"/>
    <n v="1"/>
    <s v="35-44"/>
    <s v="High"/>
    <s v="11-20 Years"/>
  </r>
  <r>
    <n v="468"/>
    <n v="37"/>
    <x v="1"/>
    <s v="Non-Travel"/>
    <n v="142"/>
    <s v="Sales"/>
    <n v="9"/>
    <n v="4"/>
    <s v="Medical"/>
    <n v="626"/>
    <n v="1"/>
    <s v="Male"/>
    <n v="69"/>
    <n v="3"/>
    <n v="3"/>
    <s v="Sales Executive"/>
    <n v="2"/>
    <s v="Divorced"/>
    <n v="8834"/>
    <n v="24666"/>
    <n v="1"/>
    <s v="No"/>
    <n v="13"/>
    <n v="3"/>
    <n v="4"/>
    <n v="80"/>
    <n v="1"/>
    <n v="9"/>
    <n v="6"/>
    <n v="3"/>
    <n v="9"/>
    <n v="5"/>
    <n v="7"/>
    <n v="7"/>
    <n v="0"/>
    <n v="1"/>
    <s v="35-44"/>
    <s v="Medium"/>
    <s v="6-10 Years"/>
  </r>
  <r>
    <n v="469"/>
    <n v="52"/>
    <x v="1"/>
    <s v="Travel_Rarely"/>
    <n v="956"/>
    <s v="Research &amp; Development"/>
    <n v="6"/>
    <n v="2"/>
    <s v="Technical Degree"/>
    <n v="630"/>
    <n v="4"/>
    <s v="Male"/>
    <n v="78"/>
    <n v="3"/>
    <n v="2"/>
    <s v="Research Scientist"/>
    <n v="1"/>
    <s v="Divorced"/>
    <n v="5577"/>
    <n v="22087"/>
    <n v="3"/>
    <s v="Yes"/>
    <n v="12"/>
    <n v="3"/>
    <n v="2"/>
    <n v="80"/>
    <n v="2"/>
    <n v="18"/>
    <n v="3"/>
    <n v="3"/>
    <n v="10"/>
    <n v="9"/>
    <n v="6"/>
    <n v="9"/>
    <n v="0"/>
    <n v="1"/>
    <s v="45-54"/>
    <s v="Medium"/>
    <s v="6-10 Years"/>
  </r>
  <r>
    <n v="470"/>
    <n v="32"/>
    <x v="0"/>
    <s v="Non-Travel"/>
    <n v="1474"/>
    <s v="Sales"/>
    <n v="11"/>
    <n v="4"/>
    <s v="Other"/>
    <n v="631"/>
    <n v="4"/>
    <s v="Male"/>
    <n v="60"/>
    <n v="4"/>
    <n v="2"/>
    <s v="Sales Executive"/>
    <n v="3"/>
    <s v="Married"/>
    <n v="4707"/>
    <n v="23914"/>
    <n v="8"/>
    <s v="No"/>
    <n v="12"/>
    <n v="3"/>
    <n v="4"/>
    <n v="80"/>
    <n v="0"/>
    <n v="6"/>
    <n v="2"/>
    <n v="3"/>
    <n v="4"/>
    <n v="2"/>
    <n v="1"/>
    <n v="2"/>
    <n v="1"/>
    <n v="0"/>
    <s v="25-34"/>
    <s v="Low"/>
    <s v="0-5 Years"/>
  </r>
  <r>
    <n v="471"/>
    <n v="24"/>
    <x v="1"/>
    <s v="Travel_Frequently"/>
    <n v="535"/>
    <s v="Sales"/>
    <n v="24"/>
    <n v="3"/>
    <s v="Medical"/>
    <n v="632"/>
    <n v="4"/>
    <s v="Male"/>
    <n v="38"/>
    <n v="3"/>
    <n v="1"/>
    <s v="Sales Representative"/>
    <n v="4"/>
    <s v="Married"/>
    <n v="2400"/>
    <n v="5530"/>
    <n v="0"/>
    <s v="No"/>
    <n v="13"/>
    <n v="3"/>
    <n v="3"/>
    <n v="80"/>
    <n v="2"/>
    <n v="3"/>
    <n v="3"/>
    <n v="3"/>
    <n v="2"/>
    <n v="2"/>
    <n v="2"/>
    <n v="1"/>
    <n v="0"/>
    <n v="1"/>
    <s v="Under 25"/>
    <s v="Low"/>
    <s v="0-5 Years"/>
  </r>
  <r>
    <n v="472"/>
    <n v="38"/>
    <x v="1"/>
    <s v="Travel_Rarely"/>
    <n v="1495"/>
    <s v="Research &amp; Development"/>
    <n v="10"/>
    <n v="3"/>
    <s v="Medical"/>
    <n v="634"/>
    <n v="3"/>
    <s v="Female"/>
    <n v="76"/>
    <n v="3"/>
    <n v="2"/>
    <s v="Healthcare Representative"/>
    <n v="3"/>
    <s v="Married"/>
    <n v="9824"/>
    <n v="22174"/>
    <n v="3"/>
    <s v="No"/>
    <n v="19"/>
    <n v="3"/>
    <n v="3"/>
    <n v="80"/>
    <n v="1"/>
    <n v="18"/>
    <n v="4"/>
    <n v="3"/>
    <n v="1"/>
    <n v="0"/>
    <n v="0"/>
    <n v="0"/>
    <n v="0"/>
    <n v="1"/>
    <s v="35-44"/>
    <s v="Medium"/>
    <s v="0-5 Years"/>
  </r>
  <r>
    <n v="473"/>
    <n v="37"/>
    <x v="1"/>
    <s v="Travel_Rarely"/>
    <n v="446"/>
    <s v="Research &amp; Development"/>
    <n v="1"/>
    <n v="4"/>
    <s v="Life Sciences"/>
    <n v="635"/>
    <n v="2"/>
    <s v="Female"/>
    <n v="65"/>
    <n v="3"/>
    <n v="2"/>
    <s v="Manufacturing Director"/>
    <n v="2"/>
    <s v="Married"/>
    <n v="6447"/>
    <n v="15701"/>
    <n v="6"/>
    <s v="No"/>
    <n v="12"/>
    <n v="3"/>
    <n v="2"/>
    <n v="80"/>
    <n v="1"/>
    <n v="8"/>
    <n v="2"/>
    <n v="2"/>
    <n v="6"/>
    <n v="5"/>
    <n v="4"/>
    <n v="3"/>
    <n v="0"/>
    <n v="1"/>
    <s v="35-44"/>
    <s v="Medium"/>
    <s v="6-10 Years"/>
  </r>
  <r>
    <n v="474"/>
    <n v="49"/>
    <x v="1"/>
    <s v="Travel_Rarely"/>
    <n v="1245"/>
    <s v="Research &amp; Development"/>
    <n v="18"/>
    <n v="4"/>
    <s v="Life Sciences"/>
    <n v="638"/>
    <n v="4"/>
    <s v="Male"/>
    <n v="58"/>
    <n v="2"/>
    <n v="5"/>
    <s v="Research Director"/>
    <n v="3"/>
    <s v="Divorced"/>
    <n v="19502"/>
    <n v="2125"/>
    <n v="1"/>
    <s v="Yes"/>
    <n v="17"/>
    <n v="3"/>
    <n v="3"/>
    <n v="80"/>
    <n v="1"/>
    <n v="31"/>
    <n v="5"/>
    <n v="3"/>
    <n v="31"/>
    <n v="9"/>
    <n v="0"/>
    <n v="9"/>
    <n v="0"/>
    <n v="1"/>
    <s v="45-54"/>
    <s v="High"/>
    <s v="21+ Years"/>
  </r>
  <r>
    <n v="475"/>
    <n v="24"/>
    <x v="1"/>
    <s v="Travel_Rarely"/>
    <n v="691"/>
    <s v="Research &amp; Development"/>
    <n v="23"/>
    <n v="3"/>
    <s v="Medical"/>
    <n v="639"/>
    <n v="2"/>
    <s v="Male"/>
    <n v="89"/>
    <n v="4"/>
    <n v="1"/>
    <s v="Research Scientist"/>
    <n v="4"/>
    <s v="Married"/>
    <n v="2725"/>
    <n v="21630"/>
    <n v="1"/>
    <s v="Yes"/>
    <n v="11"/>
    <n v="3"/>
    <n v="2"/>
    <n v="80"/>
    <n v="2"/>
    <n v="6"/>
    <n v="3"/>
    <n v="3"/>
    <n v="6"/>
    <n v="5"/>
    <n v="1"/>
    <n v="4"/>
    <n v="0"/>
    <n v="1"/>
    <s v="Under 25"/>
    <s v="Low"/>
    <s v="6-10 Years"/>
  </r>
  <r>
    <n v="476"/>
    <n v="26"/>
    <x v="1"/>
    <s v="Travel_Rarely"/>
    <n v="703"/>
    <s v="Sales"/>
    <n v="28"/>
    <n v="2"/>
    <s v="Marketing"/>
    <n v="641"/>
    <n v="1"/>
    <s v="Male"/>
    <n v="66"/>
    <n v="3"/>
    <n v="2"/>
    <s v="Sales Executive"/>
    <n v="2"/>
    <s v="Married"/>
    <n v="6272"/>
    <n v="7428"/>
    <n v="1"/>
    <s v="No"/>
    <n v="20"/>
    <n v="4"/>
    <n v="4"/>
    <n v="80"/>
    <n v="2"/>
    <n v="6"/>
    <n v="5"/>
    <n v="4"/>
    <n v="5"/>
    <n v="3"/>
    <n v="1"/>
    <n v="4"/>
    <n v="0"/>
    <n v="1"/>
    <s v="25-34"/>
    <s v="Medium"/>
    <s v="0-5 Years"/>
  </r>
  <r>
    <n v="477"/>
    <n v="24"/>
    <x v="1"/>
    <s v="Travel_Rarely"/>
    <n v="823"/>
    <s v="Research &amp; Development"/>
    <n v="17"/>
    <n v="2"/>
    <s v="Other"/>
    <n v="643"/>
    <n v="4"/>
    <s v="Male"/>
    <n v="94"/>
    <n v="2"/>
    <n v="1"/>
    <s v="Laboratory Technician"/>
    <n v="2"/>
    <s v="Married"/>
    <n v="2127"/>
    <n v="9100"/>
    <n v="1"/>
    <s v="No"/>
    <n v="21"/>
    <n v="4"/>
    <n v="4"/>
    <n v="80"/>
    <n v="1"/>
    <n v="1"/>
    <n v="2"/>
    <n v="3"/>
    <n v="1"/>
    <n v="0"/>
    <n v="0"/>
    <n v="0"/>
    <n v="0"/>
    <n v="1"/>
    <s v="Under 25"/>
    <s v="Low"/>
    <s v="0-5 Years"/>
  </r>
  <r>
    <n v="478"/>
    <n v="50"/>
    <x v="1"/>
    <s v="Travel_Frequently"/>
    <n v="1246"/>
    <s v="Human Resources"/>
    <n v="3"/>
    <n v="3"/>
    <s v="Medical"/>
    <n v="644"/>
    <n v="1"/>
    <s v="Male"/>
    <n v="99"/>
    <n v="3"/>
    <n v="5"/>
    <s v="Manager"/>
    <n v="2"/>
    <s v="Married"/>
    <n v="18200"/>
    <n v="7999"/>
    <n v="1"/>
    <s v="No"/>
    <n v="11"/>
    <n v="3"/>
    <n v="3"/>
    <n v="80"/>
    <n v="1"/>
    <n v="32"/>
    <n v="2"/>
    <n v="3"/>
    <n v="32"/>
    <n v="5"/>
    <n v="10"/>
    <n v="7"/>
    <n v="0"/>
    <n v="1"/>
    <s v="45-54"/>
    <s v="High"/>
    <s v="21+ Years"/>
  </r>
  <r>
    <n v="479"/>
    <n v="25"/>
    <x v="1"/>
    <s v="Travel_Rarely"/>
    <n v="622"/>
    <s v="Sales"/>
    <n v="13"/>
    <n v="1"/>
    <s v="Medical"/>
    <n v="645"/>
    <n v="2"/>
    <s v="Male"/>
    <n v="40"/>
    <n v="3"/>
    <n v="1"/>
    <s v="Sales Representative"/>
    <n v="3"/>
    <s v="Married"/>
    <n v="2096"/>
    <n v="26376"/>
    <n v="1"/>
    <s v="No"/>
    <n v="11"/>
    <n v="3"/>
    <n v="3"/>
    <n v="80"/>
    <n v="0"/>
    <n v="7"/>
    <n v="1"/>
    <n v="3"/>
    <n v="7"/>
    <n v="4"/>
    <n v="0"/>
    <n v="6"/>
    <n v="0"/>
    <n v="1"/>
    <s v="25-34"/>
    <s v="Low"/>
    <s v="6-10 Years"/>
  </r>
  <r>
    <n v="480"/>
    <n v="24"/>
    <x v="0"/>
    <s v="Travel_Frequently"/>
    <n v="1287"/>
    <s v="Research &amp; Development"/>
    <n v="7"/>
    <n v="3"/>
    <s v="Life Sciences"/>
    <n v="647"/>
    <n v="1"/>
    <s v="Female"/>
    <n v="55"/>
    <n v="3"/>
    <n v="1"/>
    <s v="Laboratory Technician"/>
    <n v="3"/>
    <s v="Married"/>
    <n v="2886"/>
    <n v="14168"/>
    <n v="1"/>
    <s v="Yes"/>
    <n v="16"/>
    <n v="3"/>
    <n v="4"/>
    <n v="80"/>
    <n v="1"/>
    <n v="6"/>
    <n v="4"/>
    <n v="3"/>
    <n v="6"/>
    <n v="3"/>
    <n v="1"/>
    <n v="2"/>
    <n v="1"/>
    <n v="0"/>
    <s v="Under 25"/>
    <s v="Low"/>
    <s v="6-10 Years"/>
  </r>
  <r>
    <n v="481"/>
    <n v="30"/>
    <x v="0"/>
    <s v="Travel_Frequently"/>
    <n v="448"/>
    <s v="Sales"/>
    <n v="12"/>
    <n v="4"/>
    <s v="Life Sciences"/>
    <n v="648"/>
    <n v="2"/>
    <s v="Male"/>
    <n v="74"/>
    <n v="2"/>
    <n v="1"/>
    <s v="Sales Representative"/>
    <n v="1"/>
    <s v="Married"/>
    <n v="2033"/>
    <n v="14470"/>
    <n v="1"/>
    <s v="No"/>
    <n v="18"/>
    <n v="3"/>
    <n v="3"/>
    <n v="80"/>
    <n v="1"/>
    <n v="1"/>
    <n v="2"/>
    <n v="4"/>
    <n v="1"/>
    <n v="0"/>
    <n v="0"/>
    <n v="0"/>
    <n v="1"/>
    <n v="0"/>
    <s v="25-34"/>
    <s v="Low"/>
    <s v="0-5 Years"/>
  </r>
  <r>
    <n v="482"/>
    <n v="34"/>
    <x v="1"/>
    <s v="Travel_Rarely"/>
    <n v="254"/>
    <s v="Research &amp; Development"/>
    <n v="1"/>
    <n v="2"/>
    <s v="Life Sciences"/>
    <n v="649"/>
    <n v="2"/>
    <s v="Male"/>
    <n v="83"/>
    <n v="2"/>
    <n v="1"/>
    <s v="Research Scientist"/>
    <n v="4"/>
    <s v="Married"/>
    <n v="3622"/>
    <n v="22794"/>
    <n v="1"/>
    <s v="Yes"/>
    <n v="13"/>
    <n v="3"/>
    <n v="4"/>
    <n v="80"/>
    <n v="1"/>
    <n v="6"/>
    <n v="3"/>
    <n v="3"/>
    <n v="6"/>
    <n v="5"/>
    <n v="1"/>
    <n v="3"/>
    <n v="0"/>
    <n v="1"/>
    <s v="25-34"/>
    <s v="Low"/>
    <s v="6-10 Years"/>
  </r>
  <r>
    <n v="483"/>
    <n v="31"/>
    <x v="0"/>
    <s v="Travel_Rarely"/>
    <n v="1365"/>
    <s v="Sales"/>
    <n v="13"/>
    <n v="4"/>
    <s v="Medical"/>
    <n v="650"/>
    <n v="2"/>
    <s v="Male"/>
    <n v="46"/>
    <n v="3"/>
    <n v="2"/>
    <s v="Sales Executive"/>
    <n v="1"/>
    <s v="Divorced"/>
    <n v="4233"/>
    <n v="11512"/>
    <n v="2"/>
    <s v="No"/>
    <n v="17"/>
    <n v="3"/>
    <n v="3"/>
    <n v="80"/>
    <n v="0"/>
    <n v="9"/>
    <n v="2"/>
    <n v="1"/>
    <n v="3"/>
    <n v="1"/>
    <n v="1"/>
    <n v="2"/>
    <n v="1"/>
    <n v="0"/>
    <s v="25-34"/>
    <s v="Low"/>
    <s v="0-5 Years"/>
  </r>
  <r>
    <n v="484"/>
    <n v="35"/>
    <x v="1"/>
    <s v="Travel_Rarely"/>
    <n v="538"/>
    <s v="Research &amp; Development"/>
    <n v="25"/>
    <n v="2"/>
    <s v="Other"/>
    <n v="652"/>
    <n v="1"/>
    <s v="Male"/>
    <n v="54"/>
    <n v="2"/>
    <n v="2"/>
    <s v="Laboratory Technician"/>
    <n v="4"/>
    <s v="Single"/>
    <n v="3681"/>
    <n v="14004"/>
    <n v="4"/>
    <s v="No"/>
    <n v="14"/>
    <n v="3"/>
    <n v="4"/>
    <n v="80"/>
    <n v="0"/>
    <n v="9"/>
    <n v="3"/>
    <n v="3"/>
    <n v="3"/>
    <n v="2"/>
    <n v="0"/>
    <n v="2"/>
    <n v="0"/>
    <n v="1"/>
    <s v="35-44"/>
    <s v="Low"/>
    <s v="0-5 Years"/>
  </r>
  <r>
    <n v="485"/>
    <n v="31"/>
    <x v="1"/>
    <s v="Travel_Rarely"/>
    <n v="525"/>
    <s v="Sales"/>
    <n v="6"/>
    <n v="4"/>
    <s v="Medical"/>
    <n v="653"/>
    <n v="1"/>
    <s v="Male"/>
    <n v="66"/>
    <n v="4"/>
    <n v="2"/>
    <s v="Sales Executive"/>
    <n v="4"/>
    <s v="Divorced"/>
    <n v="5460"/>
    <n v="6219"/>
    <n v="4"/>
    <s v="No"/>
    <n v="22"/>
    <n v="4"/>
    <n v="4"/>
    <n v="80"/>
    <n v="2"/>
    <n v="13"/>
    <n v="4"/>
    <n v="4"/>
    <n v="7"/>
    <n v="7"/>
    <n v="5"/>
    <n v="7"/>
    <n v="0"/>
    <n v="1"/>
    <s v="25-34"/>
    <s v="Medium"/>
    <s v="6-10 Years"/>
  </r>
  <r>
    <n v="486"/>
    <n v="27"/>
    <x v="1"/>
    <s v="Travel_Rarely"/>
    <n v="798"/>
    <s v="Research &amp; Development"/>
    <n v="6"/>
    <n v="4"/>
    <s v="Medical"/>
    <n v="655"/>
    <n v="1"/>
    <s v="Female"/>
    <n v="66"/>
    <n v="2"/>
    <n v="1"/>
    <s v="Research Scientist"/>
    <n v="3"/>
    <s v="Divorced"/>
    <n v="2187"/>
    <n v="5013"/>
    <n v="0"/>
    <s v="No"/>
    <n v="12"/>
    <n v="3"/>
    <n v="3"/>
    <n v="80"/>
    <n v="2"/>
    <n v="6"/>
    <n v="5"/>
    <n v="2"/>
    <n v="5"/>
    <n v="3"/>
    <n v="0"/>
    <n v="3"/>
    <n v="0"/>
    <n v="1"/>
    <s v="25-34"/>
    <s v="Low"/>
    <s v="0-5 Years"/>
  </r>
  <r>
    <n v="487"/>
    <n v="37"/>
    <x v="1"/>
    <s v="Travel_Rarely"/>
    <n v="558"/>
    <s v="Sales"/>
    <n v="2"/>
    <n v="3"/>
    <s v="Marketing"/>
    <n v="656"/>
    <n v="4"/>
    <s v="Male"/>
    <n v="75"/>
    <n v="3"/>
    <n v="2"/>
    <s v="Sales Executive"/>
    <n v="3"/>
    <s v="Married"/>
    <n v="9602"/>
    <n v="3010"/>
    <n v="4"/>
    <s v="Yes"/>
    <n v="11"/>
    <n v="3"/>
    <n v="3"/>
    <n v="80"/>
    <n v="1"/>
    <n v="17"/>
    <n v="3"/>
    <n v="2"/>
    <n v="3"/>
    <n v="0"/>
    <n v="1"/>
    <n v="0"/>
    <n v="0"/>
    <n v="1"/>
    <s v="35-44"/>
    <s v="Medium"/>
    <s v="0-5 Years"/>
  </r>
  <r>
    <n v="488"/>
    <n v="20"/>
    <x v="1"/>
    <s v="Travel_Rarely"/>
    <n v="959"/>
    <s v="Research &amp; Development"/>
    <n v="1"/>
    <n v="3"/>
    <s v="Life Sciences"/>
    <n v="657"/>
    <n v="4"/>
    <s v="Female"/>
    <n v="83"/>
    <n v="2"/>
    <n v="1"/>
    <s v="Research Scientist"/>
    <n v="2"/>
    <s v="Single"/>
    <n v="2836"/>
    <n v="11757"/>
    <n v="1"/>
    <s v="No"/>
    <n v="13"/>
    <n v="3"/>
    <n v="4"/>
    <n v="80"/>
    <n v="0"/>
    <n v="1"/>
    <n v="0"/>
    <n v="4"/>
    <n v="1"/>
    <n v="0"/>
    <n v="0"/>
    <n v="0"/>
    <n v="0"/>
    <n v="1"/>
    <s v="Under 25"/>
    <s v="Low"/>
    <s v="0-5 Years"/>
  </r>
  <r>
    <n v="489"/>
    <n v="42"/>
    <x v="1"/>
    <s v="Travel_Rarely"/>
    <n v="622"/>
    <s v="Research &amp; Development"/>
    <n v="2"/>
    <n v="4"/>
    <s v="Life Sciences"/>
    <n v="659"/>
    <n v="3"/>
    <s v="Female"/>
    <n v="81"/>
    <n v="3"/>
    <n v="2"/>
    <s v="Healthcare Representative"/>
    <n v="4"/>
    <s v="Married"/>
    <n v="4089"/>
    <n v="5718"/>
    <n v="1"/>
    <s v="No"/>
    <n v="13"/>
    <n v="3"/>
    <n v="2"/>
    <n v="80"/>
    <n v="2"/>
    <n v="10"/>
    <n v="4"/>
    <n v="3"/>
    <n v="10"/>
    <n v="2"/>
    <n v="2"/>
    <n v="2"/>
    <n v="0"/>
    <n v="1"/>
    <s v="35-44"/>
    <s v="Low"/>
    <s v="6-10 Years"/>
  </r>
  <r>
    <n v="490"/>
    <n v="43"/>
    <x v="1"/>
    <s v="Travel_Rarely"/>
    <n v="782"/>
    <s v="Research &amp; Development"/>
    <n v="6"/>
    <n v="4"/>
    <s v="Other"/>
    <n v="661"/>
    <n v="2"/>
    <s v="Male"/>
    <n v="50"/>
    <n v="2"/>
    <n v="4"/>
    <s v="Research Director"/>
    <n v="4"/>
    <s v="Divorced"/>
    <n v="16627"/>
    <n v="2671"/>
    <n v="4"/>
    <s v="Yes"/>
    <n v="14"/>
    <n v="3"/>
    <n v="3"/>
    <n v="80"/>
    <n v="1"/>
    <n v="21"/>
    <n v="3"/>
    <n v="2"/>
    <n v="1"/>
    <n v="0"/>
    <n v="0"/>
    <n v="0"/>
    <n v="0"/>
    <n v="1"/>
    <s v="35-44"/>
    <s v="High"/>
    <s v="0-5 Years"/>
  </r>
  <r>
    <n v="491"/>
    <n v="38"/>
    <x v="1"/>
    <s v="Travel_Rarely"/>
    <n v="362"/>
    <s v="Research &amp; Development"/>
    <n v="1"/>
    <n v="1"/>
    <s v="Life Sciences"/>
    <n v="662"/>
    <n v="3"/>
    <s v="Female"/>
    <n v="43"/>
    <n v="3"/>
    <n v="1"/>
    <s v="Research Scientist"/>
    <n v="1"/>
    <s v="Single"/>
    <n v="2619"/>
    <n v="14561"/>
    <n v="3"/>
    <s v="No"/>
    <n v="17"/>
    <n v="3"/>
    <n v="4"/>
    <n v="80"/>
    <n v="0"/>
    <n v="8"/>
    <n v="3"/>
    <n v="2"/>
    <n v="0"/>
    <n v="0"/>
    <n v="0"/>
    <n v="0"/>
    <n v="0"/>
    <n v="1"/>
    <s v="35-44"/>
    <s v="Low"/>
    <s v="0-5 Years"/>
  </r>
  <r>
    <n v="492"/>
    <n v="43"/>
    <x v="1"/>
    <s v="Travel_Frequently"/>
    <n v="1001"/>
    <s v="Research &amp; Development"/>
    <n v="9"/>
    <n v="5"/>
    <s v="Medical"/>
    <n v="663"/>
    <n v="4"/>
    <s v="Male"/>
    <n v="72"/>
    <n v="3"/>
    <n v="2"/>
    <s v="Laboratory Technician"/>
    <n v="3"/>
    <s v="Divorced"/>
    <n v="5679"/>
    <n v="19627"/>
    <n v="3"/>
    <s v="Yes"/>
    <n v="13"/>
    <n v="3"/>
    <n v="2"/>
    <n v="80"/>
    <n v="1"/>
    <n v="10"/>
    <n v="3"/>
    <n v="3"/>
    <n v="8"/>
    <n v="7"/>
    <n v="4"/>
    <n v="7"/>
    <n v="0"/>
    <n v="1"/>
    <s v="35-44"/>
    <s v="Medium"/>
    <s v="6-10 Years"/>
  </r>
  <r>
    <n v="493"/>
    <n v="48"/>
    <x v="1"/>
    <s v="Travel_Rarely"/>
    <n v="1236"/>
    <s v="Research &amp; Development"/>
    <n v="1"/>
    <n v="4"/>
    <s v="Life Sciences"/>
    <n v="664"/>
    <n v="4"/>
    <s v="Female"/>
    <n v="40"/>
    <n v="2"/>
    <n v="4"/>
    <s v="Manager"/>
    <n v="1"/>
    <s v="Married"/>
    <n v="15402"/>
    <n v="17997"/>
    <n v="7"/>
    <s v="No"/>
    <n v="11"/>
    <n v="3"/>
    <n v="1"/>
    <n v="80"/>
    <n v="1"/>
    <n v="21"/>
    <n v="3"/>
    <n v="1"/>
    <n v="3"/>
    <n v="2"/>
    <n v="0"/>
    <n v="2"/>
    <n v="0"/>
    <n v="1"/>
    <s v="45-54"/>
    <s v="High"/>
    <s v="0-5 Years"/>
  </r>
  <r>
    <n v="494"/>
    <n v="44"/>
    <x v="1"/>
    <s v="Travel_Rarely"/>
    <n v="1112"/>
    <s v="Human Resources"/>
    <n v="1"/>
    <n v="4"/>
    <s v="Life Sciences"/>
    <n v="665"/>
    <n v="1"/>
    <s v="Female"/>
    <n v="50"/>
    <n v="2"/>
    <n v="2"/>
    <s v="Human Resources"/>
    <n v="3"/>
    <s v="Single"/>
    <n v="5985"/>
    <n v="26894"/>
    <n v="4"/>
    <s v="No"/>
    <n v="11"/>
    <n v="3"/>
    <n v="2"/>
    <n v="80"/>
    <n v="0"/>
    <n v="10"/>
    <n v="1"/>
    <n v="4"/>
    <n v="2"/>
    <n v="2"/>
    <n v="0"/>
    <n v="2"/>
    <n v="0"/>
    <n v="1"/>
    <s v="35-44"/>
    <s v="Medium"/>
    <s v="0-5 Years"/>
  </r>
  <r>
    <n v="495"/>
    <n v="34"/>
    <x v="1"/>
    <s v="Travel_Rarely"/>
    <n v="204"/>
    <s v="Sales"/>
    <n v="14"/>
    <n v="3"/>
    <s v="Technical Degree"/>
    <n v="666"/>
    <n v="3"/>
    <s v="Female"/>
    <n v="31"/>
    <n v="3"/>
    <n v="1"/>
    <s v="Sales Representative"/>
    <n v="3"/>
    <s v="Divorced"/>
    <n v="2579"/>
    <n v="2912"/>
    <n v="1"/>
    <s v="Yes"/>
    <n v="18"/>
    <n v="3"/>
    <n v="4"/>
    <n v="80"/>
    <n v="2"/>
    <n v="8"/>
    <n v="3"/>
    <n v="3"/>
    <n v="8"/>
    <n v="2"/>
    <n v="0"/>
    <n v="6"/>
    <n v="0"/>
    <n v="1"/>
    <s v="25-34"/>
    <s v="Low"/>
    <s v="6-10 Years"/>
  </r>
  <r>
    <n v="496"/>
    <n v="27"/>
    <x v="0"/>
    <s v="Travel_Rarely"/>
    <n v="1420"/>
    <s v="Sales"/>
    <n v="2"/>
    <n v="1"/>
    <s v="Marketing"/>
    <n v="667"/>
    <n v="3"/>
    <s v="Male"/>
    <n v="85"/>
    <n v="3"/>
    <n v="1"/>
    <s v="Sales Representative"/>
    <n v="1"/>
    <s v="Divorced"/>
    <n v="3041"/>
    <n v="16346"/>
    <n v="0"/>
    <s v="No"/>
    <n v="11"/>
    <n v="3"/>
    <n v="2"/>
    <n v="80"/>
    <n v="1"/>
    <n v="5"/>
    <n v="3"/>
    <n v="3"/>
    <n v="4"/>
    <n v="3"/>
    <n v="0"/>
    <n v="2"/>
    <n v="1"/>
    <n v="0"/>
    <s v="25-34"/>
    <s v="Low"/>
    <s v="0-5 Years"/>
  </r>
  <r>
    <n v="497"/>
    <n v="21"/>
    <x v="1"/>
    <s v="Travel_Rarely"/>
    <n v="1343"/>
    <s v="Sales"/>
    <n v="22"/>
    <n v="1"/>
    <s v="Technical Degree"/>
    <n v="669"/>
    <n v="3"/>
    <s v="Male"/>
    <n v="49"/>
    <n v="3"/>
    <n v="1"/>
    <s v="Sales Representative"/>
    <n v="3"/>
    <s v="Single"/>
    <n v="3447"/>
    <n v="24444"/>
    <n v="1"/>
    <s v="No"/>
    <n v="11"/>
    <n v="3"/>
    <n v="3"/>
    <n v="80"/>
    <n v="0"/>
    <n v="3"/>
    <n v="2"/>
    <n v="3"/>
    <n v="3"/>
    <n v="2"/>
    <n v="1"/>
    <n v="2"/>
    <n v="0"/>
    <n v="1"/>
    <s v="Under 25"/>
    <s v="Low"/>
    <s v="0-5 Years"/>
  </r>
  <r>
    <n v="498"/>
    <n v="44"/>
    <x v="1"/>
    <s v="Travel_Rarely"/>
    <n v="1315"/>
    <s v="Research &amp; Development"/>
    <n v="3"/>
    <n v="4"/>
    <s v="Other"/>
    <n v="671"/>
    <n v="4"/>
    <s v="Male"/>
    <n v="35"/>
    <n v="3"/>
    <n v="5"/>
    <s v="Manager"/>
    <n v="4"/>
    <s v="Married"/>
    <n v="19513"/>
    <n v="9358"/>
    <n v="4"/>
    <s v="Yes"/>
    <n v="12"/>
    <n v="3"/>
    <n v="1"/>
    <n v="80"/>
    <n v="1"/>
    <n v="26"/>
    <n v="2"/>
    <n v="4"/>
    <n v="2"/>
    <n v="2"/>
    <n v="0"/>
    <n v="1"/>
    <n v="0"/>
    <n v="1"/>
    <s v="35-44"/>
    <s v="High"/>
    <s v="0-5 Years"/>
  </r>
  <r>
    <n v="499"/>
    <n v="22"/>
    <x v="1"/>
    <s v="Travel_Rarely"/>
    <n v="604"/>
    <s v="Research &amp; Development"/>
    <n v="6"/>
    <n v="1"/>
    <s v="Medical"/>
    <n v="675"/>
    <n v="1"/>
    <s v="Male"/>
    <n v="69"/>
    <n v="3"/>
    <n v="1"/>
    <s v="Research Scientist"/>
    <n v="3"/>
    <s v="Married"/>
    <n v="2773"/>
    <n v="12145"/>
    <n v="0"/>
    <s v="No"/>
    <n v="20"/>
    <n v="4"/>
    <n v="4"/>
    <n v="80"/>
    <n v="0"/>
    <n v="3"/>
    <n v="3"/>
    <n v="3"/>
    <n v="2"/>
    <n v="2"/>
    <n v="2"/>
    <n v="2"/>
    <n v="0"/>
    <n v="1"/>
    <s v="Under 25"/>
    <s v="Low"/>
    <s v="0-5 Years"/>
  </r>
  <r>
    <n v="500"/>
    <n v="33"/>
    <x v="1"/>
    <s v="Travel_Rarely"/>
    <n v="1216"/>
    <s v="Sales"/>
    <n v="8"/>
    <n v="4"/>
    <s v="Marketing"/>
    <n v="677"/>
    <n v="3"/>
    <s v="Male"/>
    <n v="39"/>
    <n v="3"/>
    <n v="2"/>
    <s v="Sales Executive"/>
    <n v="3"/>
    <s v="Divorced"/>
    <n v="7104"/>
    <n v="20431"/>
    <n v="0"/>
    <s v="No"/>
    <n v="12"/>
    <n v="3"/>
    <n v="4"/>
    <n v="80"/>
    <n v="0"/>
    <n v="6"/>
    <n v="3"/>
    <n v="3"/>
    <n v="5"/>
    <n v="0"/>
    <n v="1"/>
    <n v="2"/>
    <n v="0"/>
    <n v="1"/>
    <s v="25-34"/>
    <s v="Medium"/>
    <s v="0-5 Years"/>
  </r>
  <r>
    <n v="501"/>
    <n v="32"/>
    <x v="1"/>
    <s v="Travel_Rarely"/>
    <n v="646"/>
    <s v="Research &amp; Development"/>
    <n v="9"/>
    <n v="4"/>
    <s v="Life Sciences"/>
    <n v="679"/>
    <n v="1"/>
    <s v="Female"/>
    <n v="92"/>
    <n v="3"/>
    <n v="2"/>
    <s v="Research Scientist"/>
    <n v="4"/>
    <s v="Married"/>
    <n v="6322"/>
    <n v="18089"/>
    <n v="1"/>
    <s v="Yes"/>
    <n v="12"/>
    <n v="3"/>
    <n v="4"/>
    <n v="80"/>
    <n v="1"/>
    <n v="6"/>
    <n v="2"/>
    <n v="2"/>
    <n v="6"/>
    <n v="4"/>
    <n v="0"/>
    <n v="5"/>
    <n v="0"/>
    <n v="1"/>
    <s v="25-34"/>
    <s v="Medium"/>
    <s v="6-10 Years"/>
  </r>
  <r>
    <n v="502"/>
    <n v="30"/>
    <x v="1"/>
    <s v="Travel_Frequently"/>
    <n v="160"/>
    <s v="Research &amp; Development"/>
    <n v="3"/>
    <n v="3"/>
    <s v="Medical"/>
    <n v="680"/>
    <n v="3"/>
    <s v="Female"/>
    <n v="71"/>
    <n v="3"/>
    <n v="1"/>
    <s v="Research Scientist"/>
    <n v="3"/>
    <s v="Divorced"/>
    <n v="2083"/>
    <n v="22653"/>
    <n v="1"/>
    <s v="No"/>
    <n v="20"/>
    <n v="4"/>
    <n v="3"/>
    <n v="80"/>
    <n v="1"/>
    <n v="1"/>
    <n v="2"/>
    <n v="3"/>
    <n v="1"/>
    <n v="0"/>
    <n v="0"/>
    <n v="0"/>
    <n v="0"/>
    <n v="1"/>
    <s v="25-34"/>
    <s v="Low"/>
    <s v="0-5 Years"/>
  </r>
  <r>
    <n v="503"/>
    <n v="53"/>
    <x v="1"/>
    <s v="Travel_Rarely"/>
    <n v="238"/>
    <s v="Sales"/>
    <n v="1"/>
    <n v="1"/>
    <s v="Medical"/>
    <n v="682"/>
    <n v="4"/>
    <s v="Female"/>
    <n v="34"/>
    <n v="3"/>
    <n v="2"/>
    <s v="Sales Executive"/>
    <n v="1"/>
    <s v="Single"/>
    <n v="8381"/>
    <n v="7507"/>
    <n v="7"/>
    <s v="No"/>
    <n v="20"/>
    <n v="4"/>
    <n v="4"/>
    <n v="80"/>
    <n v="0"/>
    <n v="18"/>
    <n v="2"/>
    <n v="4"/>
    <n v="14"/>
    <n v="7"/>
    <n v="8"/>
    <n v="10"/>
    <n v="0"/>
    <n v="1"/>
    <s v="45-54"/>
    <s v="Medium"/>
    <s v="11-20 Years"/>
  </r>
  <r>
    <n v="504"/>
    <n v="34"/>
    <x v="1"/>
    <s v="Travel_Rarely"/>
    <n v="1397"/>
    <s v="Research &amp; Development"/>
    <n v="1"/>
    <n v="5"/>
    <s v="Life Sciences"/>
    <n v="683"/>
    <n v="2"/>
    <s v="Male"/>
    <n v="42"/>
    <n v="3"/>
    <n v="1"/>
    <s v="Research Scientist"/>
    <n v="4"/>
    <s v="Married"/>
    <n v="2691"/>
    <n v="7660"/>
    <n v="1"/>
    <s v="No"/>
    <n v="12"/>
    <n v="3"/>
    <n v="4"/>
    <n v="80"/>
    <n v="1"/>
    <n v="10"/>
    <n v="4"/>
    <n v="2"/>
    <n v="10"/>
    <n v="9"/>
    <n v="8"/>
    <n v="8"/>
    <n v="0"/>
    <n v="1"/>
    <s v="25-34"/>
    <s v="Low"/>
    <s v="6-10 Years"/>
  </r>
  <r>
    <n v="505"/>
    <n v="45"/>
    <x v="0"/>
    <s v="Travel_Frequently"/>
    <n v="306"/>
    <s v="Sales"/>
    <n v="26"/>
    <n v="4"/>
    <s v="Life Sciences"/>
    <n v="684"/>
    <n v="1"/>
    <s v="Female"/>
    <n v="100"/>
    <n v="3"/>
    <n v="2"/>
    <s v="Sales Executive"/>
    <n v="1"/>
    <s v="Married"/>
    <n v="4286"/>
    <n v="5630"/>
    <n v="2"/>
    <s v="No"/>
    <n v="14"/>
    <n v="3"/>
    <n v="4"/>
    <n v="80"/>
    <n v="2"/>
    <n v="5"/>
    <n v="4"/>
    <n v="3"/>
    <n v="1"/>
    <n v="1"/>
    <n v="0"/>
    <n v="0"/>
    <n v="1"/>
    <n v="0"/>
    <s v="45-54"/>
    <s v="Low"/>
    <s v="0-5 Years"/>
  </r>
  <r>
    <n v="506"/>
    <n v="26"/>
    <x v="1"/>
    <s v="Travel_Rarely"/>
    <n v="991"/>
    <s v="Research &amp; Development"/>
    <n v="6"/>
    <n v="3"/>
    <s v="Life Sciences"/>
    <n v="686"/>
    <n v="3"/>
    <s v="Female"/>
    <n v="71"/>
    <n v="3"/>
    <n v="1"/>
    <s v="Laboratory Technician"/>
    <n v="4"/>
    <s v="Married"/>
    <n v="2659"/>
    <n v="17759"/>
    <n v="1"/>
    <s v="Yes"/>
    <n v="13"/>
    <n v="3"/>
    <n v="3"/>
    <n v="80"/>
    <n v="1"/>
    <n v="3"/>
    <n v="2"/>
    <n v="3"/>
    <n v="3"/>
    <n v="2"/>
    <n v="0"/>
    <n v="2"/>
    <n v="0"/>
    <n v="1"/>
    <s v="25-34"/>
    <s v="Low"/>
    <s v="0-5 Years"/>
  </r>
  <r>
    <n v="507"/>
    <n v="37"/>
    <x v="1"/>
    <s v="Travel_Rarely"/>
    <n v="482"/>
    <s v="Research &amp; Development"/>
    <n v="3"/>
    <n v="3"/>
    <s v="Other"/>
    <n v="689"/>
    <n v="3"/>
    <s v="Male"/>
    <n v="36"/>
    <n v="3"/>
    <n v="3"/>
    <s v="Manufacturing Director"/>
    <n v="3"/>
    <s v="Married"/>
    <n v="9434"/>
    <n v="9606"/>
    <n v="1"/>
    <s v="No"/>
    <n v="15"/>
    <n v="3"/>
    <n v="3"/>
    <n v="80"/>
    <n v="1"/>
    <n v="10"/>
    <n v="2"/>
    <n v="3"/>
    <n v="10"/>
    <n v="7"/>
    <n v="7"/>
    <n v="8"/>
    <n v="0"/>
    <n v="1"/>
    <s v="35-44"/>
    <s v="Medium"/>
    <s v="6-10 Years"/>
  </r>
  <r>
    <n v="508"/>
    <n v="29"/>
    <x v="1"/>
    <s v="Travel_Rarely"/>
    <n v="1176"/>
    <s v="Sales"/>
    <n v="3"/>
    <n v="2"/>
    <s v="Medical"/>
    <n v="690"/>
    <n v="2"/>
    <s v="Female"/>
    <n v="62"/>
    <n v="3"/>
    <n v="2"/>
    <s v="Sales Executive"/>
    <n v="3"/>
    <s v="Married"/>
    <n v="5561"/>
    <n v="3487"/>
    <n v="1"/>
    <s v="No"/>
    <n v="14"/>
    <n v="3"/>
    <n v="1"/>
    <n v="80"/>
    <n v="1"/>
    <n v="6"/>
    <n v="5"/>
    <n v="2"/>
    <n v="6"/>
    <n v="0"/>
    <n v="1"/>
    <n v="2"/>
    <n v="0"/>
    <n v="1"/>
    <s v="25-34"/>
    <s v="Medium"/>
    <s v="6-10 Years"/>
  </r>
  <r>
    <n v="509"/>
    <n v="35"/>
    <x v="1"/>
    <s v="Travel_Rarely"/>
    <n v="1017"/>
    <s v="Research &amp; Development"/>
    <n v="6"/>
    <n v="4"/>
    <s v="Life Sciences"/>
    <n v="691"/>
    <n v="2"/>
    <s v="Male"/>
    <n v="82"/>
    <n v="1"/>
    <n v="2"/>
    <s v="Research Scientist"/>
    <n v="4"/>
    <s v="Single"/>
    <n v="6646"/>
    <n v="19368"/>
    <n v="1"/>
    <s v="No"/>
    <n v="13"/>
    <n v="3"/>
    <n v="2"/>
    <n v="80"/>
    <n v="0"/>
    <n v="17"/>
    <n v="3"/>
    <n v="3"/>
    <n v="17"/>
    <n v="11"/>
    <n v="11"/>
    <n v="8"/>
    <n v="0"/>
    <n v="1"/>
    <s v="35-44"/>
    <s v="Medium"/>
    <s v="11-20 Years"/>
  </r>
  <r>
    <n v="510"/>
    <n v="33"/>
    <x v="1"/>
    <s v="Travel_Frequently"/>
    <n v="1296"/>
    <s v="Research &amp; Development"/>
    <n v="6"/>
    <n v="3"/>
    <s v="Life Sciences"/>
    <n v="692"/>
    <n v="3"/>
    <s v="Male"/>
    <n v="30"/>
    <n v="3"/>
    <n v="2"/>
    <s v="Healthcare Representative"/>
    <n v="4"/>
    <s v="Divorced"/>
    <n v="7725"/>
    <n v="5335"/>
    <n v="3"/>
    <s v="No"/>
    <n v="23"/>
    <n v="4"/>
    <n v="3"/>
    <n v="80"/>
    <n v="1"/>
    <n v="15"/>
    <n v="2"/>
    <n v="1"/>
    <n v="13"/>
    <n v="11"/>
    <n v="4"/>
    <n v="7"/>
    <n v="0"/>
    <n v="1"/>
    <s v="25-34"/>
    <s v="Medium"/>
    <s v="11-20 Years"/>
  </r>
  <r>
    <n v="511"/>
    <n v="54"/>
    <x v="1"/>
    <s v="Travel_Rarely"/>
    <n v="397"/>
    <s v="Human Resources"/>
    <n v="19"/>
    <n v="4"/>
    <s v="Medical"/>
    <n v="698"/>
    <n v="3"/>
    <s v="Male"/>
    <n v="88"/>
    <n v="3"/>
    <n v="3"/>
    <s v="Human Resources"/>
    <n v="2"/>
    <s v="Married"/>
    <n v="10725"/>
    <n v="6729"/>
    <n v="2"/>
    <s v="No"/>
    <n v="15"/>
    <n v="3"/>
    <n v="3"/>
    <n v="80"/>
    <n v="1"/>
    <n v="16"/>
    <n v="1"/>
    <n v="4"/>
    <n v="9"/>
    <n v="7"/>
    <n v="7"/>
    <n v="1"/>
    <n v="0"/>
    <n v="1"/>
    <s v="45-54"/>
    <s v="Upper Medium"/>
    <s v="6-10 Years"/>
  </r>
  <r>
    <n v="512"/>
    <n v="36"/>
    <x v="1"/>
    <s v="Travel_Rarely"/>
    <n v="913"/>
    <s v="Research &amp; Development"/>
    <n v="9"/>
    <n v="2"/>
    <s v="Medical"/>
    <n v="699"/>
    <n v="2"/>
    <s v="Male"/>
    <n v="48"/>
    <n v="2"/>
    <n v="2"/>
    <s v="Manufacturing Director"/>
    <n v="2"/>
    <s v="Divorced"/>
    <n v="8847"/>
    <n v="13934"/>
    <n v="2"/>
    <s v="Yes"/>
    <n v="11"/>
    <n v="3"/>
    <n v="3"/>
    <n v="80"/>
    <n v="1"/>
    <n v="13"/>
    <n v="2"/>
    <n v="3"/>
    <n v="3"/>
    <n v="2"/>
    <n v="0"/>
    <n v="2"/>
    <n v="0"/>
    <n v="1"/>
    <s v="35-44"/>
    <s v="Medium"/>
    <s v="0-5 Years"/>
  </r>
  <r>
    <n v="513"/>
    <n v="27"/>
    <x v="1"/>
    <s v="Travel_Rarely"/>
    <n v="1115"/>
    <s v="Research &amp; Development"/>
    <n v="3"/>
    <n v="4"/>
    <s v="Medical"/>
    <n v="700"/>
    <n v="1"/>
    <s v="Male"/>
    <n v="54"/>
    <n v="2"/>
    <n v="1"/>
    <s v="Research Scientist"/>
    <n v="4"/>
    <s v="Single"/>
    <n v="2045"/>
    <n v="15174"/>
    <n v="0"/>
    <s v="No"/>
    <n v="13"/>
    <n v="3"/>
    <n v="4"/>
    <n v="80"/>
    <n v="0"/>
    <n v="5"/>
    <n v="0"/>
    <n v="3"/>
    <n v="4"/>
    <n v="2"/>
    <n v="1"/>
    <n v="1"/>
    <n v="0"/>
    <n v="1"/>
    <s v="25-34"/>
    <s v="Low"/>
    <s v="0-5 Years"/>
  </r>
  <r>
    <n v="514"/>
    <n v="20"/>
    <x v="0"/>
    <s v="Travel_Rarely"/>
    <n v="1362"/>
    <s v="Research &amp; Development"/>
    <n v="10"/>
    <n v="1"/>
    <s v="Medical"/>
    <n v="701"/>
    <n v="4"/>
    <s v="Male"/>
    <n v="32"/>
    <n v="3"/>
    <n v="1"/>
    <s v="Research Scientist"/>
    <n v="3"/>
    <s v="Single"/>
    <n v="1009"/>
    <n v="26999"/>
    <n v="1"/>
    <s v="Yes"/>
    <n v="11"/>
    <n v="3"/>
    <n v="4"/>
    <n v="80"/>
    <n v="0"/>
    <n v="1"/>
    <n v="5"/>
    <n v="3"/>
    <n v="1"/>
    <n v="0"/>
    <n v="1"/>
    <n v="1"/>
    <n v="1"/>
    <n v="0"/>
    <s v="Under 25"/>
    <s v="Low"/>
    <s v="0-5 Years"/>
  </r>
  <r>
    <n v="515"/>
    <n v="33"/>
    <x v="0"/>
    <s v="Travel_Frequently"/>
    <n v="1076"/>
    <s v="Research &amp; Development"/>
    <n v="3"/>
    <n v="3"/>
    <s v="Life Sciences"/>
    <n v="702"/>
    <n v="1"/>
    <s v="Male"/>
    <n v="70"/>
    <n v="3"/>
    <n v="1"/>
    <s v="Research Scientist"/>
    <n v="1"/>
    <s v="Single"/>
    <n v="3348"/>
    <n v="3164"/>
    <n v="1"/>
    <s v="Yes"/>
    <n v="11"/>
    <n v="3"/>
    <n v="1"/>
    <n v="80"/>
    <n v="0"/>
    <n v="10"/>
    <n v="3"/>
    <n v="3"/>
    <n v="10"/>
    <n v="8"/>
    <n v="9"/>
    <n v="7"/>
    <n v="1"/>
    <n v="0"/>
    <s v="25-34"/>
    <s v="Low"/>
    <s v="6-10 Years"/>
  </r>
  <r>
    <n v="516"/>
    <n v="35"/>
    <x v="1"/>
    <s v="Non-Travel"/>
    <n v="727"/>
    <s v="Research &amp; Development"/>
    <n v="3"/>
    <n v="3"/>
    <s v="Life Sciences"/>
    <n v="704"/>
    <n v="3"/>
    <s v="Male"/>
    <n v="41"/>
    <n v="2"/>
    <n v="1"/>
    <s v="Laboratory Technician"/>
    <n v="3"/>
    <s v="Married"/>
    <n v="1281"/>
    <n v="16900"/>
    <n v="1"/>
    <s v="No"/>
    <n v="18"/>
    <n v="3"/>
    <n v="3"/>
    <n v="80"/>
    <n v="2"/>
    <n v="1"/>
    <n v="3"/>
    <n v="3"/>
    <n v="1"/>
    <n v="0"/>
    <n v="0"/>
    <n v="0"/>
    <n v="0"/>
    <n v="1"/>
    <s v="35-44"/>
    <s v="Low"/>
    <s v="0-5 Years"/>
  </r>
  <r>
    <n v="517"/>
    <n v="23"/>
    <x v="1"/>
    <s v="Travel_Rarely"/>
    <n v="885"/>
    <s v="Research &amp; Development"/>
    <n v="4"/>
    <n v="3"/>
    <s v="Medical"/>
    <n v="705"/>
    <n v="1"/>
    <s v="Male"/>
    <n v="58"/>
    <n v="4"/>
    <n v="1"/>
    <s v="Research Scientist"/>
    <n v="1"/>
    <s v="Married"/>
    <n v="2819"/>
    <n v="8544"/>
    <n v="2"/>
    <s v="No"/>
    <n v="16"/>
    <n v="3"/>
    <n v="1"/>
    <n v="80"/>
    <n v="1"/>
    <n v="5"/>
    <n v="3"/>
    <n v="4"/>
    <n v="3"/>
    <n v="2"/>
    <n v="0"/>
    <n v="2"/>
    <n v="0"/>
    <n v="1"/>
    <s v="Under 25"/>
    <s v="Low"/>
    <s v="0-5 Years"/>
  </r>
  <r>
    <n v="518"/>
    <n v="25"/>
    <x v="1"/>
    <s v="Travel_Rarely"/>
    <n v="810"/>
    <s v="Sales"/>
    <n v="8"/>
    <n v="3"/>
    <s v="Life Sciences"/>
    <n v="707"/>
    <n v="4"/>
    <s v="Male"/>
    <n v="57"/>
    <n v="4"/>
    <n v="2"/>
    <s v="Sales Executive"/>
    <n v="2"/>
    <s v="Married"/>
    <n v="4851"/>
    <n v="15678"/>
    <n v="0"/>
    <s v="No"/>
    <n v="22"/>
    <n v="4"/>
    <n v="3"/>
    <n v="80"/>
    <n v="1"/>
    <n v="4"/>
    <n v="4"/>
    <n v="3"/>
    <n v="3"/>
    <n v="2"/>
    <n v="1"/>
    <n v="2"/>
    <n v="0"/>
    <n v="1"/>
    <s v="25-34"/>
    <s v="Low"/>
    <s v="0-5 Years"/>
  </r>
  <r>
    <n v="519"/>
    <n v="38"/>
    <x v="1"/>
    <s v="Travel_Rarely"/>
    <n v="243"/>
    <s v="Sales"/>
    <n v="7"/>
    <n v="4"/>
    <s v="Marketing"/>
    <n v="709"/>
    <n v="4"/>
    <s v="Female"/>
    <n v="46"/>
    <n v="2"/>
    <n v="2"/>
    <s v="Sales Executive"/>
    <n v="4"/>
    <s v="Single"/>
    <n v="4028"/>
    <n v="7791"/>
    <n v="0"/>
    <s v="No"/>
    <n v="20"/>
    <n v="4"/>
    <n v="1"/>
    <n v="80"/>
    <n v="0"/>
    <n v="8"/>
    <n v="2"/>
    <n v="3"/>
    <n v="7"/>
    <n v="7"/>
    <n v="0"/>
    <n v="5"/>
    <n v="0"/>
    <n v="1"/>
    <s v="35-44"/>
    <s v="Low"/>
    <s v="6-10 Years"/>
  </r>
  <r>
    <n v="520"/>
    <n v="29"/>
    <x v="1"/>
    <s v="Travel_Frequently"/>
    <n v="806"/>
    <s v="Research &amp; Development"/>
    <n v="1"/>
    <n v="4"/>
    <s v="Life Sciences"/>
    <n v="710"/>
    <n v="2"/>
    <s v="Male"/>
    <n v="76"/>
    <n v="1"/>
    <n v="1"/>
    <s v="Research Scientist"/>
    <n v="4"/>
    <s v="Divorced"/>
    <n v="2720"/>
    <n v="18959"/>
    <n v="1"/>
    <s v="No"/>
    <n v="18"/>
    <n v="3"/>
    <n v="4"/>
    <n v="80"/>
    <n v="1"/>
    <n v="10"/>
    <n v="5"/>
    <n v="3"/>
    <n v="10"/>
    <n v="7"/>
    <n v="2"/>
    <n v="8"/>
    <n v="0"/>
    <n v="1"/>
    <s v="25-34"/>
    <s v="Low"/>
    <s v="6-10 Years"/>
  </r>
  <r>
    <n v="521"/>
    <n v="48"/>
    <x v="1"/>
    <s v="Travel_Rarely"/>
    <n v="817"/>
    <s v="Sales"/>
    <n v="2"/>
    <n v="1"/>
    <s v="Marketing"/>
    <n v="712"/>
    <n v="2"/>
    <s v="Male"/>
    <n v="56"/>
    <n v="4"/>
    <n v="2"/>
    <s v="Sales Executive"/>
    <n v="2"/>
    <s v="Married"/>
    <n v="8120"/>
    <n v="18597"/>
    <n v="3"/>
    <s v="No"/>
    <n v="12"/>
    <n v="3"/>
    <n v="4"/>
    <n v="80"/>
    <n v="0"/>
    <n v="12"/>
    <n v="3"/>
    <n v="3"/>
    <n v="2"/>
    <n v="2"/>
    <n v="2"/>
    <n v="2"/>
    <n v="0"/>
    <n v="1"/>
    <s v="45-54"/>
    <s v="Medium"/>
    <s v="0-5 Years"/>
  </r>
  <r>
    <n v="522"/>
    <n v="27"/>
    <x v="1"/>
    <s v="Travel_Frequently"/>
    <n v="1410"/>
    <s v="Sales"/>
    <n v="3"/>
    <n v="1"/>
    <s v="Medical"/>
    <n v="714"/>
    <n v="4"/>
    <s v="Female"/>
    <n v="71"/>
    <n v="4"/>
    <n v="2"/>
    <s v="Sales Executive"/>
    <n v="4"/>
    <s v="Divorced"/>
    <n v="4647"/>
    <n v="16673"/>
    <n v="1"/>
    <s v="Yes"/>
    <n v="20"/>
    <n v="4"/>
    <n v="2"/>
    <n v="80"/>
    <n v="2"/>
    <n v="6"/>
    <n v="3"/>
    <n v="3"/>
    <n v="6"/>
    <n v="5"/>
    <n v="0"/>
    <n v="4"/>
    <n v="0"/>
    <n v="1"/>
    <s v="25-34"/>
    <s v="Low"/>
    <s v="6-10 Years"/>
  </r>
  <r>
    <n v="523"/>
    <n v="37"/>
    <x v="1"/>
    <s v="Travel_Rarely"/>
    <n v="1225"/>
    <s v="Research &amp; Development"/>
    <n v="10"/>
    <n v="2"/>
    <s v="Life Sciences"/>
    <n v="715"/>
    <n v="4"/>
    <s v="Male"/>
    <n v="80"/>
    <n v="4"/>
    <n v="1"/>
    <s v="Research Scientist"/>
    <n v="4"/>
    <s v="Single"/>
    <n v="4680"/>
    <n v="15232"/>
    <n v="3"/>
    <s v="No"/>
    <n v="17"/>
    <n v="3"/>
    <n v="1"/>
    <n v="80"/>
    <n v="0"/>
    <n v="4"/>
    <n v="2"/>
    <n v="3"/>
    <n v="1"/>
    <n v="0"/>
    <n v="0"/>
    <n v="0"/>
    <n v="0"/>
    <n v="1"/>
    <s v="35-44"/>
    <s v="Low"/>
    <s v="0-5 Years"/>
  </r>
  <r>
    <n v="524"/>
    <n v="50"/>
    <x v="1"/>
    <s v="Travel_Rarely"/>
    <n v="1207"/>
    <s v="Research &amp; Development"/>
    <n v="28"/>
    <n v="1"/>
    <s v="Medical"/>
    <n v="716"/>
    <n v="4"/>
    <s v="Male"/>
    <n v="74"/>
    <n v="4"/>
    <n v="1"/>
    <s v="Laboratory Technician"/>
    <n v="3"/>
    <s v="Married"/>
    <n v="3221"/>
    <n v="3297"/>
    <n v="1"/>
    <s v="Yes"/>
    <n v="11"/>
    <n v="3"/>
    <n v="3"/>
    <n v="80"/>
    <n v="3"/>
    <n v="20"/>
    <n v="3"/>
    <n v="3"/>
    <n v="20"/>
    <n v="8"/>
    <n v="3"/>
    <n v="8"/>
    <n v="0"/>
    <n v="1"/>
    <s v="45-54"/>
    <s v="Low"/>
    <s v="11-20 Years"/>
  </r>
  <r>
    <n v="525"/>
    <n v="34"/>
    <x v="1"/>
    <s v="Travel_Rarely"/>
    <n v="1442"/>
    <s v="Research &amp; Development"/>
    <n v="9"/>
    <n v="3"/>
    <s v="Medical"/>
    <n v="717"/>
    <n v="4"/>
    <s v="Female"/>
    <n v="46"/>
    <n v="2"/>
    <n v="3"/>
    <s v="Healthcare Representative"/>
    <n v="2"/>
    <s v="Single"/>
    <n v="8621"/>
    <n v="17654"/>
    <n v="1"/>
    <s v="No"/>
    <n v="14"/>
    <n v="3"/>
    <n v="2"/>
    <n v="80"/>
    <n v="0"/>
    <n v="9"/>
    <n v="3"/>
    <n v="4"/>
    <n v="8"/>
    <n v="7"/>
    <n v="7"/>
    <n v="7"/>
    <n v="0"/>
    <n v="1"/>
    <s v="25-34"/>
    <s v="Medium"/>
    <s v="6-10 Years"/>
  </r>
  <r>
    <n v="526"/>
    <n v="24"/>
    <x v="0"/>
    <s v="Travel_Rarely"/>
    <n v="693"/>
    <s v="Sales"/>
    <n v="3"/>
    <n v="2"/>
    <s v="Life Sciences"/>
    <n v="720"/>
    <n v="1"/>
    <s v="Female"/>
    <n v="65"/>
    <n v="3"/>
    <n v="2"/>
    <s v="Sales Executive"/>
    <n v="3"/>
    <s v="Single"/>
    <n v="4577"/>
    <n v="24785"/>
    <n v="9"/>
    <s v="No"/>
    <n v="14"/>
    <n v="3"/>
    <n v="1"/>
    <n v="80"/>
    <n v="0"/>
    <n v="4"/>
    <n v="3"/>
    <n v="3"/>
    <n v="2"/>
    <n v="2"/>
    <n v="2"/>
    <n v="0"/>
    <n v="1"/>
    <n v="0"/>
    <s v="Under 25"/>
    <s v="Low"/>
    <s v="0-5 Years"/>
  </r>
  <r>
    <n v="527"/>
    <n v="39"/>
    <x v="1"/>
    <s v="Travel_Rarely"/>
    <n v="408"/>
    <s v="Research &amp; Development"/>
    <n v="2"/>
    <n v="4"/>
    <s v="Technical Degree"/>
    <n v="721"/>
    <n v="4"/>
    <s v="Female"/>
    <n v="80"/>
    <n v="2"/>
    <n v="2"/>
    <s v="Healthcare Representative"/>
    <n v="3"/>
    <s v="Single"/>
    <n v="4553"/>
    <n v="20978"/>
    <n v="1"/>
    <s v="No"/>
    <n v="11"/>
    <n v="3"/>
    <n v="1"/>
    <n v="80"/>
    <n v="0"/>
    <n v="20"/>
    <n v="4"/>
    <n v="3"/>
    <n v="20"/>
    <n v="7"/>
    <n v="11"/>
    <n v="10"/>
    <n v="0"/>
    <n v="1"/>
    <s v="35-44"/>
    <s v="Low"/>
    <s v="11-20 Years"/>
  </r>
  <r>
    <n v="528"/>
    <n v="32"/>
    <x v="1"/>
    <s v="Travel_Rarely"/>
    <n v="929"/>
    <s v="Sales"/>
    <n v="10"/>
    <n v="3"/>
    <s v="Marketing"/>
    <n v="722"/>
    <n v="4"/>
    <s v="Male"/>
    <n v="55"/>
    <n v="3"/>
    <n v="2"/>
    <s v="Sales Executive"/>
    <n v="4"/>
    <s v="Single"/>
    <n v="5396"/>
    <n v="21703"/>
    <n v="1"/>
    <s v="No"/>
    <n v="12"/>
    <n v="3"/>
    <n v="4"/>
    <n v="80"/>
    <n v="0"/>
    <n v="10"/>
    <n v="2"/>
    <n v="2"/>
    <n v="10"/>
    <n v="7"/>
    <n v="0"/>
    <n v="8"/>
    <n v="0"/>
    <n v="1"/>
    <s v="25-34"/>
    <s v="Medium"/>
    <s v="6-10 Years"/>
  </r>
  <r>
    <n v="529"/>
    <n v="50"/>
    <x v="0"/>
    <s v="Travel_Frequently"/>
    <n v="562"/>
    <s v="Sales"/>
    <n v="8"/>
    <n v="2"/>
    <s v="Technical Degree"/>
    <n v="723"/>
    <n v="2"/>
    <s v="Male"/>
    <n v="50"/>
    <n v="3"/>
    <n v="2"/>
    <s v="Sales Executive"/>
    <n v="3"/>
    <s v="Married"/>
    <n v="6796"/>
    <n v="23452"/>
    <n v="3"/>
    <s v="Yes"/>
    <n v="14"/>
    <n v="3"/>
    <n v="1"/>
    <n v="80"/>
    <n v="1"/>
    <n v="18"/>
    <n v="4"/>
    <n v="3"/>
    <n v="4"/>
    <n v="3"/>
    <n v="1"/>
    <n v="3"/>
    <n v="1"/>
    <n v="0"/>
    <s v="45-54"/>
    <s v="Medium"/>
    <s v="0-5 Years"/>
  </r>
  <r>
    <n v="530"/>
    <n v="38"/>
    <x v="1"/>
    <s v="Travel_Rarely"/>
    <n v="827"/>
    <s v="Research &amp; Development"/>
    <n v="1"/>
    <n v="4"/>
    <s v="Life Sciences"/>
    <n v="724"/>
    <n v="2"/>
    <s v="Female"/>
    <n v="33"/>
    <n v="4"/>
    <n v="2"/>
    <s v="Healthcare Representative"/>
    <n v="4"/>
    <s v="Single"/>
    <n v="7625"/>
    <n v="19383"/>
    <n v="0"/>
    <s v="No"/>
    <n v="13"/>
    <n v="3"/>
    <n v="3"/>
    <n v="80"/>
    <n v="0"/>
    <n v="10"/>
    <n v="4"/>
    <n v="2"/>
    <n v="9"/>
    <n v="7"/>
    <n v="1"/>
    <n v="8"/>
    <n v="0"/>
    <n v="1"/>
    <s v="35-44"/>
    <s v="Medium"/>
    <s v="6-10 Years"/>
  </r>
  <r>
    <n v="531"/>
    <n v="27"/>
    <x v="1"/>
    <s v="Travel_Rarely"/>
    <n v="608"/>
    <s v="Research &amp; Development"/>
    <n v="1"/>
    <n v="2"/>
    <s v="Life Sciences"/>
    <n v="725"/>
    <n v="3"/>
    <s v="Female"/>
    <n v="68"/>
    <n v="3"/>
    <n v="3"/>
    <s v="Manufacturing Director"/>
    <n v="1"/>
    <s v="Married"/>
    <n v="7412"/>
    <n v="6009"/>
    <n v="1"/>
    <s v="No"/>
    <n v="11"/>
    <n v="3"/>
    <n v="4"/>
    <n v="80"/>
    <n v="0"/>
    <n v="9"/>
    <n v="3"/>
    <n v="3"/>
    <n v="9"/>
    <n v="7"/>
    <n v="0"/>
    <n v="7"/>
    <n v="0"/>
    <n v="1"/>
    <s v="25-34"/>
    <s v="Medium"/>
    <s v="6-10 Years"/>
  </r>
  <r>
    <n v="532"/>
    <n v="32"/>
    <x v="1"/>
    <s v="Travel_Rarely"/>
    <n v="1018"/>
    <s v="Research &amp; Development"/>
    <n v="3"/>
    <n v="2"/>
    <s v="Life Sciences"/>
    <n v="727"/>
    <n v="3"/>
    <s v="Female"/>
    <n v="39"/>
    <n v="3"/>
    <n v="3"/>
    <s v="Research Director"/>
    <n v="4"/>
    <s v="Single"/>
    <n v="11159"/>
    <n v="19373"/>
    <n v="3"/>
    <s v="No"/>
    <n v="15"/>
    <n v="3"/>
    <n v="4"/>
    <n v="80"/>
    <n v="0"/>
    <n v="10"/>
    <n v="6"/>
    <n v="3"/>
    <n v="7"/>
    <n v="7"/>
    <n v="7"/>
    <n v="7"/>
    <n v="0"/>
    <n v="1"/>
    <s v="25-34"/>
    <s v="Upper Medium"/>
    <s v="6-10 Years"/>
  </r>
  <r>
    <n v="533"/>
    <n v="47"/>
    <x v="1"/>
    <s v="Travel_Rarely"/>
    <n v="703"/>
    <s v="Sales"/>
    <n v="14"/>
    <n v="4"/>
    <s v="Marketing"/>
    <n v="728"/>
    <n v="4"/>
    <s v="Male"/>
    <n v="42"/>
    <n v="3"/>
    <n v="2"/>
    <s v="Sales Executive"/>
    <n v="1"/>
    <s v="Single"/>
    <n v="4960"/>
    <n v="11825"/>
    <n v="2"/>
    <s v="No"/>
    <n v="12"/>
    <n v="3"/>
    <n v="4"/>
    <n v="80"/>
    <n v="0"/>
    <n v="20"/>
    <n v="2"/>
    <n v="3"/>
    <n v="7"/>
    <n v="7"/>
    <n v="1"/>
    <n v="7"/>
    <n v="0"/>
    <n v="1"/>
    <s v="45-54"/>
    <s v="Low"/>
    <s v="6-10 Years"/>
  </r>
  <r>
    <n v="534"/>
    <n v="40"/>
    <x v="1"/>
    <s v="Travel_Frequently"/>
    <n v="580"/>
    <s v="Sales"/>
    <n v="5"/>
    <n v="4"/>
    <s v="Life Sciences"/>
    <n v="729"/>
    <n v="4"/>
    <s v="Male"/>
    <n v="48"/>
    <n v="2"/>
    <n v="3"/>
    <s v="Sales Executive"/>
    <n v="1"/>
    <s v="Married"/>
    <n v="10475"/>
    <n v="23772"/>
    <n v="5"/>
    <s v="Yes"/>
    <n v="21"/>
    <n v="4"/>
    <n v="3"/>
    <n v="80"/>
    <n v="1"/>
    <n v="20"/>
    <n v="2"/>
    <n v="3"/>
    <n v="18"/>
    <n v="13"/>
    <n v="1"/>
    <n v="12"/>
    <n v="0"/>
    <n v="1"/>
    <s v="35-44"/>
    <s v="Upper Medium"/>
    <s v="11-20 Years"/>
  </r>
  <r>
    <n v="535"/>
    <n v="53"/>
    <x v="1"/>
    <s v="Travel_Rarely"/>
    <n v="970"/>
    <s v="Research &amp; Development"/>
    <n v="7"/>
    <n v="3"/>
    <s v="Life Sciences"/>
    <n v="730"/>
    <n v="3"/>
    <s v="Male"/>
    <n v="59"/>
    <n v="4"/>
    <n v="4"/>
    <s v="Research Director"/>
    <n v="3"/>
    <s v="Married"/>
    <n v="14814"/>
    <n v="13514"/>
    <n v="3"/>
    <s v="No"/>
    <n v="19"/>
    <n v="3"/>
    <n v="3"/>
    <n v="80"/>
    <n v="0"/>
    <n v="32"/>
    <n v="3"/>
    <n v="3"/>
    <n v="5"/>
    <n v="1"/>
    <n v="1"/>
    <n v="3"/>
    <n v="0"/>
    <n v="1"/>
    <s v="45-54"/>
    <s v="Upper Medium"/>
    <s v="0-5 Years"/>
  </r>
  <r>
    <n v="536"/>
    <n v="41"/>
    <x v="1"/>
    <s v="Travel_Rarely"/>
    <n v="427"/>
    <s v="Human Resources"/>
    <n v="10"/>
    <n v="4"/>
    <s v="Human Resources"/>
    <n v="731"/>
    <n v="2"/>
    <s v="Male"/>
    <n v="73"/>
    <n v="2"/>
    <n v="5"/>
    <s v="Manager"/>
    <n v="4"/>
    <s v="Divorced"/>
    <n v="19141"/>
    <n v="8861"/>
    <n v="3"/>
    <s v="No"/>
    <n v="15"/>
    <n v="3"/>
    <n v="2"/>
    <n v="80"/>
    <n v="3"/>
    <n v="23"/>
    <n v="2"/>
    <n v="2"/>
    <n v="21"/>
    <n v="6"/>
    <n v="12"/>
    <n v="6"/>
    <n v="0"/>
    <n v="1"/>
    <s v="35-44"/>
    <s v="High"/>
    <s v="21+ Years"/>
  </r>
  <r>
    <n v="537"/>
    <n v="60"/>
    <x v="1"/>
    <s v="Travel_Rarely"/>
    <n v="1179"/>
    <s v="Sales"/>
    <n v="16"/>
    <n v="4"/>
    <s v="Marketing"/>
    <n v="732"/>
    <n v="1"/>
    <s v="Male"/>
    <n v="84"/>
    <n v="3"/>
    <n v="2"/>
    <s v="Sales Executive"/>
    <n v="1"/>
    <s v="Single"/>
    <n v="5405"/>
    <n v="11924"/>
    <n v="8"/>
    <s v="No"/>
    <n v="14"/>
    <n v="3"/>
    <n v="4"/>
    <n v="80"/>
    <n v="0"/>
    <n v="10"/>
    <n v="1"/>
    <n v="3"/>
    <n v="2"/>
    <n v="2"/>
    <n v="2"/>
    <n v="2"/>
    <n v="0"/>
    <n v="1"/>
    <s v="55+"/>
    <s v="Medium"/>
    <s v="0-5 Years"/>
  </r>
  <r>
    <n v="538"/>
    <n v="27"/>
    <x v="1"/>
    <s v="Travel_Frequently"/>
    <n v="294"/>
    <s v="Research &amp; Development"/>
    <n v="10"/>
    <n v="2"/>
    <s v="Life Sciences"/>
    <n v="733"/>
    <n v="4"/>
    <s v="Male"/>
    <n v="32"/>
    <n v="3"/>
    <n v="3"/>
    <s v="Manufacturing Director"/>
    <n v="1"/>
    <s v="Divorced"/>
    <n v="8793"/>
    <n v="4809"/>
    <n v="1"/>
    <s v="No"/>
    <n v="21"/>
    <n v="4"/>
    <n v="3"/>
    <n v="80"/>
    <n v="2"/>
    <n v="9"/>
    <n v="4"/>
    <n v="2"/>
    <n v="9"/>
    <n v="7"/>
    <n v="1"/>
    <n v="7"/>
    <n v="0"/>
    <n v="1"/>
    <s v="25-34"/>
    <s v="Medium"/>
    <s v="6-10 Years"/>
  </r>
  <r>
    <n v="539"/>
    <n v="41"/>
    <x v="1"/>
    <s v="Travel_Rarely"/>
    <n v="314"/>
    <s v="Human Resources"/>
    <n v="1"/>
    <n v="3"/>
    <s v="Human Resources"/>
    <n v="734"/>
    <n v="4"/>
    <s v="Male"/>
    <n v="59"/>
    <n v="2"/>
    <n v="5"/>
    <s v="Manager"/>
    <n v="3"/>
    <s v="Married"/>
    <n v="19189"/>
    <n v="19562"/>
    <n v="1"/>
    <s v="No"/>
    <n v="12"/>
    <n v="3"/>
    <n v="2"/>
    <n v="80"/>
    <n v="1"/>
    <n v="22"/>
    <n v="3"/>
    <n v="3"/>
    <n v="22"/>
    <n v="7"/>
    <n v="2"/>
    <n v="10"/>
    <n v="0"/>
    <n v="1"/>
    <s v="35-44"/>
    <s v="High"/>
    <s v="21+ Years"/>
  </r>
  <r>
    <n v="540"/>
    <n v="50"/>
    <x v="1"/>
    <s v="Travel_Rarely"/>
    <n v="316"/>
    <s v="Sales"/>
    <n v="8"/>
    <n v="4"/>
    <s v="Marketing"/>
    <n v="738"/>
    <n v="4"/>
    <s v="Male"/>
    <n v="54"/>
    <n v="3"/>
    <n v="1"/>
    <s v="Sales Representative"/>
    <n v="2"/>
    <s v="Married"/>
    <n v="3875"/>
    <n v="9983"/>
    <n v="7"/>
    <s v="No"/>
    <n v="15"/>
    <n v="3"/>
    <n v="4"/>
    <n v="80"/>
    <n v="1"/>
    <n v="4"/>
    <n v="2"/>
    <n v="3"/>
    <n v="2"/>
    <n v="2"/>
    <n v="2"/>
    <n v="2"/>
    <n v="0"/>
    <n v="1"/>
    <s v="45-54"/>
    <s v="Low"/>
    <s v="0-5 Years"/>
  </r>
  <r>
    <n v="541"/>
    <n v="28"/>
    <x v="0"/>
    <s v="Travel_Rarely"/>
    <n v="654"/>
    <s v="Research &amp; Development"/>
    <n v="1"/>
    <n v="2"/>
    <s v="Life Sciences"/>
    <n v="741"/>
    <n v="1"/>
    <s v="Female"/>
    <n v="67"/>
    <n v="1"/>
    <n v="1"/>
    <s v="Research Scientist"/>
    <n v="2"/>
    <s v="Single"/>
    <n v="2216"/>
    <n v="3872"/>
    <n v="7"/>
    <s v="Yes"/>
    <n v="13"/>
    <n v="3"/>
    <n v="4"/>
    <n v="80"/>
    <n v="0"/>
    <n v="10"/>
    <n v="4"/>
    <n v="3"/>
    <n v="7"/>
    <n v="7"/>
    <n v="3"/>
    <n v="7"/>
    <n v="1"/>
    <n v="0"/>
    <s v="25-34"/>
    <s v="Low"/>
    <s v="6-10 Years"/>
  </r>
  <r>
    <n v="542"/>
    <n v="36"/>
    <x v="1"/>
    <s v="Non-Travel"/>
    <n v="427"/>
    <s v="Research &amp; Development"/>
    <n v="8"/>
    <n v="3"/>
    <s v="Life Sciences"/>
    <n v="742"/>
    <n v="1"/>
    <s v="Female"/>
    <n v="63"/>
    <n v="4"/>
    <n v="3"/>
    <s v="Research Director"/>
    <n v="1"/>
    <s v="Married"/>
    <n v="11713"/>
    <n v="20335"/>
    <n v="9"/>
    <s v="No"/>
    <n v="14"/>
    <n v="3"/>
    <n v="1"/>
    <n v="80"/>
    <n v="1"/>
    <n v="10"/>
    <n v="2"/>
    <n v="3"/>
    <n v="8"/>
    <n v="7"/>
    <n v="0"/>
    <n v="5"/>
    <n v="0"/>
    <n v="1"/>
    <s v="35-44"/>
    <s v="Upper Medium"/>
    <s v="6-10 Years"/>
  </r>
  <r>
    <n v="543"/>
    <n v="38"/>
    <x v="1"/>
    <s v="Travel_Rarely"/>
    <n v="168"/>
    <s v="Research &amp; Development"/>
    <n v="1"/>
    <n v="3"/>
    <s v="Life Sciences"/>
    <n v="743"/>
    <n v="3"/>
    <s v="Female"/>
    <n v="81"/>
    <n v="3"/>
    <n v="3"/>
    <s v="Manufacturing Director"/>
    <n v="3"/>
    <s v="Single"/>
    <n v="7861"/>
    <n v="15397"/>
    <n v="4"/>
    <s v="Yes"/>
    <n v="14"/>
    <n v="3"/>
    <n v="4"/>
    <n v="80"/>
    <n v="0"/>
    <n v="10"/>
    <n v="4"/>
    <n v="4"/>
    <n v="1"/>
    <n v="0"/>
    <n v="0"/>
    <n v="0"/>
    <n v="0"/>
    <n v="1"/>
    <s v="35-44"/>
    <s v="Medium"/>
    <s v="0-5 Years"/>
  </r>
  <r>
    <n v="544"/>
    <n v="44"/>
    <x v="1"/>
    <s v="Non-Travel"/>
    <n v="381"/>
    <s v="Research &amp; Development"/>
    <n v="24"/>
    <n v="3"/>
    <s v="Medical"/>
    <n v="744"/>
    <n v="1"/>
    <s v="Male"/>
    <n v="49"/>
    <n v="1"/>
    <n v="1"/>
    <s v="Laboratory Technician"/>
    <n v="3"/>
    <s v="Single"/>
    <n v="3708"/>
    <n v="2104"/>
    <n v="2"/>
    <s v="No"/>
    <n v="14"/>
    <n v="3"/>
    <n v="3"/>
    <n v="80"/>
    <n v="0"/>
    <n v="9"/>
    <n v="5"/>
    <n v="3"/>
    <n v="5"/>
    <n v="2"/>
    <n v="1"/>
    <n v="4"/>
    <n v="0"/>
    <n v="1"/>
    <s v="35-44"/>
    <s v="Low"/>
    <s v="0-5 Years"/>
  </r>
  <r>
    <n v="545"/>
    <n v="47"/>
    <x v="1"/>
    <s v="Travel_Frequently"/>
    <n v="217"/>
    <s v="Sales"/>
    <n v="3"/>
    <n v="3"/>
    <s v="Medical"/>
    <n v="746"/>
    <n v="4"/>
    <s v="Female"/>
    <n v="49"/>
    <n v="3"/>
    <n v="4"/>
    <s v="Sales Executive"/>
    <n v="3"/>
    <s v="Divorced"/>
    <n v="13770"/>
    <n v="10225"/>
    <n v="9"/>
    <s v="Yes"/>
    <n v="12"/>
    <n v="3"/>
    <n v="4"/>
    <n v="80"/>
    <n v="2"/>
    <n v="28"/>
    <n v="2"/>
    <n v="2"/>
    <n v="22"/>
    <n v="2"/>
    <n v="11"/>
    <n v="13"/>
    <n v="0"/>
    <n v="1"/>
    <s v="45-54"/>
    <s v="Upper Medium"/>
    <s v="21+ Years"/>
  </r>
  <r>
    <n v="546"/>
    <n v="30"/>
    <x v="1"/>
    <s v="Travel_Rarely"/>
    <n v="501"/>
    <s v="Sales"/>
    <n v="27"/>
    <n v="5"/>
    <s v="Marketing"/>
    <n v="747"/>
    <n v="3"/>
    <s v="Male"/>
    <n v="99"/>
    <n v="3"/>
    <n v="2"/>
    <s v="Sales Executive"/>
    <n v="4"/>
    <s v="Divorced"/>
    <n v="5304"/>
    <n v="25275"/>
    <n v="7"/>
    <s v="No"/>
    <n v="23"/>
    <n v="4"/>
    <n v="4"/>
    <n v="80"/>
    <n v="1"/>
    <n v="10"/>
    <n v="2"/>
    <n v="2"/>
    <n v="8"/>
    <n v="7"/>
    <n v="7"/>
    <n v="7"/>
    <n v="0"/>
    <n v="1"/>
    <s v="25-34"/>
    <s v="Medium"/>
    <s v="6-10 Years"/>
  </r>
  <r>
    <n v="547"/>
    <n v="29"/>
    <x v="1"/>
    <s v="Travel_Rarely"/>
    <n v="1396"/>
    <s v="Sales"/>
    <n v="10"/>
    <n v="3"/>
    <s v="Life Sciences"/>
    <n v="749"/>
    <n v="3"/>
    <s v="Male"/>
    <n v="99"/>
    <n v="3"/>
    <n v="1"/>
    <s v="Sales Representative"/>
    <n v="3"/>
    <s v="Single"/>
    <n v="2642"/>
    <n v="2755"/>
    <n v="1"/>
    <s v="No"/>
    <n v="11"/>
    <n v="3"/>
    <n v="3"/>
    <n v="80"/>
    <n v="0"/>
    <n v="1"/>
    <n v="6"/>
    <n v="3"/>
    <n v="1"/>
    <n v="0"/>
    <n v="0"/>
    <n v="0"/>
    <n v="0"/>
    <n v="1"/>
    <s v="25-34"/>
    <s v="Low"/>
    <s v="0-5 Years"/>
  </r>
  <r>
    <n v="548"/>
    <n v="42"/>
    <x v="0"/>
    <s v="Travel_Frequently"/>
    <n v="933"/>
    <s v="Research &amp; Development"/>
    <n v="19"/>
    <n v="3"/>
    <s v="Medical"/>
    <n v="752"/>
    <n v="3"/>
    <s v="Male"/>
    <n v="57"/>
    <n v="4"/>
    <n v="1"/>
    <s v="Research Scientist"/>
    <n v="3"/>
    <s v="Divorced"/>
    <n v="2759"/>
    <n v="20366"/>
    <n v="6"/>
    <s v="Yes"/>
    <n v="12"/>
    <n v="3"/>
    <n v="4"/>
    <n v="80"/>
    <n v="0"/>
    <n v="7"/>
    <n v="2"/>
    <n v="3"/>
    <n v="2"/>
    <n v="2"/>
    <n v="2"/>
    <n v="2"/>
    <n v="1"/>
    <n v="0"/>
    <s v="35-44"/>
    <s v="Low"/>
    <s v="0-5 Years"/>
  </r>
  <r>
    <n v="549"/>
    <n v="43"/>
    <x v="1"/>
    <s v="Travel_Frequently"/>
    <n v="775"/>
    <s v="Sales"/>
    <n v="15"/>
    <n v="3"/>
    <s v="Life Sciences"/>
    <n v="754"/>
    <n v="4"/>
    <s v="Male"/>
    <n v="47"/>
    <n v="2"/>
    <n v="2"/>
    <s v="Sales Executive"/>
    <n v="4"/>
    <s v="Married"/>
    <n v="6804"/>
    <n v="23683"/>
    <n v="3"/>
    <s v="No"/>
    <n v="18"/>
    <n v="3"/>
    <n v="3"/>
    <n v="80"/>
    <n v="1"/>
    <n v="7"/>
    <n v="5"/>
    <n v="3"/>
    <n v="2"/>
    <n v="2"/>
    <n v="2"/>
    <n v="2"/>
    <n v="0"/>
    <n v="1"/>
    <s v="35-44"/>
    <s v="Medium"/>
    <s v="0-5 Years"/>
  </r>
  <r>
    <n v="550"/>
    <n v="34"/>
    <x v="1"/>
    <s v="Travel_Rarely"/>
    <n v="970"/>
    <s v="Research &amp; Development"/>
    <n v="8"/>
    <n v="2"/>
    <s v="Medical"/>
    <n v="757"/>
    <n v="2"/>
    <s v="Female"/>
    <n v="96"/>
    <n v="3"/>
    <n v="2"/>
    <s v="Healthcare Representative"/>
    <n v="3"/>
    <s v="Single"/>
    <n v="6142"/>
    <n v="7360"/>
    <n v="3"/>
    <s v="No"/>
    <n v="11"/>
    <n v="3"/>
    <n v="4"/>
    <n v="80"/>
    <n v="0"/>
    <n v="10"/>
    <n v="2"/>
    <n v="3"/>
    <n v="5"/>
    <n v="1"/>
    <n v="4"/>
    <n v="3"/>
    <n v="0"/>
    <n v="1"/>
    <s v="25-34"/>
    <s v="Medium"/>
    <s v="0-5 Years"/>
  </r>
  <r>
    <n v="551"/>
    <n v="23"/>
    <x v="1"/>
    <s v="Travel_Rarely"/>
    <n v="650"/>
    <s v="Research &amp; Development"/>
    <n v="9"/>
    <n v="1"/>
    <s v="Medical"/>
    <n v="758"/>
    <n v="2"/>
    <s v="Male"/>
    <n v="37"/>
    <n v="3"/>
    <n v="1"/>
    <s v="Laboratory Technician"/>
    <n v="1"/>
    <s v="Married"/>
    <n v="2500"/>
    <n v="4344"/>
    <n v="1"/>
    <s v="No"/>
    <n v="14"/>
    <n v="3"/>
    <n v="4"/>
    <n v="80"/>
    <n v="1"/>
    <n v="5"/>
    <n v="2"/>
    <n v="4"/>
    <n v="4"/>
    <n v="3"/>
    <n v="0"/>
    <n v="2"/>
    <n v="0"/>
    <n v="1"/>
    <s v="Under 25"/>
    <s v="Low"/>
    <s v="0-5 Years"/>
  </r>
  <r>
    <n v="552"/>
    <n v="39"/>
    <x v="1"/>
    <s v="Travel_Rarely"/>
    <n v="141"/>
    <s v="Human Resources"/>
    <n v="3"/>
    <n v="3"/>
    <s v="Human Resources"/>
    <n v="760"/>
    <n v="3"/>
    <s v="Female"/>
    <n v="44"/>
    <n v="4"/>
    <n v="2"/>
    <s v="Human Resources"/>
    <n v="2"/>
    <s v="Married"/>
    <n v="6389"/>
    <n v="18767"/>
    <n v="9"/>
    <s v="No"/>
    <n v="15"/>
    <n v="3"/>
    <n v="3"/>
    <n v="80"/>
    <n v="1"/>
    <n v="12"/>
    <n v="3"/>
    <n v="1"/>
    <n v="8"/>
    <n v="3"/>
    <n v="3"/>
    <n v="6"/>
    <n v="0"/>
    <n v="1"/>
    <s v="35-44"/>
    <s v="Medium"/>
    <s v="6-10 Years"/>
  </r>
  <r>
    <n v="553"/>
    <n v="56"/>
    <x v="1"/>
    <s v="Travel_Rarely"/>
    <n v="832"/>
    <s v="Research &amp; Development"/>
    <n v="9"/>
    <n v="3"/>
    <s v="Medical"/>
    <n v="762"/>
    <n v="3"/>
    <s v="Male"/>
    <n v="81"/>
    <n v="3"/>
    <n v="4"/>
    <s v="Healthcare Representative"/>
    <n v="4"/>
    <s v="Married"/>
    <n v="11103"/>
    <n v="20420"/>
    <n v="7"/>
    <s v="No"/>
    <n v="11"/>
    <n v="3"/>
    <n v="3"/>
    <n v="80"/>
    <n v="0"/>
    <n v="30"/>
    <n v="1"/>
    <n v="2"/>
    <n v="10"/>
    <n v="7"/>
    <n v="1"/>
    <n v="1"/>
    <n v="0"/>
    <n v="1"/>
    <s v="55+"/>
    <s v="Upper Medium"/>
    <s v="6-10 Years"/>
  </r>
  <r>
    <n v="554"/>
    <n v="40"/>
    <x v="1"/>
    <s v="Travel_Rarely"/>
    <n v="804"/>
    <s v="Research &amp; Development"/>
    <n v="2"/>
    <n v="1"/>
    <s v="Medical"/>
    <n v="763"/>
    <n v="4"/>
    <s v="Female"/>
    <n v="86"/>
    <n v="2"/>
    <n v="1"/>
    <s v="Research Scientist"/>
    <n v="4"/>
    <s v="Single"/>
    <n v="2342"/>
    <n v="22929"/>
    <n v="0"/>
    <s v="Yes"/>
    <n v="20"/>
    <n v="4"/>
    <n v="4"/>
    <n v="80"/>
    <n v="0"/>
    <n v="5"/>
    <n v="2"/>
    <n v="2"/>
    <n v="4"/>
    <n v="2"/>
    <n v="2"/>
    <n v="3"/>
    <n v="0"/>
    <n v="1"/>
    <s v="35-44"/>
    <s v="Low"/>
    <s v="0-5 Years"/>
  </r>
  <r>
    <n v="555"/>
    <n v="27"/>
    <x v="1"/>
    <s v="Travel_Rarely"/>
    <n v="975"/>
    <s v="Research &amp; Development"/>
    <n v="7"/>
    <n v="3"/>
    <s v="Medical"/>
    <n v="764"/>
    <n v="4"/>
    <s v="Female"/>
    <n v="55"/>
    <n v="2"/>
    <n v="2"/>
    <s v="Healthcare Representative"/>
    <n v="1"/>
    <s v="Single"/>
    <n v="6811"/>
    <n v="23398"/>
    <n v="8"/>
    <s v="No"/>
    <n v="19"/>
    <n v="3"/>
    <n v="1"/>
    <n v="80"/>
    <n v="0"/>
    <n v="9"/>
    <n v="2"/>
    <n v="1"/>
    <n v="7"/>
    <n v="6"/>
    <n v="0"/>
    <n v="7"/>
    <n v="0"/>
    <n v="1"/>
    <s v="25-34"/>
    <s v="Medium"/>
    <s v="6-10 Years"/>
  </r>
  <r>
    <n v="556"/>
    <n v="29"/>
    <x v="1"/>
    <s v="Travel_Rarely"/>
    <n v="1090"/>
    <s v="Sales"/>
    <n v="10"/>
    <n v="3"/>
    <s v="Marketing"/>
    <n v="766"/>
    <n v="4"/>
    <s v="Male"/>
    <n v="83"/>
    <n v="3"/>
    <n v="1"/>
    <s v="Sales Representative"/>
    <n v="2"/>
    <s v="Divorced"/>
    <n v="2297"/>
    <n v="17967"/>
    <n v="1"/>
    <s v="No"/>
    <n v="14"/>
    <n v="3"/>
    <n v="4"/>
    <n v="80"/>
    <n v="2"/>
    <n v="2"/>
    <n v="2"/>
    <n v="3"/>
    <n v="2"/>
    <n v="2"/>
    <n v="2"/>
    <n v="2"/>
    <n v="0"/>
    <n v="1"/>
    <s v="25-34"/>
    <s v="Low"/>
    <s v="0-5 Years"/>
  </r>
  <r>
    <n v="557"/>
    <n v="53"/>
    <x v="1"/>
    <s v="Travel_Rarely"/>
    <n v="346"/>
    <s v="Research &amp; Development"/>
    <n v="6"/>
    <n v="3"/>
    <s v="Life Sciences"/>
    <n v="769"/>
    <n v="4"/>
    <s v="Male"/>
    <n v="86"/>
    <n v="3"/>
    <n v="2"/>
    <s v="Laboratory Technician"/>
    <n v="4"/>
    <s v="Single"/>
    <n v="2450"/>
    <n v="10919"/>
    <n v="2"/>
    <s v="No"/>
    <n v="17"/>
    <n v="3"/>
    <n v="4"/>
    <n v="80"/>
    <n v="0"/>
    <n v="19"/>
    <n v="4"/>
    <n v="3"/>
    <n v="2"/>
    <n v="2"/>
    <n v="2"/>
    <n v="2"/>
    <n v="0"/>
    <n v="1"/>
    <s v="45-54"/>
    <s v="Low"/>
    <s v="0-5 Years"/>
  </r>
  <r>
    <n v="558"/>
    <n v="35"/>
    <x v="1"/>
    <s v="Non-Travel"/>
    <n v="1225"/>
    <s v="Research &amp; Development"/>
    <n v="2"/>
    <n v="4"/>
    <s v="Life Sciences"/>
    <n v="771"/>
    <n v="4"/>
    <s v="Female"/>
    <n v="61"/>
    <n v="3"/>
    <n v="2"/>
    <s v="Healthcare Representative"/>
    <n v="1"/>
    <s v="Divorced"/>
    <n v="5093"/>
    <n v="4761"/>
    <n v="2"/>
    <s v="No"/>
    <n v="11"/>
    <n v="3"/>
    <n v="1"/>
    <n v="80"/>
    <n v="1"/>
    <n v="16"/>
    <n v="2"/>
    <n v="4"/>
    <n v="1"/>
    <n v="0"/>
    <n v="0"/>
    <n v="0"/>
    <n v="0"/>
    <n v="1"/>
    <s v="35-44"/>
    <s v="Medium"/>
    <s v="0-5 Years"/>
  </r>
  <r>
    <n v="559"/>
    <n v="32"/>
    <x v="1"/>
    <s v="Travel_Frequently"/>
    <n v="430"/>
    <s v="Research &amp; Development"/>
    <n v="24"/>
    <n v="4"/>
    <s v="Life Sciences"/>
    <n v="772"/>
    <n v="1"/>
    <s v="Male"/>
    <n v="80"/>
    <n v="3"/>
    <n v="2"/>
    <s v="Laboratory Technician"/>
    <n v="4"/>
    <s v="Married"/>
    <n v="5309"/>
    <n v="21146"/>
    <n v="1"/>
    <s v="No"/>
    <n v="15"/>
    <n v="3"/>
    <n v="4"/>
    <n v="80"/>
    <n v="2"/>
    <n v="10"/>
    <n v="2"/>
    <n v="3"/>
    <n v="10"/>
    <n v="8"/>
    <n v="4"/>
    <n v="7"/>
    <n v="0"/>
    <n v="1"/>
    <s v="25-34"/>
    <s v="Medium"/>
    <s v="6-10 Years"/>
  </r>
  <r>
    <n v="560"/>
    <n v="38"/>
    <x v="1"/>
    <s v="Travel_Rarely"/>
    <n v="268"/>
    <s v="Research &amp; Development"/>
    <n v="2"/>
    <n v="5"/>
    <s v="Medical"/>
    <n v="773"/>
    <n v="4"/>
    <s v="Male"/>
    <n v="92"/>
    <n v="3"/>
    <n v="1"/>
    <s v="Research Scientist"/>
    <n v="3"/>
    <s v="Married"/>
    <n v="3057"/>
    <n v="20471"/>
    <n v="6"/>
    <s v="Yes"/>
    <n v="13"/>
    <n v="3"/>
    <n v="2"/>
    <n v="80"/>
    <n v="1"/>
    <n v="6"/>
    <n v="0"/>
    <n v="1"/>
    <n v="1"/>
    <n v="0"/>
    <n v="0"/>
    <n v="1"/>
    <n v="0"/>
    <n v="1"/>
    <s v="35-44"/>
    <s v="Low"/>
    <s v="0-5 Years"/>
  </r>
  <r>
    <n v="561"/>
    <n v="34"/>
    <x v="1"/>
    <s v="Travel_Rarely"/>
    <n v="167"/>
    <s v="Research &amp; Development"/>
    <n v="8"/>
    <n v="5"/>
    <s v="Life Sciences"/>
    <n v="775"/>
    <n v="2"/>
    <s v="Female"/>
    <n v="32"/>
    <n v="3"/>
    <n v="2"/>
    <s v="Manufacturing Director"/>
    <n v="1"/>
    <s v="Divorced"/>
    <n v="5121"/>
    <n v="4187"/>
    <n v="3"/>
    <s v="No"/>
    <n v="14"/>
    <n v="3"/>
    <n v="3"/>
    <n v="80"/>
    <n v="1"/>
    <n v="7"/>
    <n v="3"/>
    <n v="3"/>
    <n v="0"/>
    <n v="0"/>
    <n v="0"/>
    <n v="0"/>
    <n v="0"/>
    <n v="1"/>
    <s v="25-34"/>
    <s v="Medium"/>
    <s v="0-5 Years"/>
  </r>
  <r>
    <n v="562"/>
    <n v="52"/>
    <x v="1"/>
    <s v="Travel_Rarely"/>
    <n v="621"/>
    <s v="Sales"/>
    <n v="3"/>
    <n v="4"/>
    <s v="Marketing"/>
    <n v="776"/>
    <n v="3"/>
    <s v="Male"/>
    <n v="31"/>
    <n v="2"/>
    <n v="4"/>
    <s v="Manager"/>
    <n v="1"/>
    <s v="Married"/>
    <n v="16856"/>
    <n v="10084"/>
    <n v="1"/>
    <s v="No"/>
    <n v="11"/>
    <n v="3"/>
    <n v="1"/>
    <n v="80"/>
    <n v="0"/>
    <n v="34"/>
    <n v="3"/>
    <n v="4"/>
    <n v="34"/>
    <n v="6"/>
    <n v="1"/>
    <n v="16"/>
    <n v="0"/>
    <n v="1"/>
    <s v="45-54"/>
    <s v="High"/>
    <s v="21+ Years"/>
  </r>
  <r>
    <n v="563"/>
    <n v="33"/>
    <x v="0"/>
    <s v="Travel_Rarely"/>
    <n v="527"/>
    <s v="Research &amp; Development"/>
    <n v="1"/>
    <n v="4"/>
    <s v="Other"/>
    <n v="780"/>
    <n v="4"/>
    <s v="Male"/>
    <n v="63"/>
    <n v="3"/>
    <n v="1"/>
    <s v="Research Scientist"/>
    <n v="4"/>
    <s v="Single"/>
    <n v="2686"/>
    <n v="5207"/>
    <n v="1"/>
    <s v="Yes"/>
    <n v="13"/>
    <n v="3"/>
    <n v="3"/>
    <n v="80"/>
    <n v="0"/>
    <n v="10"/>
    <n v="2"/>
    <n v="2"/>
    <n v="10"/>
    <n v="9"/>
    <n v="7"/>
    <n v="8"/>
    <n v="1"/>
    <n v="0"/>
    <s v="25-34"/>
    <s v="Low"/>
    <s v="6-10 Years"/>
  </r>
  <r>
    <n v="564"/>
    <n v="25"/>
    <x v="1"/>
    <s v="Travel_Rarely"/>
    <n v="883"/>
    <s v="Sales"/>
    <n v="26"/>
    <n v="1"/>
    <s v="Medical"/>
    <n v="781"/>
    <n v="3"/>
    <s v="Female"/>
    <n v="32"/>
    <n v="3"/>
    <n v="2"/>
    <s v="Sales Executive"/>
    <n v="4"/>
    <s v="Single"/>
    <n v="6180"/>
    <n v="22807"/>
    <n v="1"/>
    <s v="No"/>
    <n v="23"/>
    <n v="4"/>
    <n v="2"/>
    <n v="80"/>
    <n v="0"/>
    <n v="6"/>
    <n v="5"/>
    <n v="2"/>
    <n v="6"/>
    <n v="5"/>
    <n v="1"/>
    <n v="4"/>
    <n v="0"/>
    <n v="1"/>
    <s v="25-34"/>
    <s v="Medium"/>
    <s v="6-10 Years"/>
  </r>
  <r>
    <n v="565"/>
    <n v="45"/>
    <x v="1"/>
    <s v="Travel_Rarely"/>
    <n v="954"/>
    <s v="Sales"/>
    <n v="2"/>
    <n v="2"/>
    <s v="Technical Degree"/>
    <n v="783"/>
    <n v="2"/>
    <s v="Male"/>
    <n v="46"/>
    <n v="1"/>
    <n v="2"/>
    <s v="Sales Representative"/>
    <n v="3"/>
    <s v="Single"/>
    <n v="6632"/>
    <n v="12388"/>
    <n v="0"/>
    <s v="No"/>
    <n v="13"/>
    <n v="3"/>
    <n v="1"/>
    <n v="80"/>
    <n v="0"/>
    <n v="9"/>
    <n v="3"/>
    <n v="3"/>
    <n v="8"/>
    <n v="7"/>
    <n v="3"/>
    <n v="1"/>
    <n v="0"/>
    <n v="1"/>
    <s v="45-54"/>
    <s v="Medium"/>
    <s v="6-10 Years"/>
  </r>
  <r>
    <n v="566"/>
    <n v="23"/>
    <x v="1"/>
    <s v="Travel_Rarely"/>
    <n v="310"/>
    <s v="Research &amp; Development"/>
    <n v="10"/>
    <n v="1"/>
    <s v="Medical"/>
    <n v="784"/>
    <n v="1"/>
    <s v="Male"/>
    <n v="79"/>
    <n v="4"/>
    <n v="1"/>
    <s v="Research Scientist"/>
    <n v="3"/>
    <s v="Single"/>
    <n v="3505"/>
    <n v="19630"/>
    <n v="1"/>
    <s v="No"/>
    <n v="18"/>
    <n v="3"/>
    <n v="4"/>
    <n v="80"/>
    <n v="0"/>
    <n v="2"/>
    <n v="3"/>
    <n v="3"/>
    <n v="2"/>
    <n v="2"/>
    <n v="0"/>
    <n v="2"/>
    <n v="0"/>
    <n v="1"/>
    <s v="Under 25"/>
    <s v="Low"/>
    <s v="0-5 Years"/>
  </r>
  <r>
    <n v="567"/>
    <n v="47"/>
    <x v="0"/>
    <s v="Travel_Frequently"/>
    <n v="719"/>
    <s v="Sales"/>
    <n v="27"/>
    <n v="2"/>
    <s v="Life Sciences"/>
    <n v="785"/>
    <n v="2"/>
    <s v="Female"/>
    <n v="77"/>
    <n v="4"/>
    <n v="2"/>
    <s v="Sales Executive"/>
    <n v="3"/>
    <s v="Single"/>
    <n v="6397"/>
    <n v="10339"/>
    <n v="4"/>
    <s v="Yes"/>
    <n v="12"/>
    <n v="3"/>
    <n v="4"/>
    <n v="80"/>
    <n v="0"/>
    <n v="8"/>
    <n v="2"/>
    <n v="3"/>
    <n v="5"/>
    <n v="4"/>
    <n v="1"/>
    <n v="3"/>
    <n v="1"/>
    <n v="0"/>
    <s v="45-54"/>
    <s v="Medium"/>
    <s v="0-5 Years"/>
  </r>
  <r>
    <n v="568"/>
    <n v="34"/>
    <x v="1"/>
    <s v="Travel_Rarely"/>
    <n v="304"/>
    <s v="Sales"/>
    <n v="2"/>
    <n v="3"/>
    <s v="Other"/>
    <n v="786"/>
    <n v="4"/>
    <s v="Male"/>
    <n v="60"/>
    <n v="3"/>
    <n v="2"/>
    <s v="Sales Executive"/>
    <n v="4"/>
    <s v="Single"/>
    <n v="6274"/>
    <n v="18686"/>
    <n v="1"/>
    <s v="No"/>
    <n v="22"/>
    <n v="4"/>
    <n v="3"/>
    <n v="80"/>
    <n v="0"/>
    <n v="6"/>
    <n v="5"/>
    <n v="3"/>
    <n v="6"/>
    <n v="5"/>
    <n v="1"/>
    <n v="4"/>
    <n v="0"/>
    <n v="1"/>
    <s v="25-34"/>
    <s v="Medium"/>
    <s v="6-10 Years"/>
  </r>
  <r>
    <n v="569"/>
    <n v="55"/>
    <x v="0"/>
    <s v="Travel_Rarely"/>
    <n v="725"/>
    <s v="Research &amp; Development"/>
    <n v="2"/>
    <n v="3"/>
    <s v="Medical"/>
    <n v="787"/>
    <n v="4"/>
    <s v="Male"/>
    <n v="78"/>
    <n v="3"/>
    <n v="5"/>
    <s v="Manager"/>
    <n v="1"/>
    <s v="Married"/>
    <n v="19859"/>
    <n v="21199"/>
    <n v="5"/>
    <s v="Yes"/>
    <n v="13"/>
    <n v="3"/>
    <n v="4"/>
    <n v="80"/>
    <n v="1"/>
    <n v="24"/>
    <n v="2"/>
    <n v="3"/>
    <n v="5"/>
    <n v="2"/>
    <n v="1"/>
    <n v="4"/>
    <n v="1"/>
    <n v="0"/>
    <s v="55+"/>
    <s v="High"/>
    <s v="0-5 Years"/>
  </r>
  <r>
    <n v="570"/>
    <n v="36"/>
    <x v="1"/>
    <s v="Non-Travel"/>
    <n v="1434"/>
    <s v="Sales"/>
    <n v="8"/>
    <n v="4"/>
    <s v="Life Sciences"/>
    <n v="789"/>
    <n v="1"/>
    <s v="Male"/>
    <n v="76"/>
    <n v="2"/>
    <n v="3"/>
    <s v="Sales Executive"/>
    <n v="1"/>
    <s v="Single"/>
    <n v="7587"/>
    <n v="14229"/>
    <n v="1"/>
    <s v="No"/>
    <n v="15"/>
    <n v="3"/>
    <n v="2"/>
    <n v="80"/>
    <n v="0"/>
    <n v="10"/>
    <n v="1"/>
    <n v="3"/>
    <n v="10"/>
    <n v="7"/>
    <n v="0"/>
    <n v="9"/>
    <n v="0"/>
    <n v="1"/>
    <s v="35-44"/>
    <s v="Medium"/>
    <s v="6-10 Years"/>
  </r>
  <r>
    <n v="571"/>
    <n v="52"/>
    <x v="1"/>
    <s v="Non-Travel"/>
    <n v="715"/>
    <s v="Research &amp; Development"/>
    <n v="19"/>
    <n v="4"/>
    <s v="Medical"/>
    <n v="791"/>
    <n v="4"/>
    <s v="Male"/>
    <n v="41"/>
    <n v="3"/>
    <n v="1"/>
    <s v="Research Scientist"/>
    <n v="4"/>
    <s v="Married"/>
    <n v="4258"/>
    <n v="26589"/>
    <n v="0"/>
    <s v="No"/>
    <n v="18"/>
    <n v="3"/>
    <n v="1"/>
    <n v="80"/>
    <n v="1"/>
    <n v="5"/>
    <n v="3"/>
    <n v="3"/>
    <n v="4"/>
    <n v="3"/>
    <n v="1"/>
    <n v="2"/>
    <n v="0"/>
    <n v="1"/>
    <s v="45-54"/>
    <s v="Low"/>
    <s v="0-5 Years"/>
  </r>
  <r>
    <n v="572"/>
    <n v="26"/>
    <x v="1"/>
    <s v="Travel_Frequently"/>
    <n v="575"/>
    <s v="Research &amp; Development"/>
    <n v="1"/>
    <n v="2"/>
    <s v="Life Sciences"/>
    <n v="792"/>
    <n v="1"/>
    <s v="Female"/>
    <n v="71"/>
    <n v="1"/>
    <n v="1"/>
    <s v="Laboratory Technician"/>
    <n v="4"/>
    <s v="Divorced"/>
    <n v="4364"/>
    <n v="5288"/>
    <n v="3"/>
    <s v="No"/>
    <n v="14"/>
    <n v="3"/>
    <n v="1"/>
    <n v="80"/>
    <n v="1"/>
    <n v="5"/>
    <n v="2"/>
    <n v="3"/>
    <n v="2"/>
    <n v="2"/>
    <n v="2"/>
    <n v="0"/>
    <n v="0"/>
    <n v="1"/>
    <s v="25-34"/>
    <s v="Low"/>
    <s v="0-5 Years"/>
  </r>
  <r>
    <n v="573"/>
    <n v="29"/>
    <x v="1"/>
    <s v="Travel_Rarely"/>
    <n v="657"/>
    <s v="Research &amp; Development"/>
    <n v="27"/>
    <n v="3"/>
    <s v="Medical"/>
    <n v="793"/>
    <n v="2"/>
    <s v="Female"/>
    <n v="66"/>
    <n v="3"/>
    <n v="2"/>
    <s v="Healthcare Representative"/>
    <n v="3"/>
    <s v="Married"/>
    <n v="4335"/>
    <n v="25549"/>
    <n v="4"/>
    <s v="No"/>
    <n v="12"/>
    <n v="3"/>
    <n v="1"/>
    <n v="80"/>
    <n v="1"/>
    <n v="11"/>
    <n v="3"/>
    <n v="2"/>
    <n v="8"/>
    <n v="7"/>
    <n v="1"/>
    <n v="1"/>
    <n v="0"/>
    <n v="1"/>
    <s v="25-34"/>
    <s v="Low"/>
    <s v="6-10 Years"/>
  </r>
  <r>
    <n v="574"/>
    <n v="26"/>
    <x v="0"/>
    <s v="Travel_Rarely"/>
    <n v="1146"/>
    <s v="Sales"/>
    <n v="8"/>
    <n v="3"/>
    <s v="Technical Degree"/>
    <n v="796"/>
    <n v="4"/>
    <s v="Male"/>
    <n v="38"/>
    <n v="2"/>
    <n v="2"/>
    <s v="Sales Executive"/>
    <n v="1"/>
    <s v="Single"/>
    <n v="5326"/>
    <n v="3064"/>
    <n v="6"/>
    <s v="No"/>
    <n v="17"/>
    <n v="3"/>
    <n v="3"/>
    <n v="80"/>
    <n v="0"/>
    <n v="6"/>
    <n v="2"/>
    <n v="2"/>
    <n v="4"/>
    <n v="3"/>
    <n v="1"/>
    <n v="2"/>
    <n v="1"/>
    <n v="0"/>
    <s v="25-34"/>
    <s v="Medium"/>
    <s v="0-5 Years"/>
  </r>
  <r>
    <n v="575"/>
    <n v="34"/>
    <x v="1"/>
    <s v="Travel_Rarely"/>
    <n v="182"/>
    <s v="Research &amp; Development"/>
    <n v="1"/>
    <n v="4"/>
    <s v="Life Sciences"/>
    <n v="797"/>
    <n v="2"/>
    <s v="Female"/>
    <n v="72"/>
    <n v="4"/>
    <n v="1"/>
    <s v="Research Scientist"/>
    <n v="4"/>
    <s v="Single"/>
    <n v="3280"/>
    <n v="13551"/>
    <n v="2"/>
    <s v="No"/>
    <n v="16"/>
    <n v="3"/>
    <n v="3"/>
    <n v="80"/>
    <n v="0"/>
    <n v="10"/>
    <n v="2"/>
    <n v="3"/>
    <n v="4"/>
    <n v="2"/>
    <n v="1"/>
    <n v="3"/>
    <n v="0"/>
    <n v="1"/>
    <s v="25-34"/>
    <s v="Low"/>
    <s v="0-5 Years"/>
  </r>
  <r>
    <n v="576"/>
    <n v="54"/>
    <x v="1"/>
    <s v="Travel_Rarely"/>
    <n v="376"/>
    <s v="Research &amp; Development"/>
    <n v="19"/>
    <n v="4"/>
    <s v="Medical"/>
    <n v="799"/>
    <n v="4"/>
    <s v="Female"/>
    <n v="95"/>
    <n v="3"/>
    <n v="2"/>
    <s v="Manufacturing Director"/>
    <n v="1"/>
    <s v="Divorced"/>
    <n v="5485"/>
    <n v="22670"/>
    <n v="9"/>
    <s v="Yes"/>
    <n v="11"/>
    <n v="3"/>
    <n v="2"/>
    <n v="80"/>
    <n v="2"/>
    <n v="9"/>
    <n v="4"/>
    <n v="3"/>
    <n v="5"/>
    <n v="3"/>
    <n v="1"/>
    <n v="4"/>
    <n v="0"/>
    <n v="1"/>
    <s v="45-54"/>
    <s v="Medium"/>
    <s v="0-5 Years"/>
  </r>
  <r>
    <n v="577"/>
    <n v="27"/>
    <x v="1"/>
    <s v="Travel_Frequently"/>
    <n v="829"/>
    <s v="Sales"/>
    <n v="8"/>
    <n v="1"/>
    <s v="Marketing"/>
    <n v="800"/>
    <n v="3"/>
    <s v="Male"/>
    <n v="84"/>
    <n v="3"/>
    <n v="2"/>
    <s v="Sales Executive"/>
    <n v="4"/>
    <s v="Married"/>
    <n v="4342"/>
    <n v="24008"/>
    <n v="0"/>
    <s v="No"/>
    <n v="19"/>
    <n v="3"/>
    <n v="2"/>
    <n v="80"/>
    <n v="1"/>
    <n v="5"/>
    <n v="3"/>
    <n v="3"/>
    <n v="4"/>
    <n v="2"/>
    <n v="1"/>
    <n v="1"/>
    <n v="0"/>
    <n v="1"/>
    <s v="25-34"/>
    <s v="Low"/>
    <s v="0-5 Years"/>
  </r>
  <r>
    <n v="578"/>
    <n v="37"/>
    <x v="1"/>
    <s v="Travel_Rarely"/>
    <n v="571"/>
    <s v="Research &amp; Development"/>
    <n v="10"/>
    <n v="1"/>
    <s v="Life Sciences"/>
    <n v="802"/>
    <n v="4"/>
    <s v="Female"/>
    <n v="82"/>
    <n v="3"/>
    <n v="1"/>
    <s v="Research Scientist"/>
    <n v="1"/>
    <s v="Divorced"/>
    <n v="2782"/>
    <n v="19905"/>
    <n v="0"/>
    <s v="Yes"/>
    <n v="13"/>
    <n v="3"/>
    <n v="2"/>
    <n v="80"/>
    <n v="2"/>
    <n v="6"/>
    <n v="3"/>
    <n v="2"/>
    <n v="5"/>
    <n v="3"/>
    <n v="4"/>
    <n v="3"/>
    <n v="0"/>
    <n v="1"/>
    <s v="35-44"/>
    <s v="Low"/>
    <s v="0-5 Years"/>
  </r>
  <r>
    <n v="579"/>
    <n v="38"/>
    <x v="1"/>
    <s v="Travel_Frequently"/>
    <n v="240"/>
    <s v="Research &amp; Development"/>
    <n v="2"/>
    <n v="4"/>
    <s v="Life Sciences"/>
    <n v="803"/>
    <n v="1"/>
    <s v="Female"/>
    <n v="75"/>
    <n v="4"/>
    <n v="2"/>
    <s v="Manufacturing Director"/>
    <n v="1"/>
    <s v="Single"/>
    <n v="5980"/>
    <n v="26085"/>
    <n v="6"/>
    <s v="Yes"/>
    <n v="12"/>
    <n v="3"/>
    <n v="4"/>
    <n v="80"/>
    <n v="0"/>
    <n v="17"/>
    <n v="2"/>
    <n v="3"/>
    <n v="15"/>
    <n v="7"/>
    <n v="4"/>
    <n v="12"/>
    <n v="0"/>
    <n v="1"/>
    <s v="35-44"/>
    <s v="Medium"/>
    <s v="11-20 Years"/>
  </r>
  <r>
    <n v="580"/>
    <n v="34"/>
    <x v="1"/>
    <s v="Travel_Rarely"/>
    <n v="121"/>
    <s v="Research &amp; Development"/>
    <n v="2"/>
    <n v="4"/>
    <s v="Medical"/>
    <n v="804"/>
    <n v="3"/>
    <s v="Female"/>
    <n v="86"/>
    <n v="2"/>
    <n v="1"/>
    <s v="Research Scientist"/>
    <n v="1"/>
    <s v="Single"/>
    <n v="4381"/>
    <n v="7530"/>
    <n v="1"/>
    <s v="No"/>
    <n v="11"/>
    <n v="3"/>
    <n v="3"/>
    <n v="80"/>
    <n v="0"/>
    <n v="6"/>
    <n v="3"/>
    <n v="3"/>
    <n v="6"/>
    <n v="5"/>
    <n v="1"/>
    <n v="3"/>
    <n v="0"/>
    <n v="1"/>
    <s v="25-34"/>
    <s v="Low"/>
    <s v="6-10 Years"/>
  </r>
  <r>
    <n v="581"/>
    <n v="35"/>
    <x v="1"/>
    <s v="Travel_Rarely"/>
    <n v="384"/>
    <s v="Sales"/>
    <n v="8"/>
    <n v="4"/>
    <s v="Life Sciences"/>
    <n v="805"/>
    <n v="1"/>
    <s v="Female"/>
    <n v="72"/>
    <n v="3"/>
    <n v="1"/>
    <s v="Sales Representative"/>
    <n v="4"/>
    <s v="Married"/>
    <n v="2572"/>
    <n v="20317"/>
    <n v="1"/>
    <s v="No"/>
    <n v="16"/>
    <n v="3"/>
    <n v="2"/>
    <n v="80"/>
    <n v="1"/>
    <n v="3"/>
    <n v="1"/>
    <n v="2"/>
    <n v="3"/>
    <n v="2"/>
    <n v="0"/>
    <n v="2"/>
    <n v="0"/>
    <n v="1"/>
    <s v="35-44"/>
    <s v="Low"/>
    <s v="0-5 Years"/>
  </r>
  <r>
    <n v="582"/>
    <n v="30"/>
    <x v="1"/>
    <s v="Travel_Rarely"/>
    <n v="921"/>
    <s v="Research &amp; Development"/>
    <n v="1"/>
    <n v="3"/>
    <s v="Life Sciences"/>
    <n v="806"/>
    <n v="4"/>
    <s v="Male"/>
    <n v="38"/>
    <n v="1"/>
    <n v="1"/>
    <s v="Laboratory Technician"/>
    <n v="3"/>
    <s v="Married"/>
    <n v="3833"/>
    <n v="24375"/>
    <n v="3"/>
    <s v="No"/>
    <n v="21"/>
    <n v="4"/>
    <n v="3"/>
    <n v="80"/>
    <n v="2"/>
    <n v="7"/>
    <n v="2"/>
    <n v="3"/>
    <n v="2"/>
    <n v="2"/>
    <n v="0"/>
    <n v="2"/>
    <n v="0"/>
    <n v="1"/>
    <s v="25-34"/>
    <s v="Low"/>
    <s v="0-5 Years"/>
  </r>
  <r>
    <n v="583"/>
    <n v="40"/>
    <x v="1"/>
    <s v="Travel_Frequently"/>
    <n v="791"/>
    <s v="Research &amp; Development"/>
    <n v="2"/>
    <n v="2"/>
    <s v="Medical"/>
    <n v="807"/>
    <n v="3"/>
    <s v="Female"/>
    <n v="38"/>
    <n v="4"/>
    <n v="2"/>
    <s v="Healthcare Representative"/>
    <n v="2"/>
    <s v="Married"/>
    <n v="4244"/>
    <n v="9931"/>
    <n v="1"/>
    <s v="No"/>
    <n v="24"/>
    <n v="4"/>
    <n v="4"/>
    <n v="80"/>
    <n v="1"/>
    <n v="8"/>
    <n v="2"/>
    <n v="3"/>
    <n v="8"/>
    <n v="7"/>
    <n v="3"/>
    <n v="7"/>
    <n v="0"/>
    <n v="1"/>
    <s v="35-44"/>
    <s v="Low"/>
    <s v="6-10 Years"/>
  </r>
  <r>
    <n v="584"/>
    <n v="34"/>
    <x v="1"/>
    <s v="Travel_Rarely"/>
    <n v="1111"/>
    <s v="Sales"/>
    <n v="8"/>
    <n v="2"/>
    <s v="Life Sciences"/>
    <n v="808"/>
    <n v="3"/>
    <s v="Female"/>
    <n v="93"/>
    <n v="3"/>
    <n v="2"/>
    <s v="Sales Executive"/>
    <n v="1"/>
    <s v="Married"/>
    <n v="6500"/>
    <n v="13305"/>
    <n v="5"/>
    <s v="No"/>
    <n v="17"/>
    <n v="3"/>
    <n v="2"/>
    <n v="80"/>
    <n v="1"/>
    <n v="6"/>
    <n v="1"/>
    <n v="3"/>
    <n v="3"/>
    <n v="2"/>
    <n v="1"/>
    <n v="2"/>
    <n v="0"/>
    <n v="1"/>
    <s v="25-34"/>
    <s v="Medium"/>
    <s v="0-5 Years"/>
  </r>
  <r>
    <n v="585"/>
    <n v="42"/>
    <x v="1"/>
    <s v="Travel_Frequently"/>
    <n v="570"/>
    <s v="Research &amp; Development"/>
    <n v="8"/>
    <n v="3"/>
    <s v="Life Sciences"/>
    <n v="809"/>
    <n v="2"/>
    <s v="Male"/>
    <n v="66"/>
    <n v="3"/>
    <n v="5"/>
    <s v="Manager"/>
    <n v="4"/>
    <s v="Divorced"/>
    <n v="18430"/>
    <n v="16225"/>
    <n v="1"/>
    <s v="No"/>
    <n v="13"/>
    <n v="3"/>
    <n v="2"/>
    <n v="80"/>
    <n v="1"/>
    <n v="24"/>
    <n v="4"/>
    <n v="2"/>
    <n v="24"/>
    <n v="7"/>
    <n v="14"/>
    <n v="9"/>
    <n v="0"/>
    <n v="1"/>
    <s v="35-44"/>
    <s v="High"/>
    <s v="21+ Years"/>
  </r>
  <r>
    <n v="586"/>
    <n v="23"/>
    <x v="0"/>
    <s v="Travel_Rarely"/>
    <n v="1243"/>
    <s v="Research &amp; Development"/>
    <n v="6"/>
    <n v="3"/>
    <s v="Life Sciences"/>
    <n v="811"/>
    <n v="3"/>
    <s v="Male"/>
    <n v="63"/>
    <n v="4"/>
    <n v="1"/>
    <s v="Laboratory Technician"/>
    <n v="1"/>
    <s v="Married"/>
    <n v="1601"/>
    <n v="3445"/>
    <n v="1"/>
    <s v="Yes"/>
    <n v="21"/>
    <n v="4"/>
    <n v="3"/>
    <n v="80"/>
    <n v="2"/>
    <n v="1"/>
    <n v="2"/>
    <n v="3"/>
    <n v="0"/>
    <n v="0"/>
    <n v="0"/>
    <n v="0"/>
    <n v="1"/>
    <n v="0"/>
    <s v="Under 25"/>
    <s v="Low"/>
    <s v="0-5 Years"/>
  </r>
  <r>
    <n v="587"/>
    <n v="24"/>
    <x v="1"/>
    <s v="Non-Travel"/>
    <n v="1092"/>
    <s v="Research &amp; Development"/>
    <n v="9"/>
    <n v="3"/>
    <s v="Life Sciences"/>
    <n v="812"/>
    <n v="3"/>
    <s v="Male"/>
    <n v="60"/>
    <n v="2"/>
    <n v="1"/>
    <s v="Laboratory Technician"/>
    <n v="2"/>
    <s v="Divorced"/>
    <n v="2694"/>
    <n v="26551"/>
    <n v="1"/>
    <s v="No"/>
    <n v="11"/>
    <n v="3"/>
    <n v="3"/>
    <n v="80"/>
    <n v="3"/>
    <n v="1"/>
    <n v="4"/>
    <n v="3"/>
    <n v="1"/>
    <n v="0"/>
    <n v="0"/>
    <n v="0"/>
    <n v="0"/>
    <n v="1"/>
    <s v="Under 25"/>
    <s v="Low"/>
    <s v="0-5 Years"/>
  </r>
  <r>
    <n v="588"/>
    <n v="52"/>
    <x v="1"/>
    <s v="Travel_Rarely"/>
    <n v="1325"/>
    <s v="Research &amp; Development"/>
    <n v="11"/>
    <n v="4"/>
    <s v="Life Sciences"/>
    <n v="813"/>
    <n v="4"/>
    <s v="Female"/>
    <n v="82"/>
    <n v="3"/>
    <n v="2"/>
    <s v="Laboratory Technician"/>
    <n v="3"/>
    <s v="Married"/>
    <n v="3149"/>
    <n v="21821"/>
    <n v="8"/>
    <s v="No"/>
    <n v="20"/>
    <n v="4"/>
    <n v="2"/>
    <n v="80"/>
    <n v="1"/>
    <n v="9"/>
    <n v="3"/>
    <n v="3"/>
    <n v="5"/>
    <n v="2"/>
    <n v="1"/>
    <n v="4"/>
    <n v="0"/>
    <n v="1"/>
    <s v="45-54"/>
    <s v="Low"/>
    <s v="0-5 Years"/>
  </r>
  <r>
    <n v="589"/>
    <n v="50"/>
    <x v="1"/>
    <s v="Travel_Rarely"/>
    <n v="691"/>
    <s v="Research &amp; Development"/>
    <n v="2"/>
    <n v="3"/>
    <s v="Medical"/>
    <n v="815"/>
    <n v="3"/>
    <s v="Male"/>
    <n v="64"/>
    <n v="3"/>
    <n v="4"/>
    <s v="Research Director"/>
    <n v="3"/>
    <s v="Married"/>
    <n v="17639"/>
    <n v="6881"/>
    <n v="5"/>
    <s v="No"/>
    <n v="16"/>
    <n v="3"/>
    <n v="4"/>
    <n v="80"/>
    <n v="0"/>
    <n v="30"/>
    <n v="3"/>
    <n v="3"/>
    <n v="4"/>
    <n v="3"/>
    <n v="0"/>
    <n v="3"/>
    <n v="0"/>
    <n v="1"/>
    <s v="45-54"/>
    <s v="High"/>
    <s v="0-5 Years"/>
  </r>
  <r>
    <n v="590"/>
    <n v="29"/>
    <x v="0"/>
    <s v="Travel_Rarely"/>
    <n v="805"/>
    <s v="Research &amp; Development"/>
    <n v="1"/>
    <n v="2"/>
    <s v="Life Sciences"/>
    <n v="816"/>
    <n v="2"/>
    <s v="Female"/>
    <n v="36"/>
    <n v="2"/>
    <n v="1"/>
    <s v="Laboratory Technician"/>
    <n v="1"/>
    <s v="Married"/>
    <n v="2319"/>
    <n v="6689"/>
    <n v="1"/>
    <s v="Yes"/>
    <n v="11"/>
    <n v="3"/>
    <n v="4"/>
    <n v="80"/>
    <n v="1"/>
    <n v="1"/>
    <n v="1"/>
    <n v="3"/>
    <n v="1"/>
    <n v="0"/>
    <n v="0"/>
    <n v="0"/>
    <n v="1"/>
    <n v="0"/>
    <s v="25-34"/>
    <s v="Low"/>
    <s v="0-5 Years"/>
  </r>
  <r>
    <n v="591"/>
    <n v="33"/>
    <x v="1"/>
    <s v="Travel_Rarely"/>
    <n v="213"/>
    <s v="Research &amp; Development"/>
    <n v="7"/>
    <n v="3"/>
    <s v="Medical"/>
    <n v="817"/>
    <n v="3"/>
    <s v="Male"/>
    <n v="49"/>
    <n v="3"/>
    <n v="3"/>
    <s v="Research Director"/>
    <n v="3"/>
    <s v="Married"/>
    <n v="11691"/>
    <n v="25995"/>
    <n v="0"/>
    <s v="No"/>
    <n v="11"/>
    <n v="3"/>
    <n v="4"/>
    <n v="80"/>
    <n v="0"/>
    <n v="14"/>
    <n v="3"/>
    <n v="4"/>
    <n v="13"/>
    <n v="9"/>
    <n v="3"/>
    <n v="7"/>
    <n v="0"/>
    <n v="1"/>
    <s v="25-34"/>
    <s v="Upper Medium"/>
    <s v="11-20 Years"/>
  </r>
  <r>
    <n v="592"/>
    <n v="33"/>
    <x v="0"/>
    <s v="Travel_Rarely"/>
    <n v="118"/>
    <s v="Sales"/>
    <n v="16"/>
    <n v="3"/>
    <s v="Marketing"/>
    <n v="819"/>
    <n v="1"/>
    <s v="Female"/>
    <n v="69"/>
    <n v="3"/>
    <n v="2"/>
    <s v="Sales Executive"/>
    <n v="1"/>
    <s v="Single"/>
    <n v="5324"/>
    <n v="26507"/>
    <n v="5"/>
    <s v="No"/>
    <n v="15"/>
    <n v="3"/>
    <n v="3"/>
    <n v="80"/>
    <n v="0"/>
    <n v="6"/>
    <n v="3"/>
    <n v="3"/>
    <n v="3"/>
    <n v="2"/>
    <n v="0"/>
    <n v="2"/>
    <n v="1"/>
    <n v="0"/>
    <s v="25-34"/>
    <s v="Medium"/>
    <s v="0-5 Years"/>
  </r>
  <r>
    <n v="593"/>
    <n v="47"/>
    <x v="1"/>
    <s v="Travel_Rarely"/>
    <n v="202"/>
    <s v="Research &amp; Development"/>
    <n v="2"/>
    <n v="2"/>
    <s v="Other"/>
    <n v="820"/>
    <n v="3"/>
    <s v="Female"/>
    <n v="33"/>
    <n v="3"/>
    <n v="4"/>
    <s v="Manager"/>
    <n v="4"/>
    <s v="Married"/>
    <n v="16752"/>
    <n v="12982"/>
    <n v="1"/>
    <s v="Yes"/>
    <n v="11"/>
    <n v="3"/>
    <n v="3"/>
    <n v="80"/>
    <n v="1"/>
    <n v="26"/>
    <n v="3"/>
    <n v="2"/>
    <n v="26"/>
    <n v="14"/>
    <n v="3"/>
    <n v="0"/>
    <n v="0"/>
    <n v="1"/>
    <s v="45-54"/>
    <s v="High"/>
    <s v="21+ Years"/>
  </r>
  <r>
    <n v="594"/>
    <n v="36"/>
    <x v="1"/>
    <s v="Travel_Rarely"/>
    <n v="676"/>
    <s v="Research &amp; Development"/>
    <n v="1"/>
    <n v="3"/>
    <s v="Other"/>
    <n v="823"/>
    <n v="3"/>
    <s v="Female"/>
    <n v="35"/>
    <n v="3"/>
    <n v="2"/>
    <s v="Manufacturing Director"/>
    <n v="2"/>
    <s v="Married"/>
    <n v="5228"/>
    <n v="23361"/>
    <n v="0"/>
    <s v="No"/>
    <n v="15"/>
    <n v="3"/>
    <n v="1"/>
    <n v="80"/>
    <n v="1"/>
    <n v="10"/>
    <n v="2"/>
    <n v="3"/>
    <n v="9"/>
    <n v="7"/>
    <n v="0"/>
    <n v="5"/>
    <n v="0"/>
    <n v="1"/>
    <s v="35-44"/>
    <s v="Medium"/>
    <s v="6-10 Years"/>
  </r>
  <r>
    <n v="595"/>
    <n v="29"/>
    <x v="1"/>
    <s v="Travel_Rarely"/>
    <n v="1252"/>
    <s v="Research &amp; Development"/>
    <n v="23"/>
    <n v="2"/>
    <s v="Life Sciences"/>
    <n v="824"/>
    <n v="3"/>
    <s v="Male"/>
    <n v="81"/>
    <n v="4"/>
    <n v="1"/>
    <s v="Research Scientist"/>
    <n v="3"/>
    <s v="Married"/>
    <n v="2700"/>
    <n v="23779"/>
    <n v="1"/>
    <s v="No"/>
    <n v="24"/>
    <n v="4"/>
    <n v="3"/>
    <n v="80"/>
    <n v="1"/>
    <n v="10"/>
    <n v="3"/>
    <n v="3"/>
    <n v="10"/>
    <n v="7"/>
    <n v="0"/>
    <n v="7"/>
    <n v="0"/>
    <n v="1"/>
    <s v="25-34"/>
    <s v="Low"/>
    <s v="6-10 Years"/>
  </r>
  <r>
    <n v="596"/>
    <n v="58"/>
    <x v="0"/>
    <s v="Travel_Rarely"/>
    <n v="286"/>
    <s v="Research &amp; Development"/>
    <n v="2"/>
    <n v="4"/>
    <s v="Life Sciences"/>
    <n v="825"/>
    <n v="4"/>
    <s v="Male"/>
    <n v="31"/>
    <n v="3"/>
    <n v="5"/>
    <s v="Research Director"/>
    <n v="2"/>
    <s v="Single"/>
    <n v="19246"/>
    <n v="25761"/>
    <n v="7"/>
    <s v="Yes"/>
    <n v="12"/>
    <n v="3"/>
    <n v="4"/>
    <n v="80"/>
    <n v="0"/>
    <n v="40"/>
    <n v="2"/>
    <n v="3"/>
    <n v="31"/>
    <n v="15"/>
    <n v="13"/>
    <n v="8"/>
    <n v="1"/>
    <n v="0"/>
    <s v="55+"/>
    <s v="High"/>
    <s v="21+ Years"/>
  </r>
  <r>
    <n v="597"/>
    <n v="35"/>
    <x v="1"/>
    <s v="Travel_Rarely"/>
    <n v="1258"/>
    <s v="Research &amp; Development"/>
    <n v="1"/>
    <n v="4"/>
    <s v="Life Sciences"/>
    <n v="826"/>
    <n v="4"/>
    <s v="Female"/>
    <n v="40"/>
    <n v="4"/>
    <n v="1"/>
    <s v="Research Scientist"/>
    <n v="3"/>
    <s v="Single"/>
    <n v="2506"/>
    <n v="13301"/>
    <n v="3"/>
    <s v="No"/>
    <n v="13"/>
    <n v="3"/>
    <n v="3"/>
    <n v="80"/>
    <n v="0"/>
    <n v="7"/>
    <n v="0"/>
    <n v="3"/>
    <n v="2"/>
    <n v="2"/>
    <n v="2"/>
    <n v="2"/>
    <n v="0"/>
    <n v="1"/>
    <s v="35-44"/>
    <s v="Low"/>
    <s v="0-5 Years"/>
  </r>
  <r>
    <n v="598"/>
    <n v="42"/>
    <x v="1"/>
    <s v="Travel_Rarely"/>
    <n v="932"/>
    <s v="Research &amp; Development"/>
    <n v="1"/>
    <n v="2"/>
    <s v="Life Sciences"/>
    <n v="827"/>
    <n v="4"/>
    <s v="Female"/>
    <n v="43"/>
    <n v="2"/>
    <n v="2"/>
    <s v="Manufacturing Director"/>
    <n v="4"/>
    <s v="Married"/>
    <n v="6062"/>
    <n v="4051"/>
    <n v="9"/>
    <s v="Yes"/>
    <n v="13"/>
    <n v="3"/>
    <n v="4"/>
    <n v="80"/>
    <n v="1"/>
    <n v="8"/>
    <n v="4"/>
    <n v="3"/>
    <n v="4"/>
    <n v="3"/>
    <n v="0"/>
    <n v="2"/>
    <n v="0"/>
    <n v="1"/>
    <s v="35-44"/>
    <s v="Medium"/>
    <s v="0-5 Years"/>
  </r>
  <r>
    <n v="599"/>
    <n v="28"/>
    <x v="0"/>
    <s v="Travel_Rarely"/>
    <n v="890"/>
    <s v="Research &amp; Development"/>
    <n v="2"/>
    <n v="4"/>
    <s v="Medical"/>
    <n v="828"/>
    <n v="3"/>
    <s v="Male"/>
    <n v="46"/>
    <n v="3"/>
    <n v="1"/>
    <s v="Research Scientist"/>
    <n v="3"/>
    <s v="Single"/>
    <n v="4382"/>
    <n v="16374"/>
    <n v="6"/>
    <s v="No"/>
    <n v="17"/>
    <n v="3"/>
    <n v="4"/>
    <n v="80"/>
    <n v="0"/>
    <n v="5"/>
    <n v="3"/>
    <n v="2"/>
    <n v="2"/>
    <n v="2"/>
    <n v="2"/>
    <n v="1"/>
    <n v="1"/>
    <n v="0"/>
    <s v="25-34"/>
    <s v="Low"/>
    <s v="0-5 Years"/>
  </r>
  <r>
    <n v="600"/>
    <n v="36"/>
    <x v="1"/>
    <s v="Travel_Rarely"/>
    <n v="1041"/>
    <s v="Human Resources"/>
    <n v="13"/>
    <n v="3"/>
    <s v="Human Resources"/>
    <n v="829"/>
    <n v="3"/>
    <s v="Male"/>
    <n v="36"/>
    <n v="3"/>
    <n v="1"/>
    <s v="Human Resources"/>
    <n v="2"/>
    <s v="Married"/>
    <n v="2143"/>
    <n v="25527"/>
    <n v="4"/>
    <s v="No"/>
    <n v="13"/>
    <n v="3"/>
    <n v="2"/>
    <n v="80"/>
    <n v="1"/>
    <n v="8"/>
    <n v="2"/>
    <n v="3"/>
    <n v="5"/>
    <n v="2"/>
    <n v="0"/>
    <n v="4"/>
    <n v="0"/>
    <n v="1"/>
    <s v="35-44"/>
    <s v="Low"/>
    <s v="0-5 Years"/>
  </r>
  <r>
    <n v="601"/>
    <n v="32"/>
    <x v="1"/>
    <s v="Travel_Rarely"/>
    <n v="859"/>
    <s v="Research &amp; Development"/>
    <n v="4"/>
    <n v="3"/>
    <s v="Life Sciences"/>
    <n v="830"/>
    <n v="3"/>
    <s v="Female"/>
    <n v="98"/>
    <n v="2"/>
    <n v="2"/>
    <s v="Manufacturing Director"/>
    <n v="3"/>
    <s v="Married"/>
    <n v="6162"/>
    <n v="19124"/>
    <n v="1"/>
    <s v="No"/>
    <n v="12"/>
    <n v="3"/>
    <n v="3"/>
    <n v="80"/>
    <n v="1"/>
    <n v="14"/>
    <n v="3"/>
    <n v="3"/>
    <n v="14"/>
    <n v="13"/>
    <n v="6"/>
    <n v="8"/>
    <n v="0"/>
    <n v="1"/>
    <s v="25-34"/>
    <s v="Medium"/>
    <s v="11-20 Years"/>
  </r>
  <r>
    <n v="602"/>
    <n v="40"/>
    <x v="1"/>
    <s v="Travel_Frequently"/>
    <n v="720"/>
    <s v="Research &amp; Development"/>
    <n v="16"/>
    <n v="4"/>
    <s v="Medical"/>
    <n v="832"/>
    <n v="1"/>
    <s v="Male"/>
    <n v="51"/>
    <n v="2"/>
    <n v="2"/>
    <s v="Laboratory Technician"/>
    <n v="3"/>
    <s v="Single"/>
    <n v="5094"/>
    <n v="11983"/>
    <n v="6"/>
    <s v="No"/>
    <n v="14"/>
    <n v="3"/>
    <n v="4"/>
    <n v="80"/>
    <n v="0"/>
    <n v="10"/>
    <n v="6"/>
    <n v="3"/>
    <n v="1"/>
    <n v="0"/>
    <n v="0"/>
    <n v="0"/>
    <n v="0"/>
    <n v="1"/>
    <s v="35-44"/>
    <s v="Medium"/>
    <s v="0-5 Years"/>
  </r>
  <r>
    <n v="603"/>
    <n v="30"/>
    <x v="1"/>
    <s v="Travel_Rarely"/>
    <n v="946"/>
    <s v="Research &amp; Development"/>
    <n v="2"/>
    <n v="3"/>
    <s v="Medical"/>
    <n v="833"/>
    <n v="3"/>
    <s v="Female"/>
    <n v="52"/>
    <n v="2"/>
    <n v="2"/>
    <s v="Manufacturing Director"/>
    <n v="4"/>
    <s v="Single"/>
    <n v="6877"/>
    <n v="20234"/>
    <n v="5"/>
    <s v="Yes"/>
    <n v="24"/>
    <n v="4"/>
    <n v="2"/>
    <n v="80"/>
    <n v="0"/>
    <n v="12"/>
    <n v="4"/>
    <n v="2"/>
    <n v="0"/>
    <n v="0"/>
    <n v="0"/>
    <n v="0"/>
    <n v="0"/>
    <n v="1"/>
    <s v="25-34"/>
    <s v="Medium"/>
    <s v="0-5 Years"/>
  </r>
  <r>
    <n v="604"/>
    <n v="45"/>
    <x v="1"/>
    <s v="Travel_Rarely"/>
    <n v="252"/>
    <s v="Research &amp; Development"/>
    <n v="2"/>
    <n v="3"/>
    <s v="Life Sciences"/>
    <n v="834"/>
    <n v="2"/>
    <s v="Female"/>
    <n v="95"/>
    <n v="2"/>
    <n v="1"/>
    <s v="Research Scientist"/>
    <n v="3"/>
    <s v="Single"/>
    <n v="2274"/>
    <n v="6153"/>
    <n v="1"/>
    <s v="No"/>
    <n v="14"/>
    <n v="3"/>
    <n v="4"/>
    <n v="80"/>
    <n v="0"/>
    <n v="1"/>
    <n v="3"/>
    <n v="3"/>
    <n v="1"/>
    <n v="0"/>
    <n v="0"/>
    <n v="0"/>
    <n v="0"/>
    <n v="1"/>
    <s v="45-54"/>
    <s v="Low"/>
    <s v="0-5 Years"/>
  </r>
  <r>
    <n v="605"/>
    <n v="42"/>
    <x v="1"/>
    <s v="Travel_Rarely"/>
    <n v="933"/>
    <s v="Research &amp; Development"/>
    <n v="29"/>
    <n v="3"/>
    <s v="Life Sciences"/>
    <n v="836"/>
    <n v="2"/>
    <s v="Male"/>
    <n v="98"/>
    <n v="3"/>
    <n v="2"/>
    <s v="Manufacturing Director"/>
    <n v="2"/>
    <s v="Married"/>
    <n v="4434"/>
    <n v="11806"/>
    <n v="1"/>
    <s v="No"/>
    <n v="13"/>
    <n v="3"/>
    <n v="4"/>
    <n v="80"/>
    <n v="1"/>
    <n v="10"/>
    <n v="3"/>
    <n v="2"/>
    <n v="9"/>
    <n v="8"/>
    <n v="7"/>
    <n v="8"/>
    <n v="0"/>
    <n v="1"/>
    <s v="35-44"/>
    <s v="Low"/>
    <s v="6-10 Years"/>
  </r>
  <r>
    <n v="606"/>
    <n v="38"/>
    <x v="1"/>
    <s v="Travel_Frequently"/>
    <n v="471"/>
    <s v="Research &amp; Development"/>
    <n v="12"/>
    <n v="3"/>
    <s v="Life Sciences"/>
    <n v="837"/>
    <n v="1"/>
    <s v="Male"/>
    <n v="45"/>
    <n v="2"/>
    <n v="2"/>
    <s v="Healthcare Representative"/>
    <n v="1"/>
    <s v="Divorced"/>
    <n v="6288"/>
    <n v="4284"/>
    <n v="2"/>
    <s v="No"/>
    <n v="15"/>
    <n v="3"/>
    <n v="3"/>
    <n v="80"/>
    <n v="1"/>
    <n v="13"/>
    <n v="3"/>
    <n v="2"/>
    <n v="4"/>
    <n v="3"/>
    <n v="1"/>
    <n v="2"/>
    <n v="0"/>
    <n v="1"/>
    <s v="35-44"/>
    <s v="Medium"/>
    <s v="0-5 Years"/>
  </r>
  <r>
    <n v="607"/>
    <n v="34"/>
    <x v="1"/>
    <s v="Travel_Frequently"/>
    <n v="702"/>
    <s v="Research &amp; Development"/>
    <n v="16"/>
    <n v="4"/>
    <s v="Life Sciences"/>
    <n v="838"/>
    <n v="3"/>
    <s v="Female"/>
    <n v="100"/>
    <n v="2"/>
    <n v="1"/>
    <s v="Research Scientist"/>
    <n v="4"/>
    <s v="Single"/>
    <n v="2553"/>
    <n v="8306"/>
    <n v="1"/>
    <s v="No"/>
    <n v="16"/>
    <n v="3"/>
    <n v="3"/>
    <n v="80"/>
    <n v="0"/>
    <n v="6"/>
    <n v="3"/>
    <n v="3"/>
    <n v="5"/>
    <n v="2"/>
    <n v="1"/>
    <n v="3"/>
    <n v="0"/>
    <n v="1"/>
    <s v="25-34"/>
    <s v="Low"/>
    <s v="0-5 Years"/>
  </r>
  <r>
    <n v="608"/>
    <n v="49"/>
    <x v="0"/>
    <s v="Travel_Rarely"/>
    <n v="1184"/>
    <s v="Sales"/>
    <n v="11"/>
    <n v="3"/>
    <s v="Marketing"/>
    <n v="840"/>
    <n v="3"/>
    <s v="Female"/>
    <n v="43"/>
    <n v="3"/>
    <n v="3"/>
    <s v="Sales Executive"/>
    <n v="4"/>
    <s v="Married"/>
    <n v="7654"/>
    <n v="5860"/>
    <n v="1"/>
    <s v="No"/>
    <n v="18"/>
    <n v="3"/>
    <n v="1"/>
    <n v="80"/>
    <n v="2"/>
    <n v="9"/>
    <n v="3"/>
    <n v="4"/>
    <n v="9"/>
    <n v="8"/>
    <n v="7"/>
    <n v="7"/>
    <n v="1"/>
    <n v="0"/>
    <s v="45-54"/>
    <s v="Medium"/>
    <s v="6-10 Years"/>
  </r>
  <r>
    <n v="609"/>
    <n v="55"/>
    <x v="0"/>
    <s v="Travel_Rarely"/>
    <n v="436"/>
    <s v="Sales"/>
    <n v="2"/>
    <n v="1"/>
    <s v="Medical"/>
    <n v="842"/>
    <n v="3"/>
    <s v="Male"/>
    <n v="37"/>
    <n v="3"/>
    <n v="2"/>
    <s v="Sales Executive"/>
    <n v="4"/>
    <s v="Single"/>
    <n v="5160"/>
    <n v="21519"/>
    <n v="4"/>
    <s v="No"/>
    <n v="16"/>
    <n v="3"/>
    <n v="3"/>
    <n v="80"/>
    <n v="0"/>
    <n v="12"/>
    <n v="3"/>
    <n v="2"/>
    <n v="9"/>
    <n v="7"/>
    <n v="7"/>
    <n v="3"/>
    <n v="1"/>
    <n v="0"/>
    <s v="55+"/>
    <s v="Medium"/>
    <s v="6-10 Years"/>
  </r>
  <r>
    <n v="610"/>
    <n v="43"/>
    <x v="1"/>
    <s v="Travel_Rarely"/>
    <n v="589"/>
    <s v="Research &amp; Development"/>
    <n v="14"/>
    <n v="2"/>
    <s v="Life Sciences"/>
    <n v="843"/>
    <n v="2"/>
    <s v="Male"/>
    <n v="94"/>
    <n v="3"/>
    <n v="4"/>
    <s v="Research Director"/>
    <n v="1"/>
    <s v="Married"/>
    <n v="17159"/>
    <n v="5200"/>
    <n v="6"/>
    <s v="No"/>
    <n v="24"/>
    <n v="4"/>
    <n v="3"/>
    <n v="80"/>
    <n v="1"/>
    <n v="22"/>
    <n v="3"/>
    <n v="3"/>
    <n v="4"/>
    <n v="1"/>
    <n v="1"/>
    <n v="0"/>
    <n v="0"/>
    <n v="1"/>
    <s v="35-44"/>
    <s v="High"/>
    <s v="0-5 Years"/>
  </r>
  <r>
    <n v="611"/>
    <n v="27"/>
    <x v="1"/>
    <s v="Travel_Rarely"/>
    <n v="269"/>
    <s v="Research &amp; Development"/>
    <n v="5"/>
    <n v="1"/>
    <s v="Technical Degree"/>
    <n v="844"/>
    <n v="3"/>
    <s v="Male"/>
    <n v="42"/>
    <n v="2"/>
    <n v="3"/>
    <s v="Research Director"/>
    <n v="4"/>
    <s v="Divorced"/>
    <n v="12808"/>
    <n v="8842"/>
    <n v="1"/>
    <s v="Yes"/>
    <n v="16"/>
    <n v="3"/>
    <n v="2"/>
    <n v="80"/>
    <n v="1"/>
    <n v="9"/>
    <n v="3"/>
    <n v="3"/>
    <n v="9"/>
    <n v="8"/>
    <n v="0"/>
    <n v="8"/>
    <n v="0"/>
    <n v="1"/>
    <s v="25-34"/>
    <s v="Upper Medium"/>
    <s v="6-10 Years"/>
  </r>
  <r>
    <n v="612"/>
    <n v="35"/>
    <x v="1"/>
    <s v="Travel_Rarely"/>
    <n v="950"/>
    <s v="Research &amp; Development"/>
    <n v="7"/>
    <n v="3"/>
    <s v="Other"/>
    <n v="845"/>
    <n v="3"/>
    <s v="Male"/>
    <n v="59"/>
    <n v="3"/>
    <n v="3"/>
    <s v="Manufacturing Director"/>
    <n v="3"/>
    <s v="Single"/>
    <n v="10221"/>
    <n v="18869"/>
    <n v="3"/>
    <s v="No"/>
    <n v="21"/>
    <n v="4"/>
    <n v="2"/>
    <n v="80"/>
    <n v="0"/>
    <n v="17"/>
    <n v="3"/>
    <n v="4"/>
    <n v="8"/>
    <n v="5"/>
    <n v="1"/>
    <n v="6"/>
    <n v="0"/>
    <n v="1"/>
    <s v="35-44"/>
    <s v="Upper Medium"/>
    <s v="6-10 Years"/>
  </r>
  <r>
    <n v="613"/>
    <n v="28"/>
    <x v="1"/>
    <s v="Travel_Rarely"/>
    <n v="760"/>
    <s v="Sales"/>
    <n v="2"/>
    <n v="4"/>
    <s v="Marketing"/>
    <n v="846"/>
    <n v="2"/>
    <s v="Female"/>
    <n v="81"/>
    <n v="3"/>
    <n v="2"/>
    <s v="Sales Executive"/>
    <n v="2"/>
    <s v="Married"/>
    <n v="4779"/>
    <n v="3698"/>
    <n v="1"/>
    <s v="Yes"/>
    <n v="20"/>
    <n v="4"/>
    <n v="1"/>
    <n v="80"/>
    <n v="0"/>
    <n v="8"/>
    <n v="2"/>
    <n v="3"/>
    <n v="8"/>
    <n v="7"/>
    <n v="7"/>
    <n v="5"/>
    <n v="0"/>
    <n v="1"/>
    <s v="25-34"/>
    <s v="Low"/>
    <s v="6-10 Years"/>
  </r>
  <r>
    <n v="614"/>
    <n v="34"/>
    <x v="1"/>
    <s v="Travel_Rarely"/>
    <n v="829"/>
    <s v="Human Resources"/>
    <n v="3"/>
    <n v="2"/>
    <s v="Human Resources"/>
    <n v="847"/>
    <n v="3"/>
    <s v="Male"/>
    <n v="88"/>
    <n v="3"/>
    <n v="1"/>
    <s v="Human Resources"/>
    <n v="4"/>
    <s v="Married"/>
    <n v="3737"/>
    <n v="2243"/>
    <n v="0"/>
    <s v="No"/>
    <n v="19"/>
    <n v="3"/>
    <n v="3"/>
    <n v="80"/>
    <n v="1"/>
    <n v="4"/>
    <n v="1"/>
    <n v="1"/>
    <n v="3"/>
    <n v="2"/>
    <n v="0"/>
    <n v="2"/>
    <n v="0"/>
    <n v="1"/>
    <s v="25-34"/>
    <s v="Low"/>
    <s v="0-5 Years"/>
  </r>
  <r>
    <n v="615"/>
    <n v="26"/>
    <x v="0"/>
    <s v="Travel_Frequently"/>
    <n v="887"/>
    <s v="Research &amp; Development"/>
    <n v="5"/>
    <n v="2"/>
    <s v="Medical"/>
    <n v="848"/>
    <n v="3"/>
    <s v="Female"/>
    <n v="88"/>
    <n v="2"/>
    <n v="1"/>
    <s v="Research Scientist"/>
    <n v="3"/>
    <s v="Married"/>
    <n v="2366"/>
    <n v="20898"/>
    <n v="1"/>
    <s v="Yes"/>
    <n v="14"/>
    <n v="3"/>
    <n v="1"/>
    <n v="80"/>
    <n v="1"/>
    <n v="8"/>
    <n v="2"/>
    <n v="3"/>
    <n v="8"/>
    <n v="7"/>
    <n v="1"/>
    <n v="7"/>
    <n v="1"/>
    <n v="0"/>
    <s v="25-34"/>
    <s v="Low"/>
    <s v="6-10 Years"/>
  </r>
  <r>
    <n v="616"/>
    <n v="27"/>
    <x v="1"/>
    <s v="Non-Travel"/>
    <n v="443"/>
    <s v="Research &amp; Development"/>
    <n v="3"/>
    <n v="3"/>
    <s v="Medical"/>
    <n v="850"/>
    <n v="4"/>
    <s v="Male"/>
    <n v="50"/>
    <n v="3"/>
    <n v="1"/>
    <s v="Research Scientist"/>
    <n v="4"/>
    <s v="Married"/>
    <n v="1706"/>
    <n v="16571"/>
    <n v="1"/>
    <s v="No"/>
    <n v="11"/>
    <n v="3"/>
    <n v="3"/>
    <n v="80"/>
    <n v="3"/>
    <n v="0"/>
    <n v="6"/>
    <n v="2"/>
    <n v="0"/>
    <n v="0"/>
    <n v="0"/>
    <n v="0"/>
    <n v="0"/>
    <n v="1"/>
    <s v="25-34"/>
    <s v="Low"/>
    <s v="0-5 Years"/>
  </r>
  <r>
    <n v="617"/>
    <n v="51"/>
    <x v="1"/>
    <s v="Travel_Rarely"/>
    <n v="1318"/>
    <s v="Sales"/>
    <n v="26"/>
    <n v="4"/>
    <s v="Marketing"/>
    <n v="851"/>
    <n v="1"/>
    <s v="Female"/>
    <n v="66"/>
    <n v="3"/>
    <n v="4"/>
    <s v="Manager"/>
    <n v="3"/>
    <s v="Married"/>
    <n v="16307"/>
    <n v="5594"/>
    <n v="2"/>
    <s v="No"/>
    <n v="14"/>
    <n v="3"/>
    <n v="3"/>
    <n v="80"/>
    <n v="1"/>
    <n v="29"/>
    <n v="2"/>
    <n v="2"/>
    <n v="20"/>
    <n v="6"/>
    <n v="4"/>
    <n v="17"/>
    <n v="0"/>
    <n v="1"/>
    <s v="45-54"/>
    <s v="High"/>
    <s v="11-20 Years"/>
  </r>
  <r>
    <n v="618"/>
    <n v="44"/>
    <x v="1"/>
    <s v="Travel_Rarely"/>
    <n v="625"/>
    <s v="Research &amp; Development"/>
    <n v="4"/>
    <n v="3"/>
    <s v="Medical"/>
    <n v="852"/>
    <n v="4"/>
    <s v="Male"/>
    <n v="50"/>
    <n v="3"/>
    <n v="2"/>
    <s v="Healthcare Representative"/>
    <n v="2"/>
    <s v="Single"/>
    <n v="5933"/>
    <n v="5197"/>
    <n v="9"/>
    <s v="No"/>
    <n v="12"/>
    <n v="3"/>
    <n v="4"/>
    <n v="80"/>
    <n v="0"/>
    <n v="10"/>
    <n v="2"/>
    <n v="2"/>
    <n v="5"/>
    <n v="2"/>
    <n v="2"/>
    <n v="3"/>
    <n v="0"/>
    <n v="1"/>
    <s v="35-44"/>
    <s v="Medium"/>
    <s v="0-5 Years"/>
  </r>
  <r>
    <n v="619"/>
    <n v="25"/>
    <x v="1"/>
    <s v="Travel_Rarely"/>
    <n v="180"/>
    <s v="Research &amp; Development"/>
    <n v="2"/>
    <n v="1"/>
    <s v="Medical"/>
    <n v="854"/>
    <n v="1"/>
    <s v="Male"/>
    <n v="65"/>
    <n v="4"/>
    <n v="1"/>
    <s v="Research Scientist"/>
    <n v="1"/>
    <s v="Single"/>
    <n v="3424"/>
    <n v="21632"/>
    <n v="7"/>
    <s v="No"/>
    <n v="13"/>
    <n v="3"/>
    <n v="3"/>
    <n v="80"/>
    <n v="0"/>
    <n v="6"/>
    <n v="3"/>
    <n v="2"/>
    <n v="4"/>
    <n v="3"/>
    <n v="0"/>
    <n v="1"/>
    <n v="0"/>
    <n v="1"/>
    <s v="25-34"/>
    <s v="Low"/>
    <s v="0-5 Years"/>
  </r>
  <r>
    <n v="620"/>
    <n v="33"/>
    <x v="1"/>
    <s v="Travel_Rarely"/>
    <n v="586"/>
    <s v="Sales"/>
    <n v="1"/>
    <n v="3"/>
    <s v="Medical"/>
    <n v="855"/>
    <n v="1"/>
    <s v="Male"/>
    <n v="48"/>
    <n v="4"/>
    <n v="2"/>
    <s v="Sales Executive"/>
    <n v="1"/>
    <s v="Divorced"/>
    <n v="4037"/>
    <n v="21816"/>
    <n v="1"/>
    <s v="No"/>
    <n v="22"/>
    <n v="4"/>
    <n v="1"/>
    <n v="80"/>
    <n v="1"/>
    <n v="9"/>
    <n v="5"/>
    <n v="3"/>
    <n v="9"/>
    <n v="8"/>
    <n v="0"/>
    <n v="8"/>
    <n v="0"/>
    <n v="1"/>
    <s v="25-34"/>
    <s v="Low"/>
    <s v="6-10 Years"/>
  </r>
  <r>
    <n v="621"/>
    <n v="35"/>
    <x v="1"/>
    <s v="Travel_Rarely"/>
    <n v="1343"/>
    <s v="Research &amp; Development"/>
    <n v="27"/>
    <n v="1"/>
    <s v="Medical"/>
    <n v="856"/>
    <n v="3"/>
    <s v="Female"/>
    <n v="53"/>
    <n v="2"/>
    <n v="1"/>
    <s v="Research Scientist"/>
    <n v="1"/>
    <s v="Single"/>
    <n v="2559"/>
    <n v="17852"/>
    <n v="1"/>
    <s v="No"/>
    <n v="11"/>
    <n v="3"/>
    <n v="4"/>
    <n v="80"/>
    <n v="0"/>
    <n v="6"/>
    <n v="3"/>
    <n v="2"/>
    <n v="6"/>
    <n v="5"/>
    <n v="1"/>
    <n v="1"/>
    <n v="0"/>
    <n v="1"/>
    <s v="35-44"/>
    <s v="Low"/>
    <s v="6-10 Years"/>
  </r>
  <r>
    <n v="622"/>
    <n v="36"/>
    <x v="1"/>
    <s v="Travel_Rarely"/>
    <n v="928"/>
    <s v="Sales"/>
    <n v="1"/>
    <n v="2"/>
    <s v="Life Sciences"/>
    <n v="857"/>
    <n v="2"/>
    <s v="Male"/>
    <n v="56"/>
    <n v="3"/>
    <n v="2"/>
    <s v="Sales Executive"/>
    <n v="4"/>
    <s v="Married"/>
    <n v="6201"/>
    <n v="2823"/>
    <n v="1"/>
    <s v="Yes"/>
    <n v="14"/>
    <n v="3"/>
    <n v="4"/>
    <n v="80"/>
    <n v="1"/>
    <n v="18"/>
    <n v="1"/>
    <n v="2"/>
    <n v="18"/>
    <n v="14"/>
    <n v="4"/>
    <n v="11"/>
    <n v="0"/>
    <n v="1"/>
    <s v="35-44"/>
    <s v="Medium"/>
    <s v="11-20 Years"/>
  </r>
  <r>
    <n v="623"/>
    <n v="32"/>
    <x v="1"/>
    <s v="Travel_Rarely"/>
    <n v="117"/>
    <s v="Sales"/>
    <n v="13"/>
    <n v="4"/>
    <s v="Life Sciences"/>
    <n v="859"/>
    <n v="2"/>
    <s v="Male"/>
    <n v="73"/>
    <n v="3"/>
    <n v="2"/>
    <s v="Sales Executive"/>
    <n v="4"/>
    <s v="Divorced"/>
    <n v="4403"/>
    <n v="9250"/>
    <n v="2"/>
    <s v="No"/>
    <n v="11"/>
    <n v="3"/>
    <n v="3"/>
    <n v="80"/>
    <n v="1"/>
    <n v="8"/>
    <n v="3"/>
    <n v="2"/>
    <n v="5"/>
    <n v="2"/>
    <n v="0"/>
    <n v="3"/>
    <n v="0"/>
    <n v="1"/>
    <s v="25-34"/>
    <s v="Low"/>
    <s v="0-5 Years"/>
  </r>
  <r>
    <n v="624"/>
    <n v="30"/>
    <x v="1"/>
    <s v="Travel_Frequently"/>
    <n v="1012"/>
    <s v="Research &amp; Development"/>
    <n v="5"/>
    <n v="4"/>
    <s v="Life Sciences"/>
    <n v="861"/>
    <n v="2"/>
    <s v="Male"/>
    <n v="75"/>
    <n v="2"/>
    <n v="1"/>
    <s v="Research Scientist"/>
    <n v="4"/>
    <s v="Divorced"/>
    <n v="3761"/>
    <n v="2373"/>
    <n v="9"/>
    <s v="No"/>
    <n v="12"/>
    <n v="3"/>
    <n v="2"/>
    <n v="80"/>
    <n v="1"/>
    <n v="10"/>
    <n v="3"/>
    <n v="2"/>
    <n v="5"/>
    <n v="4"/>
    <n v="0"/>
    <n v="3"/>
    <n v="0"/>
    <n v="1"/>
    <s v="25-34"/>
    <s v="Low"/>
    <s v="0-5 Years"/>
  </r>
  <r>
    <n v="625"/>
    <n v="53"/>
    <x v="1"/>
    <s v="Travel_Rarely"/>
    <n v="661"/>
    <s v="Sales"/>
    <n v="7"/>
    <n v="2"/>
    <s v="Marketing"/>
    <n v="862"/>
    <n v="1"/>
    <s v="Female"/>
    <n v="78"/>
    <n v="2"/>
    <n v="3"/>
    <s v="Sales Executive"/>
    <n v="4"/>
    <s v="Married"/>
    <n v="10934"/>
    <n v="20715"/>
    <n v="7"/>
    <s v="Yes"/>
    <n v="18"/>
    <n v="3"/>
    <n v="4"/>
    <n v="80"/>
    <n v="1"/>
    <n v="35"/>
    <n v="3"/>
    <n v="3"/>
    <n v="5"/>
    <n v="2"/>
    <n v="0"/>
    <n v="4"/>
    <n v="0"/>
    <n v="1"/>
    <s v="45-54"/>
    <s v="Upper Medium"/>
    <s v="0-5 Years"/>
  </r>
  <r>
    <n v="626"/>
    <n v="45"/>
    <x v="1"/>
    <s v="Travel_Rarely"/>
    <n v="930"/>
    <s v="Sales"/>
    <n v="9"/>
    <n v="3"/>
    <s v="Marketing"/>
    <n v="864"/>
    <n v="4"/>
    <s v="Male"/>
    <n v="74"/>
    <n v="3"/>
    <n v="3"/>
    <s v="Sales Executive"/>
    <n v="1"/>
    <s v="Divorced"/>
    <n v="10761"/>
    <n v="19239"/>
    <n v="4"/>
    <s v="Yes"/>
    <n v="12"/>
    <n v="3"/>
    <n v="3"/>
    <n v="80"/>
    <n v="1"/>
    <n v="18"/>
    <n v="2"/>
    <n v="3"/>
    <n v="5"/>
    <n v="4"/>
    <n v="0"/>
    <n v="2"/>
    <n v="0"/>
    <n v="1"/>
    <s v="45-54"/>
    <s v="Upper Medium"/>
    <s v="0-5 Years"/>
  </r>
  <r>
    <n v="627"/>
    <n v="32"/>
    <x v="1"/>
    <s v="Travel_Rarely"/>
    <n v="638"/>
    <s v="Research &amp; Development"/>
    <n v="8"/>
    <n v="2"/>
    <s v="Medical"/>
    <n v="865"/>
    <n v="3"/>
    <s v="Female"/>
    <n v="91"/>
    <n v="4"/>
    <n v="2"/>
    <s v="Research Scientist"/>
    <n v="3"/>
    <s v="Married"/>
    <n v="5175"/>
    <n v="22162"/>
    <n v="5"/>
    <s v="No"/>
    <n v="12"/>
    <n v="3"/>
    <n v="3"/>
    <n v="80"/>
    <n v="1"/>
    <n v="9"/>
    <n v="3"/>
    <n v="2"/>
    <n v="5"/>
    <n v="3"/>
    <n v="1"/>
    <n v="3"/>
    <n v="0"/>
    <n v="1"/>
    <s v="25-34"/>
    <s v="Medium"/>
    <s v="0-5 Years"/>
  </r>
  <r>
    <n v="628"/>
    <n v="52"/>
    <x v="1"/>
    <s v="Travel_Frequently"/>
    <n v="890"/>
    <s v="Research &amp; Development"/>
    <n v="25"/>
    <n v="4"/>
    <s v="Medical"/>
    <n v="867"/>
    <n v="3"/>
    <s v="Female"/>
    <n v="81"/>
    <n v="2"/>
    <n v="4"/>
    <s v="Manufacturing Director"/>
    <n v="4"/>
    <s v="Married"/>
    <n v="13826"/>
    <n v="19028"/>
    <n v="3"/>
    <s v="No"/>
    <n v="22"/>
    <n v="4"/>
    <n v="3"/>
    <n v="80"/>
    <n v="0"/>
    <n v="31"/>
    <n v="3"/>
    <n v="3"/>
    <n v="9"/>
    <n v="8"/>
    <n v="0"/>
    <n v="0"/>
    <n v="0"/>
    <n v="1"/>
    <s v="45-54"/>
    <s v="Upper Medium"/>
    <s v="6-10 Years"/>
  </r>
  <r>
    <n v="629"/>
    <n v="37"/>
    <x v="1"/>
    <s v="Travel_Rarely"/>
    <n v="342"/>
    <s v="Sales"/>
    <n v="16"/>
    <n v="4"/>
    <s v="Marketing"/>
    <n v="868"/>
    <n v="4"/>
    <s v="Male"/>
    <n v="66"/>
    <n v="2"/>
    <n v="2"/>
    <s v="Sales Executive"/>
    <n v="3"/>
    <s v="Divorced"/>
    <n v="6334"/>
    <n v="24558"/>
    <n v="4"/>
    <s v="No"/>
    <n v="19"/>
    <n v="3"/>
    <n v="4"/>
    <n v="80"/>
    <n v="2"/>
    <n v="9"/>
    <n v="2"/>
    <n v="3"/>
    <n v="1"/>
    <n v="0"/>
    <n v="0"/>
    <n v="0"/>
    <n v="0"/>
    <n v="1"/>
    <s v="35-44"/>
    <s v="Medium"/>
    <s v="0-5 Years"/>
  </r>
  <r>
    <n v="630"/>
    <n v="28"/>
    <x v="1"/>
    <s v="Travel_Rarely"/>
    <n v="1169"/>
    <s v="Human Resources"/>
    <n v="8"/>
    <n v="2"/>
    <s v="Medical"/>
    <n v="869"/>
    <n v="2"/>
    <s v="Male"/>
    <n v="63"/>
    <n v="2"/>
    <n v="1"/>
    <s v="Human Resources"/>
    <n v="4"/>
    <s v="Divorced"/>
    <n v="4936"/>
    <n v="23965"/>
    <n v="1"/>
    <s v="No"/>
    <n v="13"/>
    <n v="3"/>
    <n v="4"/>
    <n v="80"/>
    <n v="1"/>
    <n v="6"/>
    <n v="6"/>
    <n v="3"/>
    <n v="5"/>
    <n v="1"/>
    <n v="0"/>
    <n v="4"/>
    <n v="0"/>
    <n v="1"/>
    <s v="25-34"/>
    <s v="Low"/>
    <s v="0-5 Years"/>
  </r>
  <r>
    <n v="631"/>
    <n v="22"/>
    <x v="1"/>
    <s v="Travel_Rarely"/>
    <n v="1230"/>
    <s v="Research &amp; Development"/>
    <n v="1"/>
    <n v="2"/>
    <s v="Life Sciences"/>
    <n v="872"/>
    <n v="4"/>
    <s v="Male"/>
    <n v="33"/>
    <n v="2"/>
    <n v="2"/>
    <s v="Manufacturing Director"/>
    <n v="4"/>
    <s v="Married"/>
    <n v="4775"/>
    <n v="19146"/>
    <n v="6"/>
    <s v="No"/>
    <n v="22"/>
    <n v="4"/>
    <n v="1"/>
    <n v="80"/>
    <n v="2"/>
    <n v="4"/>
    <n v="2"/>
    <n v="1"/>
    <n v="2"/>
    <n v="2"/>
    <n v="2"/>
    <n v="2"/>
    <n v="0"/>
    <n v="1"/>
    <s v="Under 25"/>
    <s v="Low"/>
    <s v="0-5 Years"/>
  </r>
  <r>
    <n v="632"/>
    <n v="44"/>
    <x v="1"/>
    <s v="Travel_Rarely"/>
    <n v="986"/>
    <s v="Research &amp; Development"/>
    <n v="8"/>
    <n v="4"/>
    <s v="Life Sciences"/>
    <n v="874"/>
    <n v="1"/>
    <s v="Male"/>
    <n v="62"/>
    <n v="4"/>
    <n v="1"/>
    <s v="Laboratory Technician"/>
    <n v="4"/>
    <s v="Married"/>
    <n v="2818"/>
    <n v="5044"/>
    <n v="2"/>
    <s v="Yes"/>
    <n v="24"/>
    <n v="4"/>
    <n v="3"/>
    <n v="80"/>
    <n v="1"/>
    <n v="10"/>
    <n v="2"/>
    <n v="2"/>
    <n v="3"/>
    <n v="2"/>
    <n v="0"/>
    <n v="2"/>
    <n v="0"/>
    <n v="1"/>
    <s v="35-44"/>
    <s v="Low"/>
    <s v="0-5 Years"/>
  </r>
  <r>
    <n v="633"/>
    <n v="42"/>
    <x v="1"/>
    <s v="Travel_Frequently"/>
    <n v="1271"/>
    <s v="Research &amp; Development"/>
    <n v="2"/>
    <n v="1"/>
    <s v="Medical"/>
    <n v="875"/>
    <n v="2"/>
    <s v="Male"/>
    <n v="35"/>
    <n v="3"/>
    <n v="1"/>
    <s v="Research Scientist"/>
    <n v="4"/>
    <s v="Single"/>
    <n v="2515"/>
    <n v="9068"/>
    <n v="5"/>
    <s v="Yes"/>
    <n v="14"/>
    <n v="3"/>
    <n v="4"/>
    <n v="80"/>
    <n v="0"/>
    <n v="8"/>
    <n v="2"/>
    <n v="3"/>
    <n v="2"/>
    <n v="1"/>
    <n v="2"/>
    <n v="2"/>
    <n v="0"/>
    <n v="1"/>
    <s v="35-44"/>
    <s v="Low"/>
    <s v="0-5 Years"/>
  </r>
  <r>
    <n v="634"/>
    <n v="36"/>
    <x v="1"/>
    <s v="Travel_Rarely"/>
    <n v="1278"/>
    <s v="Human Resources"/>
    <n v="8"/>
    <n v="3"/>
    <s v="Life Sciences"/>
    <n v="878"/>
    <n v="1"/>
    <s v="Male"/>
    <n v="77"/>
    <n v="2"/>
    <n v="1"/>
    <s v="Human Resources"/>
    <n v="1"/>
    <s v="Married"/>
    <n v="2342"/>
    <n v="8635"/>
    <n v="0"/>
    <s v="No"/>
    <n v="21"/>
    <n v="4"/>
    <n v="3"/>
    <n v="80"/>
    <n v="0"/>
    <n v="6"/>
    <n v="3"/>
    <n v="3"/>
    <n v="5"/>
    <n v="4"/>
    <n v="0"/>
    <n v="3"/>
    <n v="0"/>
    <n v="1"/>
    <s v="35-44"/>
    <s v="Low"/>
    <s v="0-5 Years"/>
  </r>
  <r>
    <n v="635"/>
    <n v="25"/>
    <x v="1"/>
    <s v="Travel_Rarely"/>
    <n v="141"/>
    <s v="Sales"/>
    <n v="3"/>
    <n v="1"/>
    <s v="Other"/>
    <n v="879"/>
    <n v="3"/>
    <s v="Male"/>
    <n v="98"/>
    <n v="3"/>
    <n v="2"/>
    <s v="Sales Executive"/>
    <n v="1"/>
    <s v="Married"/>
    <n v="4194"/>
    <n v="14363"/>
    <n v="1"/>
    <s v="Yes"/>
    <n v="18"/>
    <n v="3"/>
    <n v="4"/>
    <n v="80"/>
    <n v="0"/>
    <n v="5"/>
    <n v="3"/>
    <n v="3"/>
    <n v="5"/>
    <n v="3"/>
    <n v="0"/>
    <n v="3"/>
    <n v="0"/>
    <n v="1"/>
    <s v="25-34"/>
    <s v="Low"/>
    <s v="0-5 Years"/>
  </r>
  <r>
    <n v="636"/>
    <n v="35"/>
    <x v="1"/>
    <s v="Travel_Rarely"/>
    <n v="607"/>
    <s v="Research &amp; Development"/>
    <n v="9"/>
    <n v="3"/>
    <s v="Life Sciences"/>
    <n v="880"/>
    <n v="4"/>
    <s v="Female"/>
    <n v="66"/>
    <n v="2"/>
    <n v="3"/>
    <s v="Manufacturing Director"/>
    <n v="3"/>
    <s v="Married"/>
    <n v="10685"/>
    <n v="23457"/>
    <n v="1"/>
    <s v="Yes"/>
    <n v="20"/>
    <n v="4"/>
    <n v="2"/>
    <n v="80"/>
    <n v="1"/>
    <n v="17"/>
    <n v="2"/>
    <n v="3"/>
    <n v="17"/>
    <n v="14"/>
    <n v="5"/>
    <n v="15"/>
    <n v="0"/>
    <n v="1"/>
    <s v="35-44"/>
    <s v="Upper Medium"/>
    <s v="11-20 Years"/>
  </r>
  <r>
    <n v="637"/>
    <n v="35"/>
    <x v="0"/>
    <s v="Travel_Frequently"/>
    <n v="130"/>
    <s v="Research &amp; Development"/>
    <n v="25"/>
    <n v="4"/>
    <s v="Life Sciences"/>
    <n v="881"/>
    <n v="4"/>
    <s v="Female"/>
    <n v="96"/>
    <n v="3"/>
    <n v="1"/>
    <s v="Research Scientist"/>
    <n v="2"/>
    <s v="Divorced"/>
    <n v="2022"/>
    <n v="16612"/>
    <n v="1"/>
    <s v="Yes"/>
    <n v="19"/>
    <n v="3"/>
    <n v="1"/>
    <n v="80"/>
    <n v="1"/>
    <n v="10"/>
    <n v="3"/>
    <n v="2"/>
    <n v="10"/>
    <n v="2"/>
    <n v="7"/>
    <n v="8"/>
    <n v="1"/>
    <n v="0"/>
    <s v="35-44"/>
    <s v="Low"/>
    <s v="6-10 Years"/>
  </r>
  <r>
    <n v="638"/>
    <n v="32"/>
    <x v="1"/>
    <s v="Non-Travel"/>
    <n v="300"/>
    <s v="Research &amp; Development"/>
    <n v="1"/>
    <n v="3"/>
    <s v="Life Sciences"/>
    <n v="882"/>
    <n v="4"/>
    <s v="Male"/>
    <n v="61"/>
    <n v="3"/>
    <n v="1"/>
    <s v="Laboratory Technician"/>
    <n v="4"/>
    <s v="Divorced"/>
    <n v="2314"/>
    <n v="9148"/>
    <n v="0"/>
    <s v="No"/>
    <n v="12"/>
    <n v="3"/>
    <n v="2"/>
    <n v="80"/>
    <n v="1"/>
    <n v="4"/>
    <n v="2"/>
    <n v="3"/>
    <n v="3"/>
    <n v="0"/>
    <n v="0"/>
    <n v="2"/>
    <n v="0"/>
    <n v="1"/>
    <s v="25-34"/>
    <s v="Low"/>
    <s v="0-5 Years"/>
  </r>
  <r>
    <n v="639"/>
    <n v="25"/>
    <x v="1"/>
    <s v="Travel_Rarely"/>
    <n v="583"/>
    <s v="Sales"/>
    <n v="4"/>
    <n v="1"/>
    <s v="Marketing"/>
    <n v="885"/>
    <n v="3"/>
    <s v="Male"/>
    <n v="87"/>
    <n v="2"/>
    <n v="2"/>
    <s v="Sales Executive"/>
    <n v="1"/>
    <s v="Married"/>
    <n v="4256"/>
    <n v="18154"/>
    <n v="1"/>
    <s v="No"/>
    <n v="12"/>
    <n v="3"/>
    <n v="1"/>
    <n v="80"/>
    <n v="0"/>
    <n v="5"/>
    <n v="1"/>
    <n v="4"/>
    <n v="5"/>
    <n v="2"/>
    <n v="0"/>
    <n v="3"/>
    <n v="0"/>
    <n v="1"/>
    <s v="25-34"/>
    <s v="Low"/>
    <s v="0-5 Years"/>
  </r>
  <r>
    <n v="640"/>
    <n v="49"/>
    <x v="1"/>
    <s v="Travel_Rarely"/>
    <n v="1418"/>
    <s v="Research &amp; Development"/>
    <n v="1"/>
    <n v="3"/>
    <s v="Technical Degree"/>
    <n v="887"/>
    <n v="3"/>
    <s v="Female"/>
    <n v="36"/>
    <n v="3"/>
    <n v="1"/>
    <s v="Research Scientist"/>
    <n v="1"/>
    <s v="Married"/>
    <n v="3580"/>
    <n v="10554"/>
    <n v="2"/>
    <s v="No"/>
    <n v="16"/>
    <n v="3"/>
    <n v="2"/>
    <n v="80"/>
    <n v="1"/>
    <n v="7"/>
    <n v="2"/>
    <n v="3"/>
    <n v="4"/>
    <n v="2"/>
    <n v="0"/>
    <n v="2"/>
    <n v="0"/>
    <n v="1"/>
    <s v="45-54"/>
    <s v="Low"/>
    <s v="0-5 Years"/>
  </r>
  <r>
    <n v="641"/>
    <n v="24"/>
    <x v="1"/>
    <s v="Non-Travel"/>
    <n v="1269"/>
    <s v="Research &amp; Development"/>
    <n v="4"/>
    <n v="1"/>
    <s v="Life Sciences"/>
    <n v="888"/>
    <n v="1"/>
    <s v="Male"/>
    <n v="46"/>
    <n v="2"/>
    <n v="1"/>
    <s v="Laboratory Technician"/>
    <n v="4"/>
    <s v="Married"/>
    <n v="3162"/>
    <n v="10778"/>
    <n v="0"/>
    <s v="No"/>
    <n v="17"/>
    <n v="3"/>
    <n v="4"/>
    <n v="80"/>
    <n v="0"/>
    <n v="6"/>
    <n v="2"/>
    <n v="2"/>
    <n v="5"/>
    <n v="2"/>
    <n v="3"/>
    <n v="4"/>
    <n v="0"/>
    <n v="1"/>
    <s v="Under 25"/>
    <s v="Low"/>
    <s v="0-5 Years"/>
  </r>
  <r>
    <n v="642"/>
    <n v="32"/>
    <x v="1"/>
    <s v="Travel_Frequently"/>
    <n v="379"/>
    <s v="Sales"/>
    <n v="5"/>
    <n v="2"/>
    <s v="Life Sciences"/>
    <n v="889"/>
    <n v="2"/>
    <s v="Male"/>
    <n v="48"/>
    <n v="3"/>
    <n v="2"/>
    <s v="Sales Executive"/>
    <n v="2"/>
    <s v="Married"/>
    <n v="6524"/>
    <n v="8891"/>
    <n v="1"/>
    <s v="No"/>
    <n v="14"/>
    <n v="3"/>
    <n v="4"/>
    <n v="80"/>
    <n v="1"/>
    <n v="10"/>
    <n v="3"/>
    <n v="3"/>
    <n v="10"/>
    <n v="8"/>
    <n v="5"/>
    <n v="3"/>
    <n v="0"/>
    <n v="1"/>
    <s v="25-34"/>
    <s v="Medium"/>
    <s v="6-10 Years"/>
  </r>
  <r>
    <n v="643"/>
    <n v="38"/>
    <x v="1"/>
    <s v="Travel_Rarely"/>
    <n v="395"/>
    <s v="Sales"/>
    <n v="9"/>
    <n v="3"/>
    <s v="Marketing"/>
    <n v="893"/>
    <n v="2"/>
    <s v="Male"/>
    <n v="98"/>
    <n v="2"/>
    <n v="1"/>
    <s v="Sales Representative"/>
    <n v="2"/>
    <s v="Married"/>
    <n v="2899"/>
    <n v="12102"/>
    <n v="0"/>
    <s v="No"/>
    <n v="19"/>
    <n v="3"/>
    <n v="4"/>
    <n v="80"/>
    <n v="1"/>
    <n v="3"/>
    <n v="3"/>
    <n v="3"/>
    <n v="2"/>
    <n v="2"/>
    <n v="1"/>
    <n v="2"/>
    <n v="0"/>
    <n v="1"/>
    <s v="35-44"/>
    <s v="Low"/>
    <s v="0-5 Years"/>
  </r>
  <r>
    <n v="644"/>
    <n v="42"/>
    <x v="1"/>
    <s v="Travel_Rarely"/>
    <n v="1265"/>
    <s v="Research &amp; Development"/>
    <n v="3"/>
    <n v="3"/>
    <s v="Life Sciences"/>
    <n v="894"/>
    <n v="3"/>
    <s v="Female"/>
    <n v="95"/>
    <n v="4"/>
    <n v="2"/>
    <s v="Laboratory Technician"/>
    <n v="4"/>
    <s v="Married"/>
    <n v="5231"/>
    <n v="23726"/>
    <n v="2"/>
    <s v="Yes"/>
    <n v="13"/>
    <n v="3"/>
    <n v="2"/>
    <n v="80"/>
    <n v="1"/>
    <n v="17"/>
    <n v="1"/>
    <n v="2"/>
    <n v="5"/>
    <n v="3"/>
    <n v="1"/>
    <n v="3"/>
    <n v="0"/>
    <n v="1"/>
    <s v="35-44"/>
    <s v="Medium"/>
    <s v="0-5 Years"/>
  </r>
  <r>
    <n v="645"/>
    <n v="31"/>
    <x v="1"/>
    <s v="Travel_Rarely"/>
    <n v="1222"/>
    <s v="Research &amp; Development"/>
    <n v="11"/>
    <n v="4"/>
    <s v="Life Sciences"/>
    <n v="895"/>
    <n v="4"/>
    <s v="Male"/>
    <n v="48"/>
    <n v="3"/>
    <n v="1"/>
    <s v="Research Scientist"/>
    <n v="4"/>
    <s v="Married"/>
    <n v="2356"/>
    <n v="14871"/>
    <n v="3"/>
    <s v="Yes"/>
    <n v="19"/>
    <n v="3"/>
    <n v="2"/>
    <n v="80"/>
    <n v="1"/>
    <n v="8"/>
    <n v="2"/>
    <n v="3"/>
    <n v="6"/>
    <n v="4"/>
    <n v="0"/>
    <n v="2"/>
    <n v="0"/>
    <n v="1"/>
    <s v="25-34"/>
    <s v="Low"/>
    <s v="6-10 Years"/>
  </r>
  <r>
    <n v="646"/>
    <n v="29"/>
    <x v="0"/>
    <s v="Travel_Rarely"/>
    <n v="341"/>
    <s v="Sales"/>
    <n v="1"/>
    <n v="3"/>
    <s v="Medical"/>
    <n v="896"/>
    <n v="2"/>
    <s v="Female"/>
    <n v="48"/>
    <n v="2"/>
    <n v="1"/>
    <s v="Sales Representative"/>
    <n v="3"/>
    <s v="Divorced"/>
    <n v="2800"/>
    <n v="23522"/>
    <n v="6"/>
    <s v="Yes"/>
    <n v="19"/>
    <n v="3"/>
    <n v="3"/>
    <n v="80"/>
    <n v="3"/>
    <n v="5"/>
    <n v="3"/>
    <n v="3"/>
    <n v="3"/>
    <n v="2"/>
    <n v="0"/>
    <n v="2"/>
    <n v="1"/>
    <n v="0"/>
    <s v="25-34"/>
    <s v="Low"/>
    <s v="0-5 Years"/>
  </r>
  <r>
    <n v="647"/>
    <n v="53"/>
    <x v="1"/>
    <s v="Travel_Rarely"/>
    <n v="868"/>
    <s v="Sales"/>
    <n v="8"/>
    <n v="3"/>
    <s v="Marketing"/>
    <n v="897"/>
    <n v="1"/>
    <s v="Male"/>
    <n v="73"/>
    <n v="3"/>
    <n v="4"/>
    <s v="Sales Executive"/>
    <n v="4"/>
    <s v="Married"/>
    <n v="11836"/>
    <n v="22789"/>
    <n v="5"/>
    <s v="No"/>
    <n v="14"/>
    <n v="3"/>
    <n v="3"/>
    <n v="80"/>
    <n v="1"/>
    <n v="28"/>
    <n v="3"/>
    <n v="3"/>
    <n v="2"/>
    <n v="0"/>
    <n v="2"/>
    <n v="2"/>
    <n v="0"/>
    <n v="1"/>
    <s v="45-54"/>
    <s v="Upper Medium"/>
    <s v="0-5 Years"/>
  </r>
  <r>
    <n v="648"/>
    <n v="35"/>
    <x v="1"/>
    <s v="Travel_Rarely"/>
    <n v="672"/>
    <s v="Research &amp; Development"/>
    <n v="25"/>
    <n v="3"/>
    <s v="Technical Degree"/>
    <n v="899"/>
    <n v="4"/>
    <s v="Male"/>
    <n v="78"/>
    <n v="2"/>
    <n v="3"/>
    <s v="Manufacturing Director"/>
    <n v="2"/>
    <s v="Married"/>
    <n v="10903"/>
    <n v="9129"/>
    <n v="3"/>
    <s v="No"/>
    <n v="16"/>
    <n v="3"/>
    <n v="1"/>
    <n v="80"/>
    <n v="0"/>
    <n v="16"/>
    <n v="2"/>
    <n v="3"/>
    <n v="13"/>
    <n v="10"/>
    <n v="4"/>
    <n v="8"/>
    <n v="0"/>
    <n v="1"/>
    <s v="35-44"/>
    <s v="Upper Medium"/>
    <s v="11-20 Years"/>
  </r>
  <r>
    <n v="649"/>
    <n v="37"/>
    <x v="1"/>
    <s v="Travel_Frequently"/>
    <n v="1231"/>
    <s v="Sales"/>
    <n v="21"/>
    <n v="2"/>
    <s v="Medical"/>
    <n v="900"/>
    <n v="3"/>
    <s v="Female"/>
    <n v="54"/>
    <n v="3"/>
    <n v="1"/>
    <s v="Sales Representative"/>
    <n v="4"/>
    <s v="Married"/>
    <n v="2973"/>
    <n v="21222"/>
    <n v="5"/>
    <s v="No"/>
    <n v="15"/>
    <n v="3"/>
    <n v="2"/>
    <n v="80"/>
    <n v="1"/>
    <n v="10"/>
    <n v="3"/>
    <n v="3"/>
    <n v="5"/>
    <n v="4"/>
    <n v="0"/>
    <n v="0"/>
    <n v="0"/>
    <n v="1"/>
    <s v="35-44"/>
    <s v="Low"/>
    <s v="0-5 Years"/>
  </r>
  <r>
    <n v="650"/>
    <n v="53"/>
    <x v="1"/>
    <s v="Travel_Rarely"/>
    <n v="102"/>
    <s v="Research &amp; Development"/>
    <n v="23"/>
    <n v="4"/>
    <s v="Life Sciences"/>
    <n v="901"/>
    <n v="4"/>
    <s v="Female"/>
    <n v="72"/>
    <n v="3"/>
    <n v="4"/>
    <s v="Research Director"/>
    <n v="4"/>
    <s v="Single"/>
    <n v="14275"/>
    <n v="20206"/>
    <n v="6"/>
    <s v="No"/>
    <n v="18"/>
    <n v="3"/>
    <n v="3"/>
    <n v="80"/>
    <n v="0"/>
    <n v="33"/>
    <n v="0"/>
    <n v="3"/>
    <n v="12"/>
    <n v="9"/>
    <n v="3"/>
    <n v="8"/>
    <n v="0"/>
    <n v="1"/>
    <s v="45-54"/>
    <s v="Upper Medium"/>
    <s v="11-20 Years"/>
  </r>
  <r>
    <n v="651"/>
    <n v="43"/>
    <x v="1"/>
    <s v="Travel_Frequently"/>
    <n v="422"/>
    <s v="Research &amp; Development"/>
    <n v="1"/>
    <n v="3"/>
    <s v="Life Sciences"/>
    <n v="902"/>
    <n v="4"/>
    <s v="Female"/>
    <n v="33"/>
    <n v="3"/>
    <n v="2"/>
    <s v="Healthcare Representative"/>
    <n v="4"/>
    <s v="Married"/>
    <n v="5562"/>
    <n v="21782"/>
    <n v="4"/>
    <s v="No"/>
    <n v="13"/>
    <n v="3"/>
    <n v="2"/>
    <n v="80"/>
    <n v="1"/>
    <n v="12"/>
    <n v="2"/>
    <n v="2"/>
    <n v="5"/>
    <n v="2"/>
    <n v="2"/>
    <n v="2"/>
    <n v="0"/>
    <n v="1"/>
    <s v="35-44"/>
    <s v="Medium"/>
    <s v="0-5 Years"/>
  </r>
  <r>
    <n v="652"/>
    <n v="47"/>
    <x v="1"/>
    <s v="Travel_Rarely"/>
    <n v="249"/>
    <s v="Sales"/>
    <n v="2"/>
    <n v="2"/>
    <s v="Marketing"/>
    <n v="903"/>
    <n v="3"/>
    <s v="Female"/>
    <n v="35"/>
    <n v="3"/>
    <n v="2"/>
    <s v="Sales Executive"/>
    <n v="4"/>
    <s v="Married"/>
    <n v="4537"/>
    <n v="17783"/>
    <n v="0"/>
    <s v="Yes"/>
    <n v="22"/>
    <n v="4"/>
    <n v="1"/>
    <n v="80"/>
    <n v="1"/>
    <n v="8"/>
    <n v="2"/>
    <n v="3"/>
    <n v="7"/>
    <n v="6"/>
    <n v="7"/>
    <n v="7"/>
    <n v="0"/>
    <n v="1"/>
    <s v="45-54"/>
    <s v="Low"/>
    <s v="6-10 Years"/>
  </r>
  <r>
    <n v="653"/>
    <n v="37"/>
    <x v="1"/>
    <s v="Non-Travel"/>
    <n v="1252"/>
    <s v="Sales"/>
    <n v="19"/>
    <n v="2"/>
    <s v="Medical"/>
    <n v="904"/>
    <n v="1"/>
    <s v="Male"/>
    <n v="32"/>
    <n v="3"/>
    <n v="3"/>
    <s v="Sales Executive"/>
    <n v="2"/>
    <s v="Single"/>
    <n v="7642"/>
    <n v="4814"/>
    <n v="1"/>
    <s v="Yes"/>
    <n v="13"/>
    <n v="3"/>
    <n v="4"/>
    <n v="80"/>
    <n v="0"/>
    <n v="10"/>
    <n v="2"/>
    <n v="3"/>
    <n v="10"/>
    <n v="0"/>
    <n v="0"/>
    <n v="9"/>
    <n v="0"/>
    <n v="1"/>
    <s v="35-44"/>
    <s v="Medium"/>
    <s v="6-10 Years"/>
  </r>
  <r>
    <n v="654"/>
    <n v="50"/>
    <x v="1"/>
    <s v="Non-Travel"/>
    <n v="881"/>
    <s v="Research &amp; Development"/>
    <n v="2"/>
    <n v="4"/>
    <s v="Life Sciences"/>
    <n v="905"/>
    <n v="1"/>
    <s v="Male"/>
    <n v="98"/>
    <n v="3"/>
    <n v="4"/>
    <s v="Manager"/>
    <n v="1"/>
    <s v="Divorced"/>
    <n v="17924"/>
    <n v="4544"/>
    <n v="1"/>
    <s v="No"/>
    <n v="11"/>
    <n v="3"/>
    <n v="4"/>
    <n v="80"/>
    <n v="1"/>
    <n v="31"/>
    <n v="3"/>
    <n v="3"/>
    <n v="31"/>
    <n v="6"/>
    <n v="14"/>
    <n v="7"/>
    <n v="0"/>
    <n v="1"/>
    <s v="45-54"/>
    <s v="High"/>
    <s v="21+ Years"/>
  </r>
  <r>
    <n v="655"/>
    <n v="39"/>
    <x v="1"/>
    <s v="Travel_Rarely"/>
    <n v="1383"/>
    <s v="Human Resources"/>
    <n v="2"/>
    <n v="3"/>
    <s v="Life Sciences"/>
    <n v="909"/>
    <n v="4"/>
    <s v="Female"/>
    <n v="42"/>
    <n v="2"/>
    <n v="2"/>
    <s v="Human Resources"/>
    <n v="4"/>
    <s v="Married"/>
    <n v="5204"/>
    <n v="7790"/>
    <n v="8"/>
    <s v="No"/>
    <n v="11"/>
    <n v="3"/>
    <n v="3"/>
    <n v="80"/>
    <n v="2"/>
    <n v="13"/>
    <n v="2"/>
    <n v="3"/>
    <n v="5"/>
    <n v="4"/>
    <n v="0"/>
    <n v="4"/>
    <n v="0"/>
    <n v="1"/>
    <s v="35-44"/>
    <s v="Medium"/>
    <s v="0-5 Years"/>
  </r>
  <r>
    <n v="656"/>
    <n v="33"/>
    <x v="1"/>
    <s v="Travel_Rarely"/>
    <n v="1075"/>
    <s v="Human Resources"/>
    <n v="3"/>
    <n v="2"/>
    <s v="Human Resources"/>
    <n v="910"/>
    <n v="4"/>
    <s v="Male"/>
    <n v="57"/>
    <n v="3"/>
    <n v="1"/>
    <s v="Human Resources"/>
    <n v="2"/>
    <s v="Divorced"/>
    <n v="2277"/>
    <n v="22650"/>
    <n v="3"/>
    <s v="Yes"/>
    <n v="11"/>
    <n v="3"/>
    <n v="3"/>
    <n v="80"/>
    <n v="1"/>
    <n v="7"/>
    <n v="4"/>
    <n v="4"/>
    <n v="4"/>
    <n v="3"/>
    <n v="0"/>
    <n v="3"/>
    <n v="0"/>
    <n v="1"/>
    <s v="25-34"/>
    <s v="Low"/>
    <s v="0-5 Years"/>
  </r>
  <r>
    <n v="657"/>
    <n v="32"/>
    <x v="0"/>
    <s v="Travel_Rarely"/>
    <n v="374"/>
    <s v="Research &amp; Development"/>
    <n v="25"/>
    <n v="4"/>
    <s v="Life Sciences"/>
    <n v="911"/>
    <n v="1"/>
    <s v="Male"/>
    <n v="87"/>
    <n v="3"/>
    <n v="1"/>
    <s v="Laboratory Technician"/>
    <n v="4"/>
    <s v="Single"/>
    <n v="2795"/>
    <n v="18016"/>
    <n v="1"/>
    <s v="Yes"/>
    <n v="24"/>
    <n v="4"/>
    <n v="3"/>
    <n v="80"/>
    <n v="0"/>
    <n v="1"/>
    <n v="2"/>
    <n v="1"/>
    <n v="1"/>
    <n v="0"/>
    <n v="0"/>
    <n v="1"/>
    <n v="1"/>
    <n v="0"/>
    <s v="25-34"/>
    <s v="Low"/>
    <s v="0-5 Years"/>
  </r>
  <r>
    <n v="658"/>
    <n v="29"/>
    <x v="1"/>
    <s v="Travel_Rarely"/>
    <n v="1086"/>
    <s v="Research &amp; Development"/>
    <n v="7"/>
    <n v="1"/>
    <s v="Medical"/>
    <n v="912"/>
    <n v="1"/>
    <s v="Female"/>
    <n v="62"/>
    <n v="2"/>
    <n v="1"/>
    <s v="Laboratory Technician"/>
    <n v="4"/>
    <s v="Divorced"/>
    <n v="2532"/>
    <n v="6054"/>
    <n v="6"/>
    <s v="No"/>
    <n v="14"/>
    <n v="3"/>
    <n v="3"/>
    <n v="80"/>
    <n v="3"/>
    <n v="8"/>
    <n v="5"/>
    <n v="3"/>
    <n v="4"/>
    <n v="3"/>
    <n v="0"/>
    <n v="3"/>
    <n v="0"/>
    <n v="1"/>
    <s v="25-34"/>
    <s v="Low"/>
    <s v="0-5 Years"/>
  </r>
  <r>
    <n v="659"/>
    <n v="44"/>
    <x v="1"/>
    <s v="Travel_Rarely"/>
    <n v="661"/>
    <s v="Research &amp; Development"/>
    <n v="9"/>
    <n v="2"/>
    <s v="Life Sciences"/>
    <n v="913"/>
    <n v="2"/>
    <s v="Male"/>
    <n v="61"/>
    <n v="3"/>
    <n v="1"/>
    <s v="Research Scientist"/>
    <n v="1"/>
    <s v="Married"/>
    <n v="2559"/>
    <n v="7508"/>
    <n v="1"/>
    <s v="Yes"/>
    <n v="13"/>
    <n v="3"/>
    <n v="4"/>
    <n v="80"/>
    <n v="0"/>
    <n v="8"/>
    <n v="0"/>
    <n v="3"/>
    <n v="8"/>
    <n v="7"/>
    <n v="7"/>
    <n v="1"/>
    <n v="0"/>
    <n v="1"/>
    <s v="35-44"/>
    <s v="Low"/>
    <s v="6-10 Years"/>
  </r>
  <r>
    <n v="660"/>
    <n v="28"/>
    <x v="1"/>
    <s v="Travel_Rarely"/>
    <n v="821"/>
    <s v="Sales"/>
    <n v="5"/>
    <n v="4"/>
    <s v="Medical"/>
    <n v="916"/>
    <n v="1"/>
    <s v="Male"/>
    <n v="98"/>
    <n v="3"/>
    <n v="2"/>
    <s v="Sales Executive"/>
    <n v="4"/>
    <s v="Single"/>
    <n v="4908"/>
    <n v="24252"/>
    <n v="1"/>
    <s v="No"/>
    <n v="14"/>
    <n v="3"/>
    <n v="2"/>
    <n v="80"/>
    <n v="0"/>
    <n v="4"/>
    <n v="3"/>
    <n v="3"/>
    <n v="4"/>
    <n v="2"/>
    <n v="0"/>
    <n v="2"/>
    <n v="0"/>
    <n v="1"/>
    <s v="25-34"/>
    <s v="Low"/>
    <s v="0-5 Years"/>
  </r>
  <r>
    <n v="661"/>
    <n v="58"/>
    <x v="0"/>
    <s v="Travel_Frequently"/>
    <n v="781"/>
    <s v="Research &amp; Development"/>
    <n v="2"/>
    <n v="1"/>
    <s v="Life Sciences"/>
    <n v="918"/>
    <n v="4"/>
    <s v="Male"/>
    <n v="57"/>
    <n v="2"/>
    <n v="1"/>
    <s v="Laboratory Technician"/>
    <n v="4"/>
    <s v="Divorced"/>
    <n v="2380"/>
    <n v="13384"/>
    <n v="9"/>
    <s v="Yes"/>
    <n v="14"/>
    <n v="3"/>
    <n v="4"/>
    <n v="80"/>
    <n v="1"/>
    <n v="3"/>
    <n v="3"/>
    <n v="2"/>
    <n v="1"/>
    <n v="0"/>
    <n v="0"/>
    <n v="0"/>
    <n v="1"/>
    <n v="0"/>
    <s v="55+"/>
    <s v="Low"/>
    <s v="0-5 Years"/>
  </r>
  <r>
    <n v="662"/>
    <n v="43"/>
    <x v="1"/>
    <s v="Travel_Rarely"/>
    <n v="177"/>
    <s v="Research &amp; Development"/>
    <n v="8"/>
    <n v="3"/>
    <s v="Life Sciences"/>
    <n v="920"/>
    <n v="1"/>
    <s v="Female"/>
    <n v="55"/>
    <n v="3"/>
    <n v="2"/>
    <s v="Manufacturing Director"/>
    <n v="2"/>
    <s v="Divorced"/>
    <n v="4765"/>
    <n v="23814"/>
    <n v="4"/>
    <s v="No"/>
    <n v="21"/>
    <n v="4"/>
    <n v="3"/>
    <n v="80"/>
    <n v="1"/>
    <n v="4"/>
    <n v="2"/>
    <n v="4"/>
    <n v="1"/>
    <n v="0"/>
    <n v="0"/>
    <n v="0"/>
    <n v="0"/>
    <n v="1"/>
    <s v="35-44"/>
    <s v="Low"/>
    <s v="0-5 Years"/>
  </r>
  <r>
    <n v="663"/>
    <n v="20"/>
    <x v="0"/>
    <s v="Travel_Rarely"/>
    <n v="500"/>
    <s v="Sales"/>
    <n v="2"/>
    <n v="3"/>
    <s v="Medical"/>
    <n v="922"/>
    <n v="3"/>
    <s v="Female"/>
    <n v="49"/>
    <n v="2"/>
    <n v="1"/>
    <s v="Sales Representative"/>
    <n v="3"/>
    <s v="Single"/>
    <n v="2044"/>
    <n v="22052"/>
    <n v="1"/>
    <s v="No"/>
    <n v="13"/>
    <n v="3"/>
    <n v="4"/>
    <n v="80"/>
    <n v="0"/>
    <n v="2"/>
    <n v="3"/>
    <n v="2"/>
    <n v="2"/>
    <n v="2"/>
    <n v="0"/>
    <n v="2"/>
    <n v="1"/>
    <n v="0"/>
    <s v="Under 25"/>
    <s v="Low"/>
    <s v="0-5 Years"/>
  </r>
  <r>
    <n v="664"/>
    <n v="21"/>
    <x v="0"/>
    <s v="Travel_Rarely"/>
    <n v="1427"/>
    <s v="Research &amp; Development"/>
    <n v="18"/>
    <n v="1"/>
    <s v="Other"/>
    <n v="923"/>
    <n v="4"/>
    <s v="Female"/>
    <n v="65"/>
    <n v="3"/>
    <n v="1"/>
    <s v="Research Scientist"/>
    <n v="4"/>
    <s v="Single"/>
    <n v="2693"/>
    <n v="8870"/>
    <n v="1"/>
    <s v="No"/>
    <n v="19"/>
    <n v="3"/>
    <n v="1"/>
    <n v="80"/>
    <n v="0"/>
    <n v="1"/>
    <n v="3"/>
    <n v="2"/>
    <n v="1"/>
    <n v="0"/>
    <n v="0"/>
    <n v="0"/>
    <n v="1"/>
    <n v="0"/>
    <s v="Under 25"/>
    <s v="Low"/>
    <s v="0-5 Years"/>
  </r>
  <r>
    <n v="665"/>
    <n v="36"/>
    <x v="1"/>
    <s v="Travel_Rarely"/>
    <n v="1425"/>
    <s v="Research &amp; Development"/>
    <n v="14"/>
    <n v="1"/>
    <s v="Life Sciences"/>
    <n v="924"/>
    <n v="3"/>
    <s v="Male"/>
    <n v="68"/>
    <n v="3"/>
    <n v="2"/>
    <s v="Healthcare Representative"/>
    <n v="4"/>
    <s v="Married"/>
    <n v="6586"/>
    <n v="4821"/>
    <n v="0"/>
    <s v="Yes"/>
    <n v="17"/>
    <n v="3"/>
    <n v="1"/>
    <n v="80"/>
    <n v="1"/>
    <n v="17"/>
    <n v="2"/>
    <n v="2"/>
    <n v="16"/>
    <n v="8"/>
    <n v="4"/>
    <n v="11"/>
    <n v="0"/>
    <n v="1"/>
    <s v="35-44"/>
    <s v="Medium"/>
    <s v="11-20 Years"/>
  </r>
  <r>
    <n v="666"/>
    <n v="47"/>
    <x v="1"/>
    <s v="Travel_Rarely"/>
    <n v="1454"/>
    <s v="Sales"/>
    <n v="2"/>
    <n v="4"/>
    <s v="Life Sciences"/>
    <n v="925"/>
    <n v="4"/>
    <s v="Female"/>
    <n v="65"/>
    <n v="2"/>
    <n v="1"/>
    <s v="Sales Representative"/>
    <n v="4"/>
    <s v="Single"/>
    <n v="3294"/>
    <n v="13137"/>
    <n v="1"/>
    <s v="Yes"/>
    <n v="18"/>
    <n v="3"/>
    <n v="1"/>
    <n v="80"/>
    <n v="0"/>
    <n v="3"/>
    <n v="3"/>
    <n v="2"/>
    <n v="3"/>
    <n v="2"/>
    <n v="1"/>
    <n v="2"/>
    <n v="0"/>
    <n v="1"/>
    <s v="45-54"/>
    <s v="Low"/>
    <s v="0-5 Years"/>
  </r>
  <r>
    <n v="667"/>
    <n v="22"/>
    <x v="0"/>
    <s v="Travel_Rarely"/>
    <n v="617"/>
    <s v="Research &amp; Development"/>
    <n v="3"/>
    <n v="1"/>
    <s v="Life Sciences"/>
    <n v="926"/>
    <n v="2"/>
    <s v="Female"/>
    <n v="34"/>
    <n v="3"/>
    <n v="2"/>
    <s v="Manufacturing Director"/>
    <n v="3"/>
    <s v="Married"/>
    <n v="4171"/>
    <n v="10022"/>
    <n v="0"/>
    <s v="Yes"/>
    <n v="19"/>
    <n v="3"/>
    <n v="1"/>
    <n v="80"/>
    <n v="1"/>
    <n v="4"/>
    <n v="3"/>
    <n v="4"/>
    <n v="3"/>
    <n v="2"/>
    <n v="0"/>
    <n v="2"/>
    <n v="1"/>
    <n v="0"/>
    <s v="Under 25"/>
    <s v="Low"/>
    <s v="0-5 Years"/>
  </r>
  <r>
    <n v="668"/>
    <n v="41"/>
    <x v="0"/>
    <s v="Travel_Rarely"/>
    <n v="1085"/>
    <s v="Research &amp; Development"/>
    <n v="2"/>
    <n v="4"/>
    <s v="Life Sciences"/>
    <n v="927"/>
    <n v="2"/>
    <s v="Female"/>
    <n v="57"/>
    <n v="1"/>
    <n v="1"/>
    <s v="Laboratory Technician"/>
    <n v="4"/>
    <s v="Divorced"/>
    <n v="2778"/>
    <n v="17725"/>
    <n v="4"/>
    <s v="Yes"/>
    <n v="13"/>
    <n v="3"/>
    <n v="3"/>
    <n v="80"/>
    <n v="1"/>
    <n v="10"/>
    <n v="1"/>
    <n v="2"/>
    <n v="7"/>
    <n v="7"/>
    <n v="1"/>
    <n v="0"/>
    <n v="1"/>
    <n v="0"/>
    <s v="35-44"/>
    <s v="Low"/>
    <s v="6-10 Years"/>
  </r>
  <r>
    <n v="669"/>
    <n v="28"/>
    <x v="1"/>
    <s v="Travel_Rarely"/>
    <n v="995"/>
    <s v="Research &amp; Development"/>
    <n v="9"/>
    <n v="3"/>
    <s v="Medical"/>
    <n v="930"/>
    <n v="3"/>
    <s v="Female"/>
    <n v="77"/>
    <n v="3"/>
    <n v="1"/>
    <s v="Research Scientist"/>
    <n v="3"/>
    <s v="Divorced"/>
    <n v="2377"/>
    <n v="9834"/>
    <n v="5"/>
    <s v="No"/>
    <n v="18"/>
    <n v="3"/>
    <n v="2"/>
    <n v="80"/>
    <n v="1"/>
    <n v="6"/>
    <n v="2"/>
    <n v="3"/>
    <n v="2"/>
    <n v="2"/>
    <n v="2"/>
    <n v="2"/>
    <n v="0"/>
    <n v="1"/>
    <s v="25-34"/>
    <s v="Low"/>
    <s v="0-5 Years"/>
  </r>
  <r>
    <n v="670"/>
    <n v="39"/>
    <x v="0"/>
    <s v="Travel_Rarely"/>
    <n v="1122"/>
    <s v="Research &amp; Development"/>
    <n v="6"/>
    <n v="3"/>
    <s v="Medical"/>
    <n v="932"/>
    <n v="4"/>
    <s v="Male"/>
    <n v="70"/>
    <n v="3"/>
    <n v="1"/>
    <s v="Laboratory Technician"/>
    <n v="1"/>
    <s v="Married"/>
    <n v="2404"/>
    <n v="4303"/>
    <n v="7"/>
    <s v="Yes"/>
    <n v="21"/>
    <n v="4"/>
    <n v="4"/>
    <n v="80"/>
    <n v="0"/>
    <n v="8"/>
    <n v="2"/>
    <n v="1"/>
    <n v="2"/>
    <n v="2"/>
    <n v="2"/>
    <n v="2"/>
    <n v="1"/>
    <n v="0"/>
    <s v="35-44"/>
    <s v="Low"/>
    <s v="0-5 Years"/>
  </r>
  <r>
    <n v="671"/>
    <n v="27"/>
    <x v="1"/>
    <s v="Travel_Rarely"/>
    <n v="618"/>
    <s v="Research &amp; Development"/>
    <n v="4"/>
    <n v="3"/>
    <s v="Life Sciences"/>
    <n v="933"/>
    <n v="2"/>
    <s v="Female"/>
    <n v="76"/>
    <n v="3"/>
    <n v="1"/>
    <s v="Research Scientist"/>
    <n v="3"/>
    <s v="Single"/>
    <n v="2318"/>
    <n v="17808"/>
    <n v="1"/>
    <s v="No"/>
    <n v="19"/>
    <n v="3"/>
    <n v="3"/>
    <n v="80"/>
    <n v="0"/>
    <n v="1"/>
    <n v="2"/>
    <n v="3"/>
    <n v="1"/>
    <n v="1"/>
    <n v="0"/>
    <n v="0"/>
    <n v="0"/>
    <n v="1"/>
    <s v="25-34"/>
    <s v="Low"/>
    <s v="0-5 Years"/>
  </r>
  <r>
    <n v="672"/>
    <n v="34"/>
    <x v="1"/>
    <s v="Travel_Rarely"/>
    <n v="546"/>
    <s v="Research &amp; Development"/>
    <n v="10"/>
    <n v="3"/>
    <s v="Life Sciences"/>
    <n v="934"/>
    <n v="2"/>
    <s v="Male"/>
    <n v="83"/>
    <n v="3"/>
    <n v="1"/>
    <s v="Laboratory Technician"/>
    <n v="2"/>
    <s v="Divorced"/>
    <n v="2008"/>
    <n v="6896"/>
    <n v="1"/>
    <s v="No"/>
    <n v="14"/>
    <n v="3"/>
    <n v="2"/>
    <n v="80"/>
    <n v="2"/>
    <n v="1"/>
    <n v="3"/>
    <n v="3"/>
    <n v="1"/>
    <n v="0"/>
    <n v="1"/>
    <n v="0"/>
    <n v="0"/>
    <n v="1"/>
    <s v="25-34"/>
    <s v="Low"/>
    <s v="0-5 Years"/>
  </r>
  <r>
    <n v="673"/>
    <n v="42"/>
    <x v="1"/>
    <s v="Travel_Rarely"/>
    <n v="462"/>
    <s v="Sales"/>
    <n v="14"/>
    <n v="2"/>
    <s v="Medical"/>
    <n v="936"/>
    <n v="3"/>
    <s v="Female"/>
    <n v="68"/>
    <n v="2"/>
    <n v="2"/>
    <s v="Sales Executive"/>
    <n v="3"/>
    <s v="Single"/>
    <n v="6244"/>
    <n v="7824"/>
    <n v="7"/>
    <s v="No"/>
    <n v="17"/>
    <n v="3"/>
    <n v="1"/>
    <n v="80"/>
    <n v="0"/>
    <n v="10"/>
    <n v="6"/>
    <n v="3"/>
    <n v="5"/>
    <n v="4"/>
    <n v="0"/>
    <n v="3"/>
    <n v="0"/>
    <n v="1"/>
    <s v="35-44"/>
    <s v="Medium"/>
    <s v="0-5 Years"/>
  </r>
  <r>
    <n v="674"/>
    <n v="33"/>
    <x v="1"/>
    <s v="Travel_Rarely"/>
    <n v="1198"/>
    <s v="Research &amp; Development"/>
    <n v="1"/>
    <n v="4"/>
    <s v="Other"/>
    <n v="939"/>
    <n v="3"/>
    <s v="Male"/>
    <n v="100"/>
    <n v="2"/>
    <n v="1"/>
    <s v="Research Scientist"/>
    <n v="1"/>
    <s v="Single"/>
    <n v="2799"/>
    <n v="3339"/>
    <n v="3"/>
    <s v="Yes"/>
    <n v="11"/>
    <n v="3"/>
    <n v="2"/>
    <n v="80"/>
    <n v="0"/>
    <n v="6"/>
    <n v="1"/>
    <n v="3"/>
    <n v="3"/>
    <n v="2"/>
    <n v="0"/>
    <n v="2"/>
    <n v="0"/>
    <n v="1"/>
    <s v="25-34"/>
    <s v="Low"/>
    <s v="0-5 Years"/>
  </r>
  <r>
    <n v="675"/>
    <n v="58"/>
    <x v="1"/>
    <s v="Travel_Rarely"/>
    <n v="1272"/>
    <s v="Research &amp; Development"/>
    <n v="5"/>
    <n v="3"/>
    <s v="Technical Degree"/>
    <n v="940"/>
    <n v="3"/>
    <s v="Female"/>
    <n v="37"/>
    <n v="2"/>
    <n v="3"/>
    <s v="Healthcare Representative"/>
    <n v="2"/>
    <s v="Divorced"/>
    <n v="10552"/>
    <n v="9255"/>
    <n v="2"/>
    <s v="Yes"/>
    <n v="13"/>
    <n v="3"/>
    <n v="4"/>
    <n v="80"/>
    <n v="1"/>
    <n v="24"/>
    <n v="3"/>
    <n v="3"/>
    <n v="6"/>
    <n v="0"/>
    <n v="0"/>
    <n v="4"/>
    <n v="0"/>
    <n v="1"/>
    <s v="55+"/>
    <s v="Upper Medium"/>
    <s v="6-10 Years"/>
  </r>
  <r>
    <n v="676"/>
    <n v="31"/>
    <x v="1"/>
    <s v="Travel_Rarely"/>
    <n v="154"/>
    <s v="Sales"/>
    <n v="7"/>
    <n v="4"/>
    <s v="Life Sciences"/>
    <n v="941"/>
    <n v="2"/>
    <s v="Male"/>
    <n v="41"/>
    <n v="2"/>
    <n v="1"/>
    <s v="Sales Representative"/>
    <n v="3"/>
    <s v="Married"/>
    <n v="2329"/>
    <n v="11737"/>
    <n v="3"/>
    <s v="No"/>
    <n v="15"/>
    <n v="3"/>
    <n v="2"/>
    <n v="80"/>
    <n v="0"/>
    <n v="13"/>
    <n v="2"/>
    <n v="4"/>
    <n v="7"/>
    <n v="7"/>
    <n v="5"/>
    <n v="2"/>
    <n v="0"/>
    <n v="1"/>
    <s v="25-34"/>
    <s v="Low"/>
    <s v="6-10 Years"/>
  </r>
  <r>
    <n v="677"/>
    <n v="35"/>
    <x v="1"/>
    <s v="Travel_Rarely"/>
    <n v="1137"/>
    <s v="Research &amp; Development"/>
    <n v="21"/>
    <n v="1"/>
    <s v="Life Sciences"/>
    <n v="942"/>
    <n v="4"/>
    <s v="Female"/>
    <n v="51"/>
    <n v="3"/>
    <n v="2"/>
    <s v="Healthcare Representative"/>
    <n v="4"/>
    <s v="Married"/>
    <n v="4014"/>
    <n v="19170"/>
    <n v="1"/>
    <s v="Yes"/>
    <n v="25"/>
    <n v="4"/>
    <n v="4"/>
    <n v="80"/>
    <n v="1"/>
    <n v="10"/>
    <n v="2"/>
    <n v="1"/>
    <n v="10"/>
    <n v="6"/>
    <n v="0"/>
    <n v="7"/>
    <n v="0"/>
    <n v="1"/>
    <s v="35-44"/>
    <s v="Low"/>
    <s v="6-10 Years"/>
  </r>
  <r>
    <n v="678"/>
    <n v="49"/>
    <x v="1"/>
    <s v="Travel_Rarely"/>
    <n v="527"/>
    <s v="Research &amp; Development"/>
    <n v="8"/>
    <n v="2"/>
    <s v="Other"/>
    <n v="944"/>
    <n v="1"/>
    <s v="Female"/>
    <n v="51"/>
    <n v="3"/>
    <n v="3"/>
    <s v="Laboratory Technician"/>
    <n v="2"/>
    <s v="Married"/>
    <n v="7403"/>
    <n v="22477"/>
    <n v="4"/>
    <s v="No"/>
    <n v="11"/>
    <n v="3"/>
    <n v="3"/>
    <n v="80"/>
    <n v="1"/>
    <n v="29"/>
    <n v="3"/>
    <n v="2"/>
    <n v="26"/>
    <n v="9"/>
    <n v="1"/>
    <n v="7"/>
    <n v="0"/>
    <n v="1"/>
    <s v="45-54"/>
    <s v="Medium"/>
    <s v="21+ Years"/>
  </r>
  <r>
    <n v="679"/>
    <n v="48"/>
    <x v="1"/>
    <s v="Travel_Rarely"/>
    <n v="1469"/>
    <s v="Research &amp; Development"/>
    <n v="20"/>
    <n v="4"/>
    <s v="Medical"/>
    <n v="945"/>
    <n v="4"/>
    <s v="Male"/>
    <n v="51"/>
    <n v="3"/>
    <n v="1"/>
    <s v="Research Scientist"/>
    <n v="3"/>
    <s v="Married"/>
    <n v="2259"/>
    <n v="5543"/>
    <n v="4"/>
    <s v="No"/>
    <n v="17"/>
    <n v="3"/>
    <n v="1"/>
    <n v="80"/>
    <n v="2"/>
    <n v="13"/>
    <n v="2"/>
    <n v="2"/>
    <n v="0"/>
    <n v="0"/>
    <n v="0"/>
    <n v="0"/>
    <n v="0"/>
    <n v="1"/>
    <s v="45-54"/>
    <s v="Low"/>
    <s v="0-5 Years"/>
  </r>
  <r>
    <n v="680"/>
    <n v="31"/>
    <x v="1"/>
    <s v="Non-Travel"/>
    <n v="1188"/>
    <s v="Sales"/>
    <n v="20"/>
    <n v="2"/>
    <s v="Marketing"/>
    <n v="947"/>
    <n v="4"/>
    <s v="Female"/>
    <n v="45"/>
    <n v="3"/>
    <n v="2"/>
    <s v="Sales Executive"/>
    <n v="3"/>
    <s v="Married"/>
    <n v="6932"/>
    <n v="24406"/>
    <n v="1"/>
    <s v="No"/>
    <n v="13"/>
    <n v="3"/>
    <n v="4"/>
    <n v="80"/>
    <n v="1"/>
    <n v="9"/>
    <n v="2"/>
    <n v="2"/>
    <n v="9"/>
    <n v="8"/>
    <n v="0"/>
    <n v="0"/>
    <n v="0"/>
    <n v="1"/>
    <s v="25-34"/>
    <s v="Medium"/>
    <s v="6-10 Years"/>
  </r>
  <r>
    <n v="681"/>
    <n v="36"/>
    <x v="1"/>
    <s v="Travel_Rarely"/>
    <n v="188"/>
    <s v="Research &amp; Development"/>
    <n v="7"/>
    <n v="4"/>
    <s v="Other"/>
    <n v="949"/>
    <n v="2"/>
    <s v="Male"/>
    <n v="65"/>
    <n v="3"/>
    <n v="1"/>
    <s v="Research Scientist"/>
    <n v="4"/>
    <s v="Single"/>
    <n v="4678"/>
    <n v="23293"/>
    <n v="2"/>
    <s v="No"/>
    <n v="18"/>
    <n v="3"/>
    <n v="3"/>
    <n v="80"/>
    <n v="0"/>
    <n v="8"/>
    <n v="6"/>
    <n v="3"/>
    <n v="6"/>
    <n v="2"/>
    <n v="0"/>
    <n v="1"/>
    <n v="0"/>
    <n v="1"/>
    <s v="35-44"/>
    <s v="Low"/>
    <s v="6-10 Years"/>
  </r>
  <r>
    <n v="682"/>
    <n v="38"/>
    <x v="1"/>
    <s v="Travel_Rarely"/>
    <n v="1333"/>
    <s v="Research &amp; Development"/>
    <n v="1"/>
    <n v="3"/>
    <s v="Technical Degree"/>
    <n v="950"/>
    <n v="4"/>
    <s v="Female"/>
    <n v="80"/>
    <n v="3"/>
    <n v="3"/>
    <s v="Research Director"/>
    <n v="1"/>
    <s v="Married"/>
    <n v="13582"/>
    <n v="16292"/>
    <n v="1"/>
    <s v="No"/>
    <n v="13"/>
    <n v="3"/>
    <n v="2"/>
    <n v="80"/>
    <n v="1"/>
    <n v="15"/>
    <n v="3"/>
    <n v="3"/>
    <n v="15"/>
    <n v="12"/>
    <n v="5"/>
    <n v="11"/>
    <n v="0"/>
    <n v="1"/>
    <s v="35-44"/>
    <s v="Upper Medium"/>
    <s v="11-20 Years"/>
  </r>
  <r>
    <n v="683"/>
    <n v="32"/>
    <x v="1"/>
    <s v="Non-Travel"/>
    <n v="1184"/>
    <s v="Research &amp; Development"/>
    <n v="1"/>
    <n v="3"/>
    <s v="Life Sciences"/>
    <n v="951"/>
    <n v="3"/>
    <s v="Female"/>
    <n v="70"/>
    <n v="2"/>
    <n v="1"/>
    <s v="Laboratory Technician"/>
    <n v="2"/>
    <s v="Married"/>
    <n v="2332"/>
    <n v="3974"/>
    <n v="6"/>
    <s v="No"/>
    <n v="20"/>
    <n v="4"/>
    <n v="3"/>
    <n v="80"/>
    <n v="0"/>
    <n v="5"/>
    <n v="3"/>
    <n v="3"/>
    <n v="3"/>
    <n v="0"/>
    <n v="0"/>
    <n v="2"/>
    <n v="0"/>
    <n v="1"/>
    <s v="25-34"/>
    <s v="Low"/>
    <s v="0-5 Years"/>
  </r>
  <r>
    <n v="684"/>
    <n v="25"/>
    <x v="0"/>
    <s v="Travel_Rarely"/>
    <n v="867"/>
    <s v="Sales"/>
    <n v="19"/>
    <n v="2"/>
    <s v="Marketing"/>
    <n v="952"/>
    <n v="3"/>
    <s v="Male"/>
    <n v="36"/>
    <n v="2"/>
    <n v="1"/>
    <s v="Sales Representative"/>
    <n v="2"/>
    <s v="Married"/>
    <n v="2413"/>
    <n v="18798"/>
    <n v="1"/>
    <s v="Yes"/>
    <n v="18"/>
    <n v="3"/>
    <n v="3"/>
    <n v="80"/>
    <n v="3"/>
    <n v="1"/>
    <n v="2"/>
    <n v="3"/>
    <n v="1"/>
    <n v="0"/>
    <n v="0"/>
    <n v="0"/>
    <n v="1"/>
    <n v="0"/>
    <s v="25-34"/>
    <s v="Low"/>
    <s v="0-5 Years"/>
  </r>
  <r>
    <n v="685"/>
    <n v="40"/>
    <x v="1"/>
    <s v="Travel_Rarely"/>
    <n v="658"/>
    <s v="Sales"/>
    <n v="10"/>
    <n v="4"/>
    <s v="Marketing"/>
    <n v="954"/>
    <n v="1"/>
    <s v="Male"/>
    <n v="67"/>
    <n v="2"/>
    <n v="3"/>
    <s v="Sales Executive"/>
    <n v="2"/>
    <s v="Divorced"/>
    <n v="9705"/>
    <n v="20652"/>
    <n v="2"/>
    <s v="No"/>
    <n v="12"/>
    <n v="3"/>
    <n v="2"/>
    <n v="80"/>
    <n v="1"/>
    <n v="11"/>
    <n v="2"/>
    <n v="2"/>
    <n v="1"/>
    <n v="0"/>
    <n v="0"/>
    <n v="0"/>
    <n v="0"/>
    <n v="1"/>
    <s v="35-44"/>
    <s v="Medium"/>
    <s v="0-5 Years"/>
  </r>
  <r>
    <n v="686"/>
    <n v="26"/>
    <x v="1"/>
    <s v="Travel_Frequently"/>
    <n v="1283"/>
    <s v="Sales"/>
    <n v="1"/>
    <n v="3"/>
    <s v="Medical"/>
    <n v="956"/>
    <n v="3"/>
    <s v="Male"/>
    <n v="52"/>
    <n v="2"/>
    <n v="2"/>
    <s v="Sales Executive"/>
    <n v="1"/>
    <s v="Single"/>
    <n v="4294"/>
    <n v="11148"/>
    <n v="1"/>
    <s v="No"/>
    <n v="12"/>
    <n v="3"/>
    <n v="2"/>
    <n v="80"/>
    <n v="0"/>
    <n v="7"/>
    <n v="2"/>
    <n v="3"/>
    <n v="7"/>
    <n v="7"/>
    <n v="0"/>
    <n v="7"/>
    <n v="0"/>
    <n v="1"/>
    <s v="25-34"/>
    <s v="Low"/>
    <s v="6-10 Years"/>
  </r>
  <r>
    <n v="687"/>
    <n v="41"/>
    <x v="1"/>
    <s v="Travel_Rarely"/>
    <n v="263"/>
    <s v="Research &amp; Development"/>
    <n v="6"/>
    <n v="3"/>
    <s v="Medical"/>
    <n v="957"/>
    <n v="4"/>
    <s v="Male"/>
    <n v="59"/>
    <n v="3"/>
    <n v="1"/>
    <s v="Laboratory Technician"/>
    <n v="1"/>
    <s v="Single"/>
    <n v="4721"/>
    <n v="3119"/>
    <n v="2"/>
    <s v="Yes"/>
    <n v="13"/>
    <n v="3"/>
    <n v="3"/>
    <n v="80"/>
    <n v="0"/>
    <n v="20"/>
    <n v="3"/>
    <n v="3"/>
    <n v="18"/>
    <n v="13"/>
    <n v="2"/>
    <n v="17"/>
    <n v="0"/>
    <n v="1"/>
    <s v="35-44"/>
    <s v="Low"/>
    <s v="11-20 Years"/>
  </r>
  <r>
    <n v="688"/>
    <n v="36"/>
    <x v="1"/>
    <s v="Travel_Rarely"/>
    <n v="938"/>
    <s v="Research &amp; Development"/>
    <n v="2"/>
    <n v="4"/>
    <s v="Medical"/>
    <n v="958"/>
    <n v="3"/>
    <s v="Male"/>
    <n v="79"/>
    <n v="3"/>
    <n v="1"/>
    <s v="Laboratory Technician"/>
    <n v="3"/>
    <s v="Single"/>
    <n v="2519"/>
    <n v="12287"/>
    <n v="4"/>
    <s v="No"/>
    <n v="21"/>
    <n v="4"/>
    <n v="3"/>
    <n v="80"/>
    <n v="0"/>
    <n v="16"/>
    <n v="6"/>
    <n v="3"/>
    <n v="11"/>
    <n v="8"/>
    <n v="3"/>
    <n v="9"/>
    <n v="0"/>
    <n v="1"/>
    <s v="35-44"/>
    <s v="Low"/>
    <s v="11-20 Years"/>
  </r>
  <r>
    <n v="689"/>
    <n v="19"/>
    <x v="0"/>
    <s v="Travel_Rarely"/>
    <n v="419"/>
    <s v="Sales"/>
    <n v="21"/>
    <n v="3"/>
    <s v="Other"/>
    <n v="959"/>
    <n v="4"/>
    <s v="Male"/>
    <n v="37"/>
    <n v="2"/>
    <n v="1"/>
    <s v="Sales Representative"/>
    <n v="2"/>
    <s v="Single"/>
    <n v="2121"/>
    <n v="9947"/>
    <n v="1"/>
    <s v="Yes"/>
    <n v="13"/>
    <n v="3"/>
    <n v="2"/>
    <n v="80"/>
    <n v="0"/>
    <n v="1"/>
    <n v="3"/>
    <n v="4"/>
    <n v="1"/>
    <n v="0"/>
    <n v="0"/>
    <n v="0"/>
    <n v="1"/>
    <n v="0"/>
    <s v="Under 25"/>
    <s v="Low"/>
    <s v="0-5 Years"/>
  </r>
  <r>
    <n v="690"/>
    <n v="20"/>
    <x v="0"/>
    <s v="Travel_Rarely"/>
    <n v="129"/>
    <s v="Research &amp; Development"/>
    <n v="4"/>
    <n v="3"/>
    <s v="Technical Degree"/>
    <n v="960"/>
    <n v="1"/>
    <s v="Male"/>
    <n v="84"/>
    <n v="3"/>
    <n v="1"/>
    <s v="Laboratory Technician"/>
    <n v="1"/>
    <s v="Single"/>
    <n v="2973"/>
    <n v="13008"/>
    <n v="1"/>
    <s v="No"/>
    <n v="19"/>
    <n v="3"/>
    <n v="2"/>
    <n v="80"/>
    <n v="0"/>
    <n v="1"/>
    <n v="2"/>
    <n v="3"/>
    <n v="1"/>
    <n v="0"/>
    <n v="0"/>
    <n v="0"/>
    <n v="1"/>
    <n v="0"/>
    <s v="Under 25"/>
    <s v="Low"/>
    <s v="0-5 Years"/>
  </r>
  <r>
    <n v="691"/>
    <n v="31"/>
    <x v="1"/>
    <s v="Travel_Rarely"/>
    <n v="616"/>
    <s v="Research &amp; Development"/>
    <n v="12"/>
    <n v="3"/>
    <s v="Medical"/>
    <n v="961"/>
    <n v="4"/>
    <s v="Female"/>
    <n v="41"/>
    <n v="3"/>
    <n v="2"/>
    <s v="Healthcare Representative"/>
    <n v="4"/>
    <s v="Married"/>
    <n v="5855"/>
    <n v="17369"/>
    <n v="0"/>
    <s v="Yes"/>
    <n v="11"/>
    <n v="3"/>
    <n v="3"/>
    <n v="80"/>
    <n v="2"/>
    <n v="10"/>
    <n v="2"/>
    <n v="1"/>
    <n v="9"/>
    <n v="7"/>
    <n v="8"/>
    <n v="5"/>
    <n v="0"/>
    <n v="1"/>
    <s v="25-34"/>
    <s v="Medium"/>
    <s v="6-10 Years"/>
  </r>
  <r>
    <n v="692"/>
    <n v="40"/>
    <x v="1"/>
    <s v="Travel_Frequently"/>
    <n v="1469"/>
    <s v="Research &amp; Development"/>
    <n v="9"/>
    <n v="4"/>
    <s v="Medical"/>
    <n v="964"/>
    <n v="4"/>
    <s v="Male"/>
    <n v="35"/>
    <n v="3"/>
    <n v="1"/>
    <s v="Research Scientist"/>
    <n v="2"/>
    <s v="Divorced"/>
    <n v="3617"/>
    <n v="25063"/>
    <n v="8"/>
    <s v="Yes"/>
    <n v="14"/>
    <n v="3"/>
    <n v="4"/>
    <n v="80"/>
    <n v="1"/>
    <n v="3"/>
    <n v="2"/>
    <n v="3"/>
    <n v="1"/>
    <n v="1"/>
    <n v="0"/>
    <n v="0"/>
    <n v="0"/>
    <n v="1"/>
    <s v="35-44"/>
    <s v="Low"/>
    <s v="0-5 Years"/>
  </r>
  <r>
    <n v="693"/>
    <n v="32"/>
    <x v="1"/>
    <s v="Travel_Rarely"/>
    <n v="498"/>
    <s v="Research &amp; Development"/>
    <n v="3"/>
    <n v="4"/>
    <s v="Medical"/>
    <n v="966"/>
    <n v="3"/>
    <s v="Female"/>
    <n v="93"/>
    <n v="3"/>
    <n v="2"/>
    <s v="Manufacturing Director"/>
    <n v="1"/>
    <s v="Married"/>
    <n v="6725"/>
    <n v="13554"/>
    <n v="1"/>
    <s v="No"/>
    <n v="12"/>
    <n v="3"/>
    <n v="3"/>
    <n v="80"/>
    <n v="1"/>
    <n v="8"/>
    <n v="2"/>
    <n v="4"/>
    <n v="8"/>
    <n v="7"/>
    <n v="6"/>
    <n v="3"/>
    <n v="0"/>
    <n v="1"/>
    <s v="25-34"/>
    <s v="Medium"/>
    <s v="6-10 Years"/>
  </r>
  <r>
    <n v="694"/>
    <n v="36"/>
    <x v="0"/>
    <s v="Travel_Rarely"/>
    <n v="530"/>
    <s v="Sales"/>
    <n v="3"/>
    <n v="1"/>
    <s v="Life Sciences"/>
    <n v="967"/>
    <n v="3"/>
    <s v="Male"/>
    <n v="51"/>
    <n v="2"/>
    <n v="3"/>
    <s v="Sales Executive"/>
    <n v="4"/>
    <s v="Married"/>
    <n v="10325"/>
    <n v="5518"/>
    <n v="1"/>
    <s v="Yes"/>
    <n v="11"/>
    <n v="3"/>
    <n v="1"/>
    <n v="80"/>
    <n v="1"/>
    <n v="16"/>
    <n v="6"/>
    <n v="3"/>
    <n v="16"/>
    <n v="7"/>
    <n v="3"/>
    <n v="7"/>
    <n v="1"/>
    <n v="0"/>
    <s v="35-44"/>
    <s v="Upper Medium"/>
    <s v="11-20 Years"/>
  </r>
  <r>
    <n v="695"/>
    <n v="33"/>
    <x v="1"/>
    <s v="Travel_Rarely"/>
    <n v="1069"/>
    <s v="Research &amp; Development"/>
    <n v="1"/>
    <n v="3"/>
    <s v="Life Sciences"/>
    <n v="969"/>
    <n v="2"/>
    <s v="Female"/>
    <n v="42"/>
    <n v="2"/>
    <n v="2"/>
    <s v="Healthcare Representative"/>
    <n v="4"/>
    <s v="Single"/>
    <n v="6949"/>
    <n v="12291"/>
    <n v="0"/>
    <s v="No"/>
    <n v="14"/>
    <n v="3"/>
    <n v="1"/>
    <n v="80"/>
    <n v="0"/>
    <n v="6"/>
    <n v="3"/>
    <n v="3"/>
    <n v="5"/>
    <n v="0"/>
    <n v="1"/>
    <n v="4"/>
    <n v="0"/>
    <n v="1"/>
    <s v="25-34"/>
    <s v="Medium"/>
    <s v="0-5 Years"/>
  </r>
  <r>
    <n v="696"/>
    <n v="37"/>
    <x v="0"/>
    <s v="Travel_Rarely"/>
    <n v="625"/>
    <s v="Sales"/>
    <n v="1"/>
    <n v="4"/>
    <s v="Life Sciences"/>
    <n v="970"/>
    <n v="1"/>
    <s v="Male"/>
    <n v="46"/>
    <n v="2"/>
    <n v="3"/>
    <s v="Sales Executive"/>
    <n v="3"/>
    <s v="Married"/>
    <n v="10609"/>
    <n v="14922"/>
    <n v="5"/>
    <s v="No"/>
    <n v="11"/>
    <n v="3"/>
    <n v="3"/>
    <n v="80"/>
    <n v="0"/>
    <n v="17"/>
    <n v="2"/>
    <n v="1"/>
    <n v="14"/>
    <n v="1"/>
    <n v="11"/>
    <n v="7"/>
    <n v="1"/>
    <n v="0"/>
    <s v="35-44"/>
    <s v="Upper Medium"/>
    <s v="11-20 Years"/>
  </r>
  <r>
    <n v="697"/>
    <n v="45"/>
    <x v="1"/>
    <s v="Non-Travel"/>
    <n v="805"/>
    <s v="Research &amp; Development"/>
    <n v="4"/>
    <n v="2"/>
    <s v="Life Sciences"/>
    <n v="972"/>
    <n v="3"/>
    <s v="Male"/>
    <n v="57"/>
    <n v="3"/>
    <n v="2"/>
    <s v="Laboratory Technician"/>
    <n v="2"/>
    <s v="Married"/>
    <n v="4447"/>
    <n v="23163"/>
    <n v="1"/>
    <s v="No"/>
    <n v="12"/>
    <n v="3"/>
    <n v="2"/>
    <n v="80"/>
    <n v="0"/>
    <n v="9"/>
    <n v="5"/>
    <n v="2"/>
    <n v="9"/>
    <n v="7"/>
    <n v="0"/>
    <n v="8"/>
    <n v="0"/>
    <n v="1"/>
    <s v="45-54"/>
    <s v="Low"/>
    <s v="6-10 Years"/>
  </r>
  <r>
    <n v="698"/>
    <n v="29"/>
    <x v="1"/>
    <s v="Travel_Frequently"/>
    <n v="1404"/>
    <s v="Sales"/>
    <n v="20"/>
    <n v="3"/>
    <s v="Technical Degree"/>
    <n v="974"/>
    <n v="3"/>
    <s v="Female"/>
    <n v="84"/>
    <n v="3"/>
    <n v="1"/>
    <s v="Sales Representative"/>
    <n v="4"/>
    <s v="Married"/>
    <n v="2157"/>
    <n v="18203"/>
    <n v="1"/>
    <s v="No"/>
    <n v="15"/>
    <n v="3"/>
    <n v="2"/>
    <n v="80"/>
    <n v="1"/>
    <n v="3"/>
    <n v="5"/>
    <n v="3"/>
    <n v="3"/>
    <n v="1"/>
    <n v="0"/>
    <n v="2"/>
    <n v="0"/>
    <n v="1"/>
    <s v="25-34"/>
    <s v="Low"/>
    <s v="0-5 Years"/>
  </r>
  <r>
    <n v="699"/>
    <n v="35"/>
    <x v="1"/>
    <s v="Travel_Rarely"/>
    <n v="1219"/>
    <s v="Sales"/>
    <n v="18"/>
    <n v="3"/>
    <s v="Medical"/>
    <n v="975"/>
    <n v="3"/>
    <s v="Female"/>
    <n v="86"/>
    <n v="3"/>
    <n v="2"/>
    <s v="Sales Executive"/>
    <n v="3"/>
    <s v="Married"/>
    <n v="4601"/>
    <n v="6179"/>
    <n v="1"/>
    <s v="No"/>
    <n v="16"/>
    <n v="3"/>
    <n v="2"/>
    <n v="80"/>
    <n v="0"/>
    <n v="5"/>
    <n v="3"/>
    <n v="3"/>
    <n v="5"/>
    <n v="2"/>
    <n v="1"/>
    <n v="0"/>
    <n v="0"/>
    <n v="1"/>
    <s v="35-44"/>
    <s v="Low"/>
    <s v="0-5 Years"/>
  </r>
  <r>
    <n v="700"/>
    <n v="52"/>
    <x v="1"/>
    <s v="Travel_Rarely"/>
    <n v="1053"/>
    <s v="Research &amp; Development"/>
    <n v="1"/>
    <n v="2"/>
    <s v="Life Sciences"/>
    <n v="976"/>
    <n v="4"/>
    <s v="Male"/>
    <n v="70"/>
    <n v="3"/>
    <n v="4"/>
    <s v="Manager"/>
    <n v="4"/>
    <s v="Married"/>
    <n v="17099"/>
    <n v="13829"/>
    <n v="2"/>
    <s v="No"/>
    <n v="15"/>
    <n v="3"/>
    <n v="2"/>
    <n v="80"/>
    <n v="1"/>
    <n v="26"/>
    <n v="2"/>
    <n v="2"/>
    <n v="9"/>
    <n v="8"/>
    <n v="7"/>
    <n v="8"/>
    <n v="0"/>
    <n v="1"/>
    <s v="45-54"/>
    <s v="High"/>
    <s v="6-10 Years"/>
  </r>
  <r>
    <n v="701"/>
    <n v="58"/>
    <x v="0"/>
    <s v="Travel_Rarely"/>
    <n v="289"/>
    <s v="Research &amp; Development"/>
    <n v="2"/>
    <n v="3"/>
    <s v="Technical Degree"/>
    <n v="977"/>
    <n v="4"/>
    <s v="Male"/>
    <n v="51"/>
    <n v="3"/>
    <n v="1"/>
    <s v="Research Scientist"/>
    <n v="3"/>
    <s v="Single"/>
    <n v="2479"/>
    <n v="26227"/>
    <n v="4"/>
    <s v="No"/>
    <n v="24"/>
    <n v="4"/>
    <n v="1"/>
    <n v="80"/>
    <n v="0"/>
    <n v="7"/>
    <n v="4"/>
    <n v="3"/>
    <n v="1"/>
    <n v="0"/>
    <n v="0"/>
    <n v="0"/>
    <n v="1"/>
    <n v="0"/>
    <s v="55+"/>
    <s v="Low"/>
    <s v="0-5 Years"/>
  </r>
  <r>
    <n v="702"/>
    <n v="53"/>
    <x v="1"/>
    <s v="Travel_Rarely"/>
    <n v="1376"/>
    <s v="Sales"/>
    <n v="2"/>
    <n v="2"/>
    <s v="Medical"/>
    <n v="981"/>
    <n v="3"/>
    <s v="Male"/>
    <n v="45"/>
    <n v="3"/>
    <n v="4"/>
    <s v="Manager"/>
    <n v="3"/>
    <s v="Divorced"/>
    <n v="14852"/>
    <n v="13938"/>
    <n v="6"/>
    <s v="No"/>
    <n v="13"/>
    <n v="3"/>
    <n v="3"/>
    <n v="80"/>
    <n v="1"/>
    <n v="22"/>
    <n v="3"/>
    <n v="4"/>
    <n v="17"/>
    <n v="13"/>
    <n v="15"/>
    <n v="2"/>
    <n v="0"/>
    <n v="1"/>
    <s v="45-54"/>
    <s v="Upper Medium"/>
    <s v="11-20 Years"/>
  </r>
  <r>
    <n v="703"/>
    <n v="30"/>
    <x v="1"/>
    <s v="Travel_Rarely"/>
    <n v="231"/>
    <s v="Sales"/>
    <n v="8"/>
    <n v="2"/>
    <s v="Other"/>
    <n v="982"/>
    <n v="3"/>
    <s v="Male"/>
    <n v="62"/>
    <n v="3"/>
    <n v="3"/>
    <s v="Sales Executive"/>
    <n v="3"/>
    <s v="Divorced"/>
    <n v="7264"/>
    <n v="9977"/>
    <n v="5"/>
    <s v="No"/>
    <n v="11"/>
    <n v="3"/>
    <n v="1"/>
    <n v="80"/>
    <n v="1"/>
    <n v="10"/>
    <n v="2"/>
    <n v="4"/>
    <n v="8"/>
    <n v="4"/>
    <n v="7"/>
    <n v="7"/>
    <n v="0"/>
    <n v="1"/>
    <s v="25-34"/>
    <s v="Medium"/>
    <s v="6-10 Years"/>
  </r>
  <r>
    <n v="704"/>
    <n v="38"/>
    <x v="1"/>
    <s v="Non-Travel"/>
    <n v="152"/>
    <s v="Sales"/>
    <n v="10"/>
    <n v="3"/>
    <s v="Technical Degree"/>
    <n v="983"/>
    <n v="3"/>
    <s v="Female"/>
    <n v="85"/>
    <n v="3"/>
    <n v="2"/>
    <s v="Sales Executive"/>
    <n v="4"/>
    <s v="Single"/>
    <n v="5666"/>
    <n v="19899"/>
    <n v="1"/>
    <s v="Yes"/>
    <n v="13"/>
    <n v="3"/>
    <n v="2"/>
    <n v="80"/>
    <n v="0"/>
    <n v="6"/>
    <n v="1"/>
    <n v="3"/>
    <n v="5"/>
    <n v="3"/>
    <n v="1"/>
    <n v="3"/>
    <n v="0"/>
    <n v="1"/>
    <s v="35-44"/>
    <s v="Medium"/>
    <s v="0-5 Years"/>
  </r>
  <r>
    <n v="705"/>
    <n v="35"/>
    <x v="1"/>
    <s v="Travel_Rarely"/>
    <n v="882"/>
    <s v="Sales"/>
    <n v="3"/>
    <n v="4"/>
    <s v="Life Sciences"/>
    <n v="984"/>
    <n v="4"/>
    <s v="Male"/>
    <n v="92"/>
    <n v="3"/>
    <n v="3"/>
    <s v="Sales Executive"/>
    <n v="4"/>
    <s v="Divorced"/>
    <n v="7823"/>
    <n v="6812"/>
    <n v="6"/>
    <s v="No"/>
    <n v="13"/>
    <n v="3"/>
    <n v="2"/>
    <n v="80"/>
    <n v="1"/>
    <n v="12"/>
    <n v="2"/>
    <n v="3"/>
    <n v="10"/>
    <n v="9"/>
    <n v="0"/>
    <n v="8"/>
    <n v="0"/>
    <n v="1"/>
    <s v="35-44"/>
    <s v="Medium"/>
    <s v="6-10 Years"/>
  </r>
  <r>
    <n v="706"/>
    <n v="39"/>
    <x v="1"/>
    <s v="Travel_Rarely"/>
    <n v="903"/>
    <s v="Sales"/>
    <n v="2"/>
    <n v="5"/>
    <s v="Life Sciences"/>
    <n v="985"/>
    <n v="1"/>
    <s v="Male"/>
    <n v="41"/>
    <n v="4"/>
    <n v="3"/>
    <s v="Sales Executive"/>
    <n v="3"/>
    <s v="Single"/>
    <n v="7880"/>
    <n v="2560"/>
    <n v="0"/>
    <s v="No"/>
    <n v="18"/>
    <n v="3"/>
    <n v="4"/>
    <n v="80"/>
    <n v="0"/>
    <n v="9"/>
    <n v="3"/>
    <n v="3"/>
    <n v="8"/>
    <n v="7"/>
    <n v="0"/>
    <n v="7"/>
    <n v="0"/>
    <n v="1"/>
    <s v="35-44"/>
    <s v="Medium"/>
    <s v="6-10 Years"/>
  </r>
  <r>
    <n v="707"/>
    <n v="40"/>
    <x v="0"/>
    <s v="Non-Travel"/>
    <n v="1479"/>
    <s v="Sales"/>
    <n v="24"/>
    <n v="3"/>
    <s v="Life Sciences"/>
    <n v="986"/>
    <n v="2"/>
    <s v="Female"/>
    <n v="100"/>
    <n v="4"/>
    <n v="4"/>
    <s v="Sales Executive"/>
    <n v="2"/>
    <s v="Single"/>
    <n v="13194"/>
    <n v="17071"/>
    <n v="4"/>
    <s v="Yes"/>
    <n v="16"/>
    <n v="3"/>
    <n v="4"/>
    <n v="80"/>
    <n v="0"/>
    <n v="22"/>
    <n v="2"/>
    <n v="2"/>
    <n v="1"/>
    <n v="0"/>
    <n v="0"/>
    <n v="0"/>
    <n v="1"/>
    <n v="0"/>
    <s v="35-44"/>
    <s v="Upper Medium"/>
    <s v="0-5 Years"/>
  </r>
  <r>
    <n v="708"/>
    <n v="47"/>
    <x v="1"/>
    <s v="Travel_Frequently"/>
    <n v="1379"/>
    <s v="Research &amp; Development"/>
    <n v="16"/>
    <n v="4"/>
    <s v="Medical"/>
    <n v="987"/>
    <n v="3"/>
    <s v="Male"/>
    <n v="64"/>
    <n v="4"/>
    <n v="2"/>
    <s v="Manufacturing Director"/>
    <n v="3"/>
    <s v="Divorced"/>
    <n v="5067"/>
    <n v="6759"/>
    <n v="1"/>
    <s v="Yes"/>
    <n v="19"/>
    <n v="3"/>
    <n v="3"/>
    <n v="80"/>
    <n v="0"/>
    <n v="20"/>
    <n v="3"/>
    <n v="4"/>
    <n v="19"/>
    <n v="10"/>
    <n v="2"/>
    <n v="7"/>
    <n v="0"/>
    <n v="1"/>
    <s v="45-54"/>
    <s v="Medium"/>
    <s v="11-20 Years"/>
  </r>
  <r>
    <n v="709"/>
    <n v="36"/>
    <x v="1"/>
    <s v="Non-Travel"/>
    <n v="1229"/>
    <s v="Sales"/>
    <n v="8"/>
    <n v="4"/>
    <s v="Technical Degree"/>
    <n v="990"/>
    <n v="1"/>
    <s v="Male"/>
    <n v="84"/>
    <n v="3"/>
    <n v="2"/>
    <s v="Sales Executive"/>
    <n v="4"/>
    <s v="Divorced"/>
    <n v="5079"/>
    <n v="25952"/>
    <n v="4"/>
    <s v="No"/>
    <n v="13"/>
    <n v="3"/>
    <n v="4"/>
    <n v="80"/>
    <n v="2"/>
    <n v="12"/>
    <n v="3"/>
    <n v="3"/>
    <n v="7"/>
    <n v="7"/>
    <n v="0"/>
    <n v="7"/>
    <n v="0"/>
    <n v="1"/>
    <s v="35-44"/>
    <s v="Medium"/>
    <s v="6-10 Years"/>
  </r>
  <r>
    <n v="710"/>
    <n v="31"/>
    <x v="0"/>
    <s v="Non-Travel"/>
    <n v="335"/>
    <s v="Research &amp; Development"/>
    <n v="9"/>
    <n v="2"/>
    <s v="Medical"/>
    <n v="991"/>
    <n v="3"/>
    <s v="Male"/>
    <n v="46"/>
    <n v="2"/>
    <n v="1"/>
    <s v="Research Scientist"/>
    <n v="1"/>
    <s v="Single"/>
    <n v="2321"/>
    <n v="10322"/>
    <n v="0"/>
    <s v="Yes"/>
    <n v="22"/>
    <n v="4"/>
    <n v="1"/>
    <n v="80"/>
    <n v="0"/>
    <n v="4"/>
    <n v="0"/>
    <n v="3"/>
    <n v="3"/>
    <n v="2"/>
    <n v="1"/>
    <n v="2"/>
    <n v="1"/>
    <n v="0"/>
    <s v="25-34"/>
    <s v="Low"/>
    <s v="0-5 Years"/>
  </r>
  <r>
    <n v="711"/>
    <n v="33"/>
    <x v="1"/>
    <s v="Non-Travel"/>
    <n v="722"/>
    <s v="Sales"/>
    <n v="17"/>
    <n v="3"/>
    <s v="Life Sciences"/>
    <n v="992"/>
    <n v="4"/>
    <s v="Male"/>
    <n v="38"/>
    <n v="3"/>
    <n v="4"/>
    <s v="Manager"/>
    <n v="3"/>
    <s v="Single"/>
    <n v="17444"/>
    <n v="20489"/>
    <n v="1"/>
    <s v="No"/>
    <n v="11"/>
    <n v="3"/>
    <n v="4"/>
    <n v="80"/>
    <n v="0"/>
    <n v="10"/>
    <n v="2"/>
    <n v="3"/>
    <n v="10"/>
    <n v="8"/>
    <n v="6"/>
    <n v="0"/>
    <n v="0"/>
    <n v="1"/>
    <s v="25-34"/>
    <s v="High"/>
    <s v="6-10 Years"/>
  </r>
  <r>
    <n v="712"/>
    <n v="29"/>
    <x v="0"/>
    <s v="Travel_Rarely"/>
    <n v="906"/>
    <s v="Research &amp; Development"/>
    <n v="10"/>
    <n v="3"/>
    <s v="Life Sciences"/>
    <n v="994"/>
    <n v="4"/>
    <s v="Female"/>
    <n v="92"/>
    <n v="2"/>
    <n v="1"/>
    <s v="Research Scientist"/>
    <n v="1"/>
    <s v="Single"/>
    <n v="2404"/>
    <n v="11479"/>
    <n v="6"/>
    <s v="Yes"/>
    <n v="20"/>
    <n v="4"/>
    <n v="3"/>
    <n v="80"/>
    <n v="0"/>
    <n v="3"/>
    <n v="5"/>
    <n v="3"/>
    <n v="0"/>
    <n v="0"/>
    <n v="0"/>
    <n v="0"/>
    <n v="1"/>
    <n v="0"/>
    <s v="25-34"/>
    <s v="Low"/>
    <s v="0-5 Years"/>
  </r>
  <r>
    <n v="713"/>
    <n v="33"/>
    <x v="1"/>
    <s v="Travel_Rarely"/>
    <n v="461"/>
    <s v="Research &amp; Development"/>
    <n v="13"/>
    <n v="1"/>
    <s v="Life Sciences"/>
    <n v="995"/>
    <n v="2"/>
    <s v="Female"/>
    <n v="53"/>
    <n v="3"/>
    <n v="1"/>
    <s v="Research Scientist"/>
    <n v="4"/>
    <s v="Single"/>
    <n v="3452"/>
    <n v="17241"/>
    <n v="3"/>
    <s v="No"/>
    <n v="18"/>
    <n v="3"/>
    <n v="1"/>
    <n v="80"/>
    <n v="0"/>
    <n v="5"/>
    <n v="4"/>
    <n v="3"/>
    <n v="3"/>
    <n v="2"/>
    <n v="0"/>
    <n v="2"/>
    <n v="0"/>
    <n v="1"/>
    <s v="25-34"/>
    <s v="Low"/>
    <s v="0-5 Years"/>
  </r>
  <r>
    <n v="714"/>
    <n v="45"/>
    <x v="1"/>
    <s v="Travel_Rarely"/>
    <n v="974"/>
    <s v="Research &amp; Development"/>
    <n v="1"/>
    <n v="4"/>
    <s v="Medical"/>
    <n v="996"/>
    <n v="4"/>
    <s v="Female"/>
    <n v="91"/>
    <n v="3"/>
    <n v="1"/>
    <s v="Laboratory Technician"/>
    <n v="4"/>
    <s v="Divorced"/>
    <n v="2270"/>
    <n v="11005"/>
    <n v="3"/>
    <s v="No"/>
    <n v="14"/>
    <n v="3"/>
    <n v="4"/>
    <n v="80"/>
    <n v="2"/>
    <n v="8"/>
    <n v="2"/>
    <n v="3"/>
    <n v="5"/>
    <n v="3"/>
    <n v="0"/>
    <n v="2"/>
    <n v="0"/>
    <n v="1"/>
    <s v="45-54"/>
    <s v="Low"/>
    <s v="0-5 Years"/>
  </r>
  <r>
    <n v="715"/>
    <n v="50"/>
    <x v="1"/>
    <s v="Travel_Rarely"/>
    <n v="1126"/>
    <s v="Research &amp; Development"/>
    <n v="1"/>
    <n v="2"/>
    <s v="Medical"/>
    <n v="997"/>
    <n v="4"/>
    <s v="Male"/>
    <n v="66"/>
    <n v="3"/>
    <n v="4"/>
    <s v="Research Director"/>
    <n v="4"/>
    <s v="Divorced"/>
    <n v="17399"/>
    <n v="6615"/>
    <n v="9"/>
    <s v="No"/>
    <n v="22"/>
    <n v="4"/>
    <n v="3"/>
    <n v="80"/>
    <n v="1"/>
    <n v="32"/>
    <n v="1"/>
    <n v="2"/>
    <n v="5"/>
    <n v="4"/>
    <n v="1"/>
    <n v="3"/>
    <n v="0"/>
    <n v="1"/>
    <s v="45-54"/>
    <s v="High"/>
    <s v="0-5 Years"/>
  </r>
  <r>
    <n v="716"/>
    <n v="33"/>
    <x v="1"/>
    <s v="Travel_Frequently"/>
    <n v="827"/>
    <s v="Research &amp; Development"/>
    <n v="1"/>
    <n v="4"/>
    <s v="Other"/>
    <n v="998"/>
    <n v="3"/>
    <s v="Female"/>
    <n v="84"/>
    <n v="4"/>
    <n v="2"/>
    <s v="Healthcare Representative"/>
    <n v="2"/>
    <s v="Married"/>
    <n v="5488"/>
    <n v="20161"/>
    <n v="1"/>
    <s v="Yes"/>
    <n v="13"/>
    <n v="3"/>
    <n v="1"/>
    <n v="80"/>
    <n v="1"/>
    <n v="6"/>
    <n v="2"/>
    <n v="3"/>
    <n v="6"/>
    <n v="5"/>
    <n v="1"/>
    <n v="2"/>
    <n v="0"/>
    <n v="1"/>
    <s v="25-34"/>
    <s v="Medium"/>
    <s v="6-10 Years"/>
  </r>
  <r>
    <n v="717"/>
    <n v="41"/>
    <x v="1"/>
    <s v="Travel_Frequently"/>
    <n v="840"/>
    <s v="Research &amp; Development"/>
    <n v="9"/>
    <n v="3"/>
    <s v="Medical"/>
    <n v="999"/>
    <n v="1"/>
    <s v="Male"/>
    <n v="64"/>
    <n v="3"/>
    <n v="5"/>
    <s v="Research Director"/>
    <n v="3"/>
    <s v="Divorced"/>
    <n v="19419"/>
    <n v="3735"/>
    <n v="2"/>
    <s v="No"/>
    <n v="17"/>
    <n v="3"/>
    <n v="2"/>
    <n v="80"/>
    <n v="1"/>
    <n v="21"/>
    <n v="2"/>
    <n v="4"/>
    <n v="18"/>
    <n v="16"/>
    <n v="0"/>
    <n v="11"/>
    <n v="0"/>
    <n v="1"/>
    <s v="35-44"/>
    <s v="High"/>
    <s v="11-20 Years"/>
  </r>
  <r>
    <n v="718"/>
    <n v="27"/>
    <x v="1"/>
    <s v="Travel_Rarely"/>
    <n v="1134"/>
    <s v="Research &amp; Development"/>
    <n v="16"/>
    <n v="4"/>
    <s v="Technical Degree"/>
    <n v="1001"/>
    <n v="3"/>
    <s v="Female"/>
    <n v="37"/>
    <n v="3"/>
    <n v="1"/>
    <s v="Laboratory Technician"/>
    <n v="2"/>
    <s v="Married"/>
    <n v="2811"/>
    <n v="12086"/>
    <n v="9"/>
    <s v="No"/>
    <n v="14"/>
    <n v="3"/>
    <n v="2"/>
    <n v="80"/>
    <n v="1"/>
    <n v="4"/>
    <n v="2"/>
    <n v="3"/>
    <n v="2"/>
    <n v="2"/>
    <n v="2"/>
    <n v="2"/>
    <n v="0"/>
    <n v="1"/>
    <s v="25-34"/>
    <s v="Low"/>
    <s v="0-5 Years"/>
  </r>
  <r>
    <n v="719"/>
    <n v="45"/>
    <x v="1"/>
    <s v="Non-Travel"/>
    <n v="248"/>
    <s v="Research &amp; Development"/>
    <n v="23"/>
    <n v="2"/>
    <s v="Life Sciences"/>
    <n v="1002"/>
    <n v="4"/>
    <s v="Male"/>
    <n v="42"/>
    <n v="3"/>
    <n v="2"/>
    <s v="Laboratory Technician"/>
    <n v="1"/>
    <s v="Married"/>
    <n v="3633"/>
    <n v="14039"/>
    <n v="1"/>
    <s v="Yes"/>
    <n v="15"/>
    <n v="3"/>
    <n v="3"/>
    <n v="80"/>
    <n v="1"/>
    <n v="9"/>
    <n v="2"/>
    <n v="3"/>
    <n v="9"/>
    <n v="8"/>
    <n v="0"/>
    <n v="8"/>
    <n v="0"/>
    <n v="1"/>
    <s v="45-54"/>
    <s v="Low"/>
    <s v="6-10 Years"/>
  </r>
  <r>
    <n v="720"/>
    <n v="47"/>
    <x v="1"/>
    <s v="Travel_Rarely"/>
    <n v="955"/>
    <s v="Sales"/>
    <n v="4"/>
    <n v="2"/>
    <s v="Life Sciences"/>
    <n v="1003"/>
    <n v="4"/>
    <s v="Female"/>
    <n v="83"/>
    <n v="3"/>
    <n v="2"/>
    <s v="Sales Executive"/>
    <n v="4"/>
    <s v="Single"/>
    <n v="4163"/>
    <n v="8571"/>
    <n v="1"/>
    <s v="Yes"/>
    <n v="17"/>
    <n v="3"/>
    <n v="3"/>
    <n v="80"/>
    <n v="0"/>
    <n v="9"/>
    <n v="0"/>
    <n v="3"/>
    <n v="9"/>
    <n v="0"/>
    <n v="0"/>
    <n v="7"/>
    <n v="0"/>
    <n v="1"/>
    <s v="45-54"/>
    <s v="Low"/>
    <s v="6-10 Years"/>
  </r>
  <r>
    <n v="721"/>
    <n v="30"/>
    <x v="0"/>
    <s v="Travel_Rarely"/>
    <n v="138"/>
    <s v="Research &amp; Development"/>
    <n v="22"/>
    <n v="3"/>
    <s v="Life Sciences"/>
    <n v="1004"/>
    <n v="1"/>
    <s v="Female"/>
    <n v="48"/>
    <n v="3"/>
    <n v="1"/>
    <s v="Research Scientist"/>
    <n v="3"/>
    <s v="Married"/>
    <n v="2132"/>
    <n v="11539"/>
    <n v="4"/>
    <s v="Yes"/>
    <n v="11"/>
    <n v="3"/>
    <n v="2"/>
    <n v="80"/>
    <n v="0"/>
    <n v="7"/>
    <n v="2"/>
    <n v="3"/>
    <n v="5"/>
    <n v="2"/>
    <n v="0"/>
    <n v="1"/>
    <n v="1"/>
    <n v="0"/>
    <s v="25-34"/>
    <s v="Low"/>
    <s v="0-5 Years"/>
  </r>
  <r>
    <n v="722"/>
    <n v="50"/>
    <x v="1"/>
    <s v="Travel_Rarely"/>
    <n v="939"/>
    <s v="Research &amp; Development"/>
    <n v="24"/>
    <n v="3"/>
    <s v="Life Sciences"/>
    <n v="1005"/>
    <n v="4"/>
    <s v="Male"/>
    <n v="95"/>
    <n v="3"/>
    <n v="4"/>
    <s v="Manufacturing Director"/>
    <n v="3"/>
    <s v="Married"/>
    <n v="13973"/>
    <n v="4161"/>
    <n v="3"/>
    <s v="Yes"/>
    <n v="18"/>
    <n v="3"/>
    <n v="4"/>
    <n v="80"/>
    <n v="1"/>
    <n v="22"/>
    <n v="2"/>
    <n v="3"/>
    <n v="12"/>
    <n v="11"/>
    <n v="1"/>
    <n v="5"/>
    <n v="0"/>
    <n v="1"/>
    <s v="45-54"/>
    <s v="Upper Medium"/>
    <s v="11-20 Years"/>
  </r>
  <r>
    <n v="723"/>
    <n v="38"/>
    <x v="1"/>
    <s v="Travel_Frequently"/>
    <n v="1391"/>
    <s v="Research &amp; Development"/>
    <n v="10"/>
    <n v="1"/>
    <s v="Medical"/>
    <n v="1006"/>
    <n v="3"/>
    <s v="Male"/>
    <n v="66"/>
    <n v="3"/>
    <n v="1"/>
    <s v="Research Scientist"/>
    <n v="3"/>
    <s v="Married"/>
    <n v="2684"/>
    <n v="12127"/>
    <n v="0"/>
    <s v="No"/>
    <n v="17"/>
    <n v="3"/>
    <n v="2"/>
    <n v="80"/>
    <n v="1"/>
    <n v="3"/>
    <n v="0"/>
    <n v="2"/>
    <n v="2"/>
    <n v="1"/>
    <n v="0"/>
    <n v="2"/>
    <n v="0"/>
    <n v="1"/>
    <s v="35-44"/>
    <s v="Low"/>
    <s v="0-5 Years"/>
  </r>
  <r>
    <n v="724"/>
    <n v="46"/>
    <x v="1"/>
    <s v="Travel_Rarely"/>
    <n v="566"/>
    <s v="Research &amp; Development"/>
    <n v="7"/>
    <n v="2"/>
    <s v="Medical"/>
    <n v="1007"/>
    <n v="4"/>
    <s v="Male"/>
    <n v="75"/>
    <n v="3"/>
    <n v="3"/>
    <s v="Manufacturing Director"/>
    <n v="3"/>
    <s v="Divorced"/>
    <n v="10845"/>
    <n v="24208"/>
    <n v="6"/>
    <s v="No"/>
    <n v="13"/>
    <n v="3"/>
    <n v="2"/>
    <n v="80"/>
    <n v="1"/>
    <n v="13"/>
    <n v="3"/>
    <n v="3"/>
    <n v="8"/>
    <n v="7"/>
    <n v="0"/>
    <n v="7"/>
    <n v="0"/>
    <n v="1"/>
    <s v="45-54"/>
    <s v="Upper Medium"/>
    <s v="6-10 Years"/>
  </r>
  <r>
    <n v="725"/>
    <n v="24"/>
    <x v="1"/>
    <s v="Travel_Rarely"/>
    <n v="1206"/>
    <s v="Research &amp; Development"/>
    <n v="17"/>
    <n v="1"/>
    <s v="Medical"/>
    <n v="1009"/>
    <n v="4"/>
    <s v="Female"/>
    <n v="41"/>
    <n v="2"/>
    <n v="2"/>
    <s v="Manufacturing Director"/>
    <n v="3"/>
    <s v="Divorced"/>
    <n v="4377"/>
    <n v="24117"/>
    <n v="1"/>
    <s v="No"/>
    <n v="15"/>
    <n v="3"/>
    <n v="2"/>
    <n v="80"/>
    <n v="2"/>
    <n v="5"/>
    <n v="6"/>
    <n v="3"/>
    <n v="4"/>
    <n v="2"/>
    <n v="3"/>
    <n v="2"/>
    <n v="0"/>
    <n v="1"/>
    <s v="Under 25"/>
    <s v="Low"/>
    <s v="0-5 Years"/>
  </r>
  <r>
    <n v="726"/>
    <n v="35"/>
    <x v="0"/>
    <s v="Travel_Rarely"/>
    <n v="622"/>
    <s v="Research &amp; Development"/>
    <n v="14"/>
    <n v="4"/>
    <s v="Other"/>
    <n v="1010"/>
    <n v="3"/>
    <s v="Male"/>
    <n v="39"/>
    <n v="2"/>
    <n v="1"/>
    <s v="Laboratory Technician"/>
    <n v="2"/>
    <s v="Divorced"/>
    <n v="3743"/>
    <n v="10074"/>
    <n v="1"/>
    <s v="Yes"/>
    <n v="24"/>
    <n v="4"/>
    <n v="4"/>
    <n v="80"/>
    <n v="1"/>
    <n v="5"/>
    <n v="2"/>
    <n v="1"/>
    <n v="4"/>
    <n v="2"/>
    <n v="0"/>
    <n v="2"/>
    <n v="1"/>
    <n v="0"/>
    <s v="35-44"/>
    <s v="Low"/>
    <s v="0-5 Years"/>
  </r>
  <r>
    <n v="727"/>
    <n v="31"/>
    <x v="1"/>
    <s v="Travel_Frequently"/>
    <n v="853"/>
    <s v="Research &amp; Development"/>
    <n v="1"/>
    <n v="1"/>
    <s v="Life Sciences"/>
    <n v="1011"/>
    <n v="3"/>
    <s v="Female"/>
    <n v="96"/>
    <n v="3"/>
    <n v="2"/>
    <s v="Manufacturing Director"/>
    <n v="1"/>
    <s v="Married"/>
    <n v="4148"/>
    <n v="11275"/>
    <n v="1"/>
    <s v="No"/>
    <n v="12"/>
    <n v="3"/>
    <n v="3"/>
    <n v="80"/>
    <n v="1"/>
    <n v="4"/>
    <n v="1"/>
    <n v="3"/>
    <n v="4"/>
    <n v="3"/>
    <n v="0"/>
    <n v="3"/>
    <n v="0"/>
    <n v="1"/>
    <s v="25-34"/>
    <s v="Low"/>
    <s v="0-5 Years"/>
  </r>
  <r>
    <n v="728"/>
    <n v="18"/>
    <x v="1"/>
    <s v="Non-Travel"/>
    <n v="287"/>
    <s v="Research &amp; Development"/>
    <n v="5"/>
    <n v="2"/>
    <s v="Life Sciences"/>
    <n v="1012"/>
    <n v="2"/>
    <s v="Male"/>
    <n v="73"/>
    <n v="3"/>
    <n v="1"/>
    <s v="Research Scientist"/>
    <n v="4"/>
    <s v="Single"/>
    <n v="1051"/>
    <n v="13493"/>
    <n v="1"/>
    <s v="No"/>
    <n v="15"/>
    <n v="3"/>
    <n v="4"/>
    <n v="80"/>
    <n v="0"/>
    <n v="0"/>
    <n v="2"/>
    <n v="3"/>
    <n v="0"/>
    <n v="0"/>
    <n v="0"/>
    <n v="0"/>
    <n v="0"/>
    <n v="1"/>
    <s v="Under 25"/>
    <s v="Low"/>
    <s v="0-5 Years"/>
  </r>
  <r>
    <n v="729"/>
    <n v="54"/>
    <x v="1"/>
    <s v="Travel_Rarely"/>
    <n v="1441"/>
    <s v="Research &amp; Development"/>
    <n v="17"/>
    <n v="3"/>
    <s v="Technical Degree"/>
    <n v="1013"/>
    <n v="3"/>
    <s v="Female"/>
    <n v="56"/>
    <n v="3"/>
    <n v="3"/>
    <s v="Manufacturing Director"/>
    <n v="3"/>
    <s v="Married"/>
    <n v="10739"/>
    <n v="13943"/>
    <n v="8"/>
    <s v="No"/>
    <n v="11"/>
    <n v="3"/>
    <n v="3"/>
    <n v="80"/>
    <n v="1"/>
    <n v="22"/>
    <n v="2"/>
    <n v="3"/>
    <n v="10"/>
    <n v="7"/>
    <n v="0"/>
    <n v="8"/>
    <n v="0"/>
    <n v="1"/>
    <s v="45-54"/>
    <s v="Upper Medium"/>
    <s v="6-10 Years"/>
  </r>
  <r>
    <n v="730"/>
    <n v="35"/>
    <x v="1"/>
    <s v="Travel_Rarely"/>
    <n v="583"/>
    <s v="Research &amp; Development"/>
    <n v="25"/>
    <n v="4"/>
    <s v="Medical"/>
    <n v="1014"/>
    <n v="3"/>
    <s v="Female"/>
    <n v="57"/>
    <n v="3"/>
    <n v="3"/>
    <s v="Healthcare Representative"/>
    <n v="3"/>
    <s v="Divorced"/>
    <n v="10388"/>
    <n v="6975"/>
    <n v="1"/>
    <s v="Yes"/>
    <n v="11"/>
    <n v="3"/>
    <n v="3"/>
    <n v="80"/>
    <n v="1"/>
    <n v="16"/>
    <n v="3"/>
    <n v="2"/>
    <n v="16"/>
    <n v="10"/>
    <n v="10"/>
    <n v="1"/>
    <n v="0"/>
    <n v="1"/>
    <s v="35-44"/>
    <s v="Upper Medium"/>
    <s v="11-20 Years"/>
  </r>
  <r>
    <n v="731"/>
    <n v="30"/>
    <x v="1"/>
    <s v="Travel_Rarely"/>
    <n v="153"/>
    <s v="Research &amp; Development"/>
    <n v="8"/>
    <n v="2"/>
    <s v="Life Sciences"/>
    <n v="1015"/>
    <n v="2"/>
    <s v="Female"/>
    <n v="73"/>
    <n v="4"/>
    <n v="3"/>
    <s v="Research Director"/>
    <n v="1"/>
    <s v="Married"/>
    <n v="11416"/>
    <n v="17802"/>
    <n v="0"/>
    <s v="Yes"/>
    <n v="12"/>
    <n v="3"/>
    <n v="3"/>
    <n v="80"/>
    <n v="3"/>
    <n v="9"/>
    <n v="4"/>
    <n v="2"/>
    <n v="8"/>
    <n v="7"/>
    <n v="1"/>
    <n v="7"/>
    <n v="0"/>
    <n v="1"/>
    <s v="25-34"/>
    <s v="Upper Medium"/>
    <s v="6-10 Years"/>
  </r>
  <r>
    <n v="732"/>
    <n v="20"/>
    <x v="0"/>
    <s v="Travel_Rarely"/>
    <n v="1097"/>
    <s v="Research &amp; Development"/>
    <n v="11"/>
    <n v="3"/>
    <s v="Medical"/>
    <n v="1016"/>
    <n v="4"/>
    <s v="Female"/>
    <n v="98"/>
    <n v="2"/>
    <n v="1"/>
    <s v="Research Scientist"/>
    <n v="1"/>
    <s v="Single"/>
    <n v="2600"/>
    <n v="18275"/>
    <n v="1"/>
    <s v="Yes"/>
    <n v="15"/>
    <n v="3"/>
    <n v="1"/>
    <n v="80"/>
    <n v="0"/>
    <n v="1"/>
    <n v="2"/>
    <n v="3"/>
    <n v="1"/>
    <n v="0"/>
    <n v="0"/>
    <n v="0"/>
    <n v="1"/>
    <n v="0"/>
    <s v="Under 25"/>
    <s v="Low"/>
    <s v="0-5 Years"/>
  </r>
  <r>
    <n v="733"/>
    <n v="30"/>
    <x v="0"/>
    <s v="Travel_Frequently"/>
    <n v="109"/>
    <s v="Research &amp; Development"/>
    <n v="5"/>
    <n v="3"/>
    <s v="Medical"/>
    <n v="1017"/>
    <n v="2"/>
    <s v="Female"/>
    <n v="60"/>
    <n v="3"/>
    <n v="1"/>
    <s v="Laboratory Technician"/>
    <n v="2"/>
    <s v="Single"/>
    <n v="2422"/>
    <n v="25725"/>
    <n v="0"/>
    <s v="No"/>
    <n v="17"/>
    <n v="3"/>
    <n v="1"/>
    <n v="80"/>
    <n v="0"/>
    <n v="4"/>
    <n v="3"/>
    <n v="3"/>
    <n v="3"/>
    <n v="2"/>
    <n v="1"/>
    <n v="2"/>
    <n v="1"/>
    <n v="0"/>
    <s v="25-34"/>
    <s v="Low"/>
    <s v="0-5 Years"/>
  </r>
  <r>
    <n v="734"/>
    <n v="26"/>
    <x v="1"/>
    <s v="Travel_Rarely"/>
    <n v="1066"/>
    <s v="Research &amp; Development"/>
    <n v="2"/>
    <n v="2"/>
    <s v="Medical"/>
    <n v="1018"/>
    <n v="4"/>
    <s v="Male"/>
    <n v="32"/>
    <n v="4"/>
    <n v="2"/>
    <s v="Manufacturing Director"/>
    <n v="4"/>
    <s v="Married"/>
    <n v="5472"/>
    <n v="3334"/>
    <n v="1"/>
    <s v="No"/>
    <n v="12"/>
    <n v="3"/>
    <n v="2"/>
    <n v="80"/>
    <n v="0"/>
    <n v="8"/>
    <n v="2"/>
    <n v="3"/>
    <n v="8"/>
    <n v="7"/>
    <n v="1"/>
    <n v="3"/>
    <n v="0"/>
    <n v="1"/>
    <s v="25-34"/>
    <s v="Medium"/>
    <s v="6-10 Years"/>
  </r>
  <r>
    <n v="735"/>
    <n v="22"/>
    <x v="1"/>
    <s v="Travel_Rarely"/>
    <n v="217"/>
    <s v="Research &amp; Development"/>
    <n v="8"/>
    <n v="1"/>
    <s v="Life Sciences"/>
    <n v="1019"/>
    <n v="2"/>
    <s v="Male"/>
    <n v="94"/>
    <n v="1"/>
    <n v="1"/>
    <s v="Laboratory Technician"/>
    <n v="1"/>
    <s v="Married"/>
    <n v="2451"/>
    <n v="6881"/>
    <n v="1"/>
    <s v="No"/>
    <n v="15"/>
    <n v="3"/>
    <n v="1"/>
    <n v="80"/>
    <n v="1"/>
    <n v="4"/>
    <n v="3"/>
    <n v="2"/>
    <n v="4"/>
    <n v="3"/>
    <n v="1"/>
    <n v="1"/>
    <n v="0"/>
    <n v="1"/>
    <s v="Under 25"/>
    <s v="Low"/>
    <s v="0-5 Years"/>
  </r>
  <r>
    <n v="736"/>
    <n v="48"/>
    <x v="1"/>
    <s v="Travel_Rarely"/>
    <n v="277"/>
    <s v="Research &amp; Development"/>
    <n v="6"/>
    <n v="3"/>
    <s v="Life Sciences"/>
    <n v="1022"/>
    <n v="1"/>
    <s v="Male"/>
    <n v="97"/>
    <n v="2"/>
    <n v="2"/>
    <s v="Healthcare Representative"/>
    <n v="3"/>
    <s v="Single"/>
    <n v="4240"/>
    <n v="13119"/>
    <n v="2"/>
    <s v="No"/>
    <n v="13"/>
    <n v="3"/>
    <n v="4"/>
    <n v="80"/>
    <n v="0"/>
    <n v="19"/>
    <n v="0"/>
    <n v="3"/>
    <n v="2"/>
    <n v="2"/>
    <n v="2"/>
    <n v="2"/>
    <n v="0"/>
    <n v="1"/>
    <s v="45-54"/>
    <s v="Low"/>
    <s v="0-5 Years"/>
  </r>
  <r>
    <n v="737"/>
    <n v="48"/>
    <x v="1"/>
    <s v="Travel_Rarely"/>
    <n v="1355"/>
    <s v="Research &amp; Development"/>
    <n v="4"/>
    <n v="4"/>
    <s v="Life Sciences"/>
    <n v="1024"/>
    <n v="3"/>
    <s v="Male"/>
    <n v="78"/>
    <n v="2"/>
    <n v="3"/>
    <s v="Healthcare Representative"/>
    <n v="3"/>
    <s v="Single"/>
    <n v="10999"/>
    <n v="22245"/>
    <n v="7"/>
    <s v="No"/>
    <n v="14"/>
    <n v="3"/>
    <n v="2"/>
    <n v="80"/>
    <n v="0"/>
    <n v="27"/>
    <n v="3"/>
    <n v="3"/>
    <n v="15"/>
    <n v="11"/>
    <n v="4"/>
    <n v="8"/>
    <n v="0"/>
    <n v="1"/>
    <s v="45-54"/>
    <s v="Upper Medium"/>
    <s v="11-20 Years"/>
  </r>
  <r>
    <n v="738"/>
    <n v="41"/>
    <x v="1"/>
    <s v="Travel_Rarely"/>
    <n v="549"/>
    <s v="Research &amp; Development"/>
    <n v="7"/>
    <n v="2"/>
    <s v="Medical"/>
    <n v="1025"/>
    <n v="4"/>
    <s v="Female"/>
    <n v="42"/>
    <n v="3"/>
    <n v="2"/>
    <s v="Manufacturing Director"/>
    <n v="3"/>
    <s v="Single"/>
    <n v="5003"/>
    <n v="23371"/>
    <n v="6"/>
    <s v="No"/>
    <n v="14"/>
    <n v="3"/>
    <n v="2"/>
    <n v="80"/>
    <n v="0"/>
    <n v="8"/>
    <n v="6"/>
    <n v="3"/>
    <n v="2"/>
    <n v="2"/>
    <n v="2"/>
    <n v="1"/>
    <n v="0"/>
    <n v="1"/>
    <s v="35-44"/>
    <s v="Medium"/>
    <s v="0-5 Years"/>
  </r>
  <r>
    <n v="739"/>
    <n v="39"/>
    <x v="1"/>
    <s v="Travel_Rarely"/>
    <n v="466"/>
    <s v="Research &amp; Development"/>
    <n v="1"/>
    <n v="1"/>
    <s v="Life Sciences"/>
    <n v="1026"/>
    <n v="4"/>
    <s v="Female"/>
    <n v="65"/>
    <n v="2"/>
    <n v="4"/>
    <s v="Manufacturing Director"/>
    <n v="4"/>
    <s v="Married"/>
    <n v="12742"/>
    <n v="7060"/>
    <n v="1"/>
    <s v="No"/>
    <n v="16"/>
    <n v="3"/>
    <n v="3"/>
    <n v="80"/>
    <n v="1"/>
    <n v="21"/>
    <n v="3"/>
    <n v="3"/>
    <n v="21"/>
    <n v="6"/>
    <n v="11"/>
    <n v="8"/>
    <n v="0"/>
    <n v="1"/>
    <s v="35-44"/>
    <s v="Upper Medium"/>
    <s v="21+ Years"/>
  </r>
  <r>
    <n v="740"/>
    <n v="27"/>
    <x v="1"/>
    <s v="Travel_Rarely"/>
    <n v="1055"/>
    <s v="Research &amp; Development"/>
    <n v="2"/>
    <n v="4"/>
    <s v="Life Sciences"/>
    <n v="1027"/>
    <n v="1"/>
    <s v="Female"/>
    <n v="47"/>
    <n v="3"/>
    <n v="2"/>
    <s v="Manufacturing Director"/>
    <n v="4"/>
    <s v="Married"/>
    <n v="4227"/>
    <n v="4658"/>
    <n v="0"/>
    <s v="No"/>
    <n v="18"/>
    <n v="3"/>
    <n v="2"/>
    <n v="80"/>
    <n v="1"/>
    <n v="4"/>
    <n v="2"/>
    <n v="3"/>
    <n v="3"/>
    <n v="2"/>
    <n v="2"/>
    <n v="2"/>
    <n v="0"/>
    <n v="1"/>
    <s v="25-34"/>
    <s v="Low"/>
    <s v="0-5 Years"/>
  </r>
  <r>
    <n v="741"/>
    <n v="35"/>
    <x v="1"/>
    <s v="Travel_Rarely"/>
    <n v="802"/>
    <s v="Research &amp; Development"/>
    <n v="10"/>
    <n v="3"/>
    <s v="Other"/>
    <n v="1028"/>
    <n v="2"/>
    <s v="Male"/>
    <n v="45"/>
    <n v="3"/>
    <n v="1"/>
    <s v="Laboratory Technician"/>
    <n v="4"/>
    <s v="Divorced"/>
    <n v="3917"/>
    <n v="9541"/>
    <n v="1"/>
    <s v="No"/>
    <n v="20"/>
    <n v="4"/>
    <n v="1"/>
    <n v="80"/>
    <n v="1"/>
    <n v="3"/>
    <n v="4"/>
    <n v="2"/>
    <n v="3"/>
    <n v="2"/>
    <n v="1"/>
    <n v="2"/>
    <n v="0"/>
    <n v="1"/>
    <s v="35-44"/>
    <s v="Low"/>
    <s v="0-5 Years"/>
  </r>
  <r>
    <n v="742"/>
    <n v="42"/>
    <x v="1"/>
    <s v="Travel_Rarely"/>
    <n v="265"/>
    <s v="Sales"/>
    <n v="5"/>
    <n v="2"/>
    <s v="Marketing"/>
    <n v="1029"/>
    <n v="4"/>
    <s v="Male"/>
    <n v="90"/>
    <n v="3"/>
    <n v="5"/>
    <s v="Manager"/>
    <n v="3"/>
    <s v="Married"/>
    <n v="18303"/>
    <n v="7770"/>
    <n v="6"/>
    <s v="No"/>
    <n v="13"/>
    <n v="3"/>
    <n v="2"/>
    <n v="80"/>
    <n v="0"/>
    <n v="21"/>
    <n v="3"/>
    <n v="4"/>
    <n v="1"/>
    <n v="0"/>
    <n v="0"/>
    <n v="0"/>
    <n v="0"/>
    <n v="1"/>
    <s v="35-44"/>
    <s v="High"/>
    <s v="0-5 Years"/>
  </r>
  <r>
    <n v="743"/>
    <n v="50"/>
    <x v="1"/>
    <s v="Travel_Rarely"/>
    <n v="804"/>
    <s v="Research &amp; Development"/>
    <n v="9"/>
    <n v="3"/>
    <s v="Life Sciences"/>
    <n v="1030"/>
    <n v="1"/>
    <s v="Male"/>
    <n v="64"/>
    <n v="3"/>
    <n v="1"/>
    <s v="Laboratory Technician"/>
    <n v="4"/>
    <s v="Married"/>
    <n v="2380"/>
    <n v="20165"/>
    <n v="4"/>
    <s v="No"/>
    <n v="18"/>
    <n v="3"/>
    <n v="2"/>
    <n v="80"/>
    <n v="0"/>
    <n v="8"/>
    <n v="5"/>
    <n v="3"/>
    <n v="1"/>
    <n v="0"/>
    <n v="0"/>
    <n v="0"/>
    <n v="0"/>
    <n v="1"/>
    <s v="45-54"/>
    <s v="Low"/>
    <s v="0-5 Years"/>
  </r>
  <r>
    <n v="744"/>
    <n v="59"/>
    <x v="1"/>
    <s v="Travel_Rarely"/>
    <n v="715"/>
    <s v="Research &amp; Development"/>
    <n v="2"/>
    <n v="3"/>
    <s v="Life Sciences"/>
    <n v="1032"/>
    <n v="3"/>
    <s v="Female"/>
    <n v="69"/>
    <n v="2"/>
    <n v="4"/>
    <s v="Manufacturing Director"/>
    <n v="4"/>
    <s v="Single"/>
    <n v="13726"/>
    <n v="21829"/>
    <n v="3"/>
    <s v="Yes"/>
    <n v="13"/>
    <n v="3"/>
    <n v="1"/>
    <n v="80"/>
    <n v="0"/>
    <n v="30"/>
    <n v="4"/>
    <n v="3"/>
    <n v="5"/>
    <n v="3"/>
    <n v="4"/>
    <n v="3"/>
    <n v="0"/>
    <n v="1"/>
    <s v="55+"/>
    <s v="Upper Medium"/>
    <s v="0-5 Years"/>
  </r>
  <r>
    <n v="745"/>
    <n v="37"/>
    <x v="0"/>
    <s v="Travel_Rarely"/>
    <n v="1141"/>
    <s v="Research &amp; Development"/>
    <n v="11"/>
    <n v="2"/>
    <s v="Medical"/>
    <n v="1033"/>
    <n v="1"/>
    <s v="Female"/>
    <n v="61"/>
    <n v="1"/>
    <n v="2"/>
    <s v="Healthcare Representative"/>
    <n v="2"/>
    <s v="Married"/>
    <n v="4777"/>
    <n v="14382"/>
    <n v="5"/>
    <s v="No"/>
    <n v="15"/>
    <n v="3"/>
    <n v="1"/>
    <n v="80"/>
    <n v="0"/>
    <n v="15"/>
    <n v="2"/>
    <n v="1"/>
    <n v="1"/>
    <n v="0"/>
    <n v="0"/>
    <n v="0"/>
    <n v="1"/>
    <n v="0"/>
    <s v="35-44"/>
    <s v="Low"/>
    <s v="0-5 Years"/>
  </r>
  <r>
    <n v="746"/>
    <n v="55"/>
    <x v="1"/>
    <s v="Travel_Frequently"/>
    <n v="135"/>
    <s v="Research &amp; Development"/>
    <n v="18"/>
    <n v="4"/>
    <s v="Medical"/>
    <n v="1034"/>
    <n v="3"/>
    <s v="Male"/>
    <n v="62"/>
    <n v="3"/>
    <n v="2"/>
    <s v="Healthcare Representative"/>
    <n v="2"/>
    <s v="Married"/>
    <n v="6385"/>
    <n v="12992"/>
    <n v="3"/>
    <s v="Yes"/>
    <n v="14"/>
    <n v="3"/>
    <n v="4"/>
    <n v="80"/>
    <n v="2"/>
    <n v="17"/>
    <n v="3"/>
    <n v="3"/>
    <n v="8"/>
    <n v="7"/>
    <n v="6"/>
    <n v="7"/>
    <n v="0"/>
    <n v="1"/>
    <s v="55+"/>
    <s v="Medium"/>
    <s v="6-10 Years"/>
  </r>
  <r>
    <n v="747"/>
    <n v="41"/>
    <x v="1"/>
    <s v="Non-Travel"/>
    <n v="247"/>
    <s v="Research &amp; Development"/>
    <n v="7"/>
    <n v="1"/>
    <s v="Life Sciences"/>
    <n v="1035"/>
    <n v="2"/>
    <s v="Female"/>
    <n v="55"/>
    <n v="1"/>
    <n v="5"/>
    <s v="Research Director"/>
    <n v="3"/>
    <s v="Divorced"/>
    <n v="19973"/>
    <n v="20284"/>
    <n v="1"/>
    <s v="No"/>
    <n v="22"/>
    <n v="4"/>
    <n v="2"/>
    <n v="80"/>
    <n v="2"/>
    <n v="21"/>
    <n v="3"/>
    <n v="3"/>
    <n v="21"/>
    <n v="16"/>
    <n v="5"/>
    <n v="10"/>
    <n v="0"/>
    <n v="1"/>
    <s v="35-44"/>
    <s v="High"/>
    <s v="21+ Years"/>
  </r>
  <r>
    <n v="748"/>
    <n v="38"/>
    <x v="1"/>
    <s v="Travel_Rarely"/>
    <n v="1035"/>
    <s v="Sales"/>
    <n v="3"/>
    <n v="4"/>
    <s v="Life Sciences"/>
    <n v="1036"/>
    <n v="2"/>
    <s v="Male"/>
    <n v="42"/>
    <n v="3"/>
    <n v="2"/>
    <s v="Sales Executive"/>
    <n v="4"/>
    <s v="Single"/>
    <n v="6861"/>
    <n v="4981"/>
    <n v="8"/>
    <s v="Yes"/>
    <n v="12"/>
    <n v="3"/>
    <n v="3"/>
    <n v="80"/>
    <n v="0"/>
    <n v="19"/>
    <n v="1"/>
    <n v="3"/>
    <n v="1"/>
    <n v="0"/>
    <n v="0"/>
    <n v="0"/>
    <n v="0"/>
    <n v="1"/>
    <s v="35-44"/>
    <s v="Medium"/>
    <s v="0-5 Years"/>
  </r>
  <r>
    <n v="749"/>
    <n v="26"/>
    <x v="0"/>
    <s v="Non-Travel"/>
    <n v="265"/>
    <s v="Sales"/>
    <n v="29"/>
    <n v="2"/>
    <s v="Medical"/>
    <n v="1037"/>
    <n v="2"/>
    <s v="Male"/>
    <n v="79"/>
    <n v="1"/>
    <n v="2"/>
    <s v="Sales Executive"/>
    <n v="1"/>
    <s v="Single"/>
    <n v="4969"/>
    <n v="21813"/>
    <n v="8"/>
    <s v="No"/>
    <n v="18"/>
    <n v="3"/>
    <n v="4"/>
    <n v="80"/>
    <n v="0"/>
    <n v="7"/>
    <n v="6"/>
    <n v="3"/>
    <n v="2"/>
    <n v="2"/>
    <n v="2"/>
    <n v="2"/>
    <n v="1"/>
    <n v="0"/>
    <s v="25-34"/>
    <s v="Low"/>
    <s v="0-5 Years"/>
  </r>
  <r>
    <n v="750"/>
    <n v="52"/>
    <x v="0"/>
    <s v="Travel_Rarely"/>
    <n v="266"/>
    <s v="Sales"/>
    <n v="2"/>
    <n v="1"/>
    <s v="Marketing"/>
    <n v="1038"/>
    <n v="1"/>
    <s v="Female"/>
    <n v="57"/>
    <n v="1"/>
    <n v="5"/>
    <s v="Manager"/>
    <n v="4"/>
    <s v="Married"/>
    <n v="19845"/>
    <n v="25846"/>
    <n v="1"/>
    <s v="No"/>
    <n v="15"/>
    <n v="3"/>
    <n v="4"/>
    <n v="80"/>
    <n v="1"/>
    <n v="33"/>
    <n v="3"/>
    <n v="3"/>
    <n v="32"/>
    <n v="14"/>
    <n v="6"/>
    <n v="9"/>
    <n v="1"/>
    <n v="0"/>
    <s v="45-54"/>
    <s v="High"/>
    <s v="21+ Years"/>
  </r>
  <r>
    <n v="751"/>
    <n v="44"/>
    <x v="1"/>
    <s v="Travel_Rarely"/>
    <n v="1448"/>
    <s v="Sales"/>
    <n v="28"/>
    <n v="3"/>
    <s v="Medical"/>
    <n v="1039"/>
    <n v="4"/>
    <s v="Female"/>
    <n v="53"/>
    <n v="4"/>
    <n v="4"/>
    <s v="Sales Executive"/>
    <n v="4"/>
    <s v="Married"/>
    <n v="13320"/>
    <n v="11737"/>
    <n v="3"/>
    <s v="Yes"/>
    <n v="18"/>
    <n v="3"/>
    <n v="3"/>
    <n v="80"/>
    <n v="1"/>
    <n v="23"/>
    <n v="2"/>
    <n v="3"/>
    <n v="12"/>
    <n v="11"/>
    <n v="11"/>
    <n v="11"/>
    <n v="0"/>
    <n v="1"/>
    <s v="35-44"/>
    <s v="Upper Medium"/>
    <s v="11-20 Years"/>
  </r>
  <r>
    <n v="752"/>
    <n v="50"/>
    <x v="1"/>
    <s v="Non-Travel"/>
    <n v="145"/>
    <s v="Sales"/>
    <n v="1"/>
    <n v="3"/>
    <s v="Life Sciences"/>
    <n v="1040"/>
    <n v="4"/>
    <s v="Female"/>
    <n v="95"/>
    <n v="3"/>
    <n v="2"/>
    <s v="Sales Executive"/>
    <n v="3"/>
    <s v="Married"/>
    <n v="6347"/>
    <n v="24920"/>
    <n v="0"/>
    <s v="No"/>
    <n v="12"/>
    <n v="3"/>
    <n v="1"/>
    <n v="80"/>
    <n v="1"/>
    <n v="19"/>
    <n v="3"/>
    <n v="3"/>
    <n v="18"/>
    <n v="7"/>
    <n v="0"/>
    <n v="13"/>
    <n v="0"/>
    <n v="1"/>
    <s v="45-54"/>
    <s v="Medium"/>
    <s v="11-20 Years"/>
  </r>
  <r>
    <n v="753"/>
    <n v="36"/>
    <x v="0"/>
    <s v="Travel_Rarely"/>
    <n v="885"/>
    <s v="Research &amp; Development"/>
    <n v="16"/>
    <n v="4"/>
    <s v="Life Sciences"/>
    <n v="1042"/>
    <n v="3"/>
    <s v="Female"/>
    <n v="43"/>
    <n v="4"/>
    <n v="1"/>
    <s v="Laboratory Technician"/>
    <n v="1"/>
    <s v="Single"/>
    <n v="2743"/>
    <n v="8269"/>
    <n v="1"/>
    <s v="No"/>
    <n v="16"/>
    <n v="3"/>
    <n v="3"/>
    <n v="80"/>
    <n v="0"/>
    <n v="18"/>
    <n v="1"/>
    <n v="3"/>
    <n v="17"/>
    <n v="13"/>
    <n v="15"/>
    <n v="14"/>
    <n v="1"/>
    <n v="0"/>
    <s v="35-44"/>
    <s v="Low"/>
    <s v="11-20 Years"/>
  </r>
  <r>
    <n v="754"/>
    <n v="39"/>
    <x v="1"/>
    <s v="Travel_Frequently"/>
    <n v="945"/>
    <s v="Research &amp; Development"/>
    <n v="22"/>
    <n v="3"/>
    <s v="Medical"/>
    <n v="1043"/>
    <n v="4"/>
    <s v="Female"/>
    <n v="82"/>
    <n v="3"/>
    <n v="3"/>
    <s v="Manufacturing Director"/>
    <n v="1"/>
    <s v="Single"/>
    <n v="10880"/>
    <n v="5083"/>
    <n v="1"/>
    <s v="Yes"/>
    <n v="13"/>
    <n v="3"/>
    <n v="3"/>
    <n v="80"/>
    <n v="0"/>
    <n v="21"/>
    <n v="2"/>
    <n v="3"/>
    <n v="21"/>
    <n v="6"/>
    <n v="2"/>
    <n v="8"/>
    <n v="0"/>
    <n v="1"/>
    <s v="35-44"/>
    <s v="Upper Medium"/>
    <s v="21+ Years"/>
  </r>
  <r>
    <n v="755"/>
    <n v="33"/>
    <x v="1"/>
    <s v="Non-Travel"/>
    <n v="1038"/>
    <s v="Sales"/>
    <n v="8"/>
    <n v="1"/>
    <s v="Life Sciences"/>
    <n v="1044"/>
    <n v="2"/>
    <s v="Female"/>
    <n v="88"/>
    <n v="2"/>
    <n v="1"/>
    <s v="Sales Representative"/>
    <n v="4"/>
    <s v="Single"/>
    <n v="2342"/>
    <n v="21437"/>
    <n v="0"/>
    <s v="No"/>
    <n v="19"/>
    <n v="3"/>
    <n v="4"/>
    <n v="80"/>
    <n v="0"/>
    <n v="3"/>
    <n v="2"/>
    <n v="2"/>
    <n v="2"/>
    <n v="2"/>
    <n v="2"/>
    <n v="2"/>
    <n v="0"/>
    <n v="1"/>
    <s v="25-34"/>
    <s v="Low"/>
    <s v="0-5 Years"/>
  </r>
  <r>
    <n v="756"/>
    <n v="45"/>
    <x v="1"/>
    <s v="Travel_Rarely"/>
    <n v="1234"/>
    <s v="Sales"/>
    <n v="11"/>
    <n v="2"/>
    <s v="Life Sciences"/>
    <n v="1045"/>
    <n v="4"/>
    <s v="Female"/>
    <n v="90"/>
    <n v="3"/>
    <n v="4"/>
    <s v="Manager"/>
    <n v="4"/>
    <s v="Married"/>
    <n v="17650"/>
    <n v="5404"/>
    <n v="3"/>
    <s v="No"/>
    <n v="13"/>
    <n v="3"/>
    <n v="2"/>
    <n v="80"/>
    <n v="1"/>
    <n v="26"/>
    <n v="4"/>
    <n v="4"/>
    <n v="9"/>
    <n v="3"/>
    <n v="1"/>
    <n v="1"/>
    <n v="0"/>
    <n v="1"/>
    <s v="45-54"/>
    <s v="High"/>
    <s v="6-10 Years"/>
  </r>
  <r>
    <n v="757"/>
    <n v="32"/>
    <x v="1"/>
    <s v="Non-Travel"/>
    <n v="1109"/>
    <s v="Research &amp; Development"/>
    <n v="29"/>
    <n v="4"/>
    <s v="Medical"/>
    <n v="1046"/>
    <n v="4"/>
    <s v="Female"/>
    <n v="69"/>
    <n v="3"/>
    <n v="1"/>
    <s v="Laboratory Technician"/>
    <n v="3"/>
    <s v="Single"/>
    <n v="4025"/>
    <n v="11135"/>
    <n v="9"/>
    <s v="No"/>
    <n v="12"/>
    <n v="3"/>
    <n v="2"/>
    <n v="80"/>
    <n v="0"/>
    <n v="10"/>
    <n v="2"/>
    <n v="3"/>
    <n v="8"/>
    <n v="7"/>
    <n v="7"/>
    <n v="7"/>
    <n v="0"/>
    <n v="1"/>
    <s v="25-34"/>
    <s v="Low"/>
    <s v="6-10 Years"/>
  </r>
  <r>
    <n v="758"/>
    <n v="34"/>
    <x v="1"/>
    <s v="Travel_Rarely"/>
    <n v="216"/>
    <s v="Sales"/>
    <n v="1"/>
    <n v="4"/>
    <s v="Marketing"/>
    <n v="1047"/>
    <n v="2"/>
    <s v="Male"/>
    <n v="75"/>
    <n v="4"/>
    <n v="2"/>
    <s v="Sales Executive"/>
    <n v="4"/>
    <s v="Divorced"/>
    <n v="9725"/>
    <n v="12278"/>
    <n v="0"/>
    <s v="No"/>
    <n v="11"/>
    <n v="3"/>
    <n v="4"/>
    <n v="80"/>
    <n v="1"/>
    <n v="16"/>
    <n v="2"/>
    <n v="2"/>
    <n v="15"/>
    <n v="1"/>
    <n v="0"/>
    <n v="9"/>
    <n v="0"/>
    <n v="1"/>
    <s v="25-34"/>
    <s v="Medium"/>
    <s v="11-20 Years"/>
  </r>
  <r>
    <n v="759"/>
    <n v="59"/>
    <x v="1"/>
    <s v="Travel_Rarely"/>
    <n v="1089"/>
    <s v="Sales"/>
    <n v="1"/>
    <n v="2"/>
    <s v="Technical Degree"/>
    <n v="1048"/>
    <n v="2"/>
    <s v="Male"/>
    <n v="66"/>
    <n v="3"/>
    <n v="3"/>
    <s v="Manager"/>
    <n v="4"/>
    <s v="Married"/>
    <n v="11904"/>
    <n v="11038"/>
    <n v="3"/>
    <s v="Yes"/>
    <n v="14"/>
    <n v="3"/>
    <n v="3"/>
    <n v="80"/>
    <n v="1"/>
    <n v="14"/>
    <n v="1"/>
    <n v="1"/>
    <n v="6"/>
    <n v="4"/>
    <n v="0"/>
    <n v="4"/>
    <n v="0"/>
    <n v="1"/>
    <s v="55+"/>
    <s v="Upper Medium"/>
    <s v="6-10 Years"/>
  </r>
  <r>
    <n v="760"/>
    <n v="45"/>
    <x v="1"/>
    <s v="Travel_Rarely"/>
    <n v="788"/>
    <s v="Human Resources"/>
    <n v="24"/>
    <n v="4"/>
    <s v="Medical"/>
    <n v="1049"/>
    <n v="2"/>
    <s v="Male"/>
    <n v="36"/>
    <n v="3"/>
    <n v="1"/>
    <s v="Human Resources"/>
    <n v="2"/>
    <s v="Single"/>
    <n v="2177"/>
    <n v="8318"/>
    <n v="1"/>
    <s v="No"/>
    <n v="16"/>
    <n v="3"/>
    <n v="1"/>
    <n v="80"/>
    <n v="0"/>
    <n v="6"/>
    <n v="3"/>
    <n v="3"/>
    <n v="6"/>
    <n v="3"/>
    <n v="0"/>
    <n v="4"/>
    <n v="0"/>
    <n v="1"/>
    <s v="45-54"/>
    <s v="Low"/>
    <s v="6-10 Years"/>
  </r>
  <r>
    <n v="761"/>
    <n v="53"/>
    <x v="1"/>
    <s v="Travel_Frequently"/>
    <n v="124"/>
    <s v="Sales"/>
    <n v="2"/>
    <n v="3"/>
    <s v="Marketing"/>
    <n v="1050"/>
    <n v="3"/>
    <s v="Female"/>
    <n v="38"/>
    <n v="2"/>
    <n v="3"/>
    <s v="Sales Executive"/>
    <n v="2"/>
    <s v="Married"/>
    <n v="7525"/>
    <n v="23537"/>
    <n v="2"/>
    <s v="No"/>
    <n v="12"/>
    <n v="3"/>
    <n v="1"/>
    <n v="80"/>
    <n v="1"/>
    <n v="30"/>
    <n v="2"/>
    <n v="3"/>
    <n v="15"/>
    <n v="7"/>
    <n v="6"/>
    <n v="12"/>
    <n v="0"/>
    <n v="1"/>
    <s v="45-54"/>
    <s v="Medium"/>
    <s v="11-20 Years"/>
  </r>
  <r>
    <n v="762"/>
    <n v="36"/>
    <x v="0"/>
    <s v="Travel_Rarely"/>
    <n v="660"/>
    <s v="Research &amp; Development"/>
    <n v="15"/>
    <n v="3"/>
    <s v="Other"/>
    <n v="1052"/>
    <n v="1"/>
    <s v="Male"/>
    <n v="81"/>
    <n v="3"/>
    <n v="2"/>
    <s v="Laboratory Technician"/>
    <n v="3"/>
    <s v="Divorced"/>
    <n v="4834"/>
    <n v="7858"/>
    <n v="7"/>
    <s v="No"/>
    <n v="14"/>
    <n v="3"/>
    <n v="2"/>
    <n v="80"/>
    <n v="1"/>
    <n v="9"/>
    <n v="3"/>
    <n v="2"/>
    <n v="1"/>
    <n v="0"/>
    <n v="0"/>
    <n v="0"/>
    <n v="1"/>
    <n v="0"/>
    <s v="35-44"/>
    <s v="Low"/>
    <s v="0-5 Years"/>
  </r>
  <r>
    <n v="763"/>
    <n v="26"/>
    <x v="0"/>
    <s v="Travel_Frequently"/>
    <n v="342"/>
    <s v="Research &amp; Development"/>
    <n v="2"/>
    <n v="3"/>
    <s v="Life Sciences"/>
    <n v="1053"/>
    <n v="1"/>
    <s v="Male"/>
    <n v="57"/>
    <n v="3"/>
    <n v="1"/>
    <s v="Research Scientist"/>
    <n v="1"/>
    <s v="Married"/>
    <n v="2042"/>
    <n v="15346"/>
    <n v="6"/>
    <s v="Yes"/>
    <n v="14"/>
    <n v="3"/>
    <n v="2"/>
    <n v="80"/>
    <n v="1"/>
    <n v="6"/>
    <n v="2"/>
    <n v="3"/>
    <n v="3"/>
    <n v="2"/>
    <n v="1"/>
    <n v="2"/>
    <n v="1"/>
    <n v="0"/>
    <s v="25-34"/>
    <s v="Low"/>
    <s v="0-5 Years"/>
  </r>
  <r>
    <n v="764"/>
    <n v="34"/>
    <x v="1"/>
    <s v="Travel_Rarely"/>
    <n v="1333"/>
    <s v="Sales"/>
    <n v="10"/>
    <n v="4"/>
    <s v="Life Sciences"/>
    <n v="1055"/>
    <n v="3"/>
    <s v="Female"/>
    <n v="87"/>
    <n v="3"/>
    <n v="1"/>
    <s v="Sales Representative"/>
    <n v="3"/>
    <s v="Married"/>
    <n v="2220"/>
    <n v="18410"/>
    <n v="1"/>
    <s v="Yes"/>
    <n v="19"/>
    <n v="3"/>
    <n v="4"/>
    <n v="80"/>
    <n v="1"/>
    <n v="1"/>
    <n v="2"/>
    <n v="3"/>
    <n v="1"/>
    <n v="1"/>
    <n v="0"/>
    <n v="0"/>
    <n v="0"/>
    <n v="1"/>
    <s v="25-34"/>
    <s v="Low"/>
    <s v="0-5 Years"/>
  </r>
  <r>
    <n v="765"/>
    <n v="28"/>
    <x v="1"/>
    <s v="Travel_Rarely"/>
    <n v="1144"/>
    <s v="Sales"/>
    <n v="10"/>
    <n v="1"/>
    <s v="Medical"/>
    <n v="1056"/>
    <n v="4"/>
    <s v="Male"/>
    <n v="74"/>
    <n v="3"/>
    <n v="1"/>
    <s v="Sales Representative"/>
    <n v="2"/>
    <s v="Married"/>
    <n v="1052"/>
    <n v="23384"/>
    <n v="1"/>
    <s v="No"/>
    <n v="22"/>
    <n v="4"/>
    <n v="2"/>
    <n v="80"/>
    <n v="0"/>
    <n v="1"/>
    <n v="5"/>
    <n v="3"/>
    <n v="1"/>
    <n v="0"/>
    <n v="0"/>
    <n v="0"/>
    <n v="0"/>
    <n v="1"/>
    <s v="25-34"/>
    <s v="Low"/>
    <s v="0-5 Years"/>
  </r>
  <r>
    <n v="766"/>
    <n v="38"/>
    <x v="1"/>
    <s v="Travel_Frequently"/>
    <n v="1186"/>
    <s v="Research &amp; Development"/>
    <n v="3"/>
    <n v="4"/>
    <s v="Other"/>
    <n v="1060"/>
    <n v="3"/>
    <s v="Male"/>
    <n v="44"/>
    <n v="3"/>
    <n v="1"/>
    <s v="Research Scientist"/>
    <n v="3"/>
    <s v="Married"/>
    <n v="2821"/>
    <n v="2997"/>
    <n v="3"/>
    <s v="No"/>
    <n v="16"/>
    <n v="3"/>
    <n v="1"/>
    <n v="80"/>
    <n v="1"/>
    <n v="8"/>
    <n v="2"/>
    <n v="3"/>
    <n v="2"/>
    <n v="2"/>
    <n v="2"/>
    <n v="2"/>
    <n v="0"/>
    <n v="1"/>
    <s v="35-44"/>
    <s v="Low"/>
    <s v="0-5 Years"/>
  </r>
  <r>
    <n v="767"/>
    <n v="50"/>
    <x v="1"/>
    <s v="Travel_Rarely"/>
    <n v="1464"/>
    <s v="Research &amp; Development"/>
    <n v="2"/>
    <n v="4"/>
    <s v="Medical"/>
    <n v="1061"/>
    <n v="2"/>
    <s v="Male"/>
    <n v="62"/>
    <n v="3"/>
    <n v="5"/>
    <s v="Research Director"/>
    <n v="3"/>
    <s v="Married"/>
    <n v="19237"/>
    <n v="12853"/>
    <n v="2"/>
    <s v="Yes"/>
    <n v="11"/>
    <n v="3"/>
    <n v="4"/>
    <n v="80"/>
    <n v="1"/>
    <n v="29"/>
    <n v="2"/>
    <n v="2"/>
    <n v="8"/>
    <n v="1"/>
    <n v="7"/>
    <n v="7"/>
    <n v="0"/>
    <n v="1"/>
    <s v="45-54"/>
    <s v="High"/>
    <s v="6-10 Years"/>
  </r>
  <r>
    <n v="768"/>
    <n v="37"/>
    <x v="1"/>
    <s v="Travel_Rarely"/>
    <n v="124"/>
    <s v="Research &amp; Development"/>
    <n v="3"/>
    <n v="3"/>
    <s v="Other"/>
    <n v="1062"/>
    <n v="4"/>
    <s v="Female"/>
    <n v="35"/>
    <n v="3"/>
    <n v="2"/>
    <s v="Healthcare Representative"/>
    <n v="2"/>
    <s v="Single"/>
    <n v="4107"/>
    <n v="13848"/>
    <n v="3"/>
    <s v="No"/>
    <n v="15"/>
    <n v="3"/>
    <n v="1"/>
    <n v="80"/>
    <n v="0"/>
    <n v="8"/>
    <n v="3"/>
    <n v="2"/>
    <n v="4"/>
    <n v="3"/>
    <n v="0"/>
    <n v="1"/>
    <n v="0"/>
    <n v="1"/>
    <s v="35-44"/>
    <s v="Low"/>
    <s v="0-5 Years"/>
  </r>
  <r>
    <n v="769"/>
    <n v="40"/>
    <x v="1"/>
    <s v="Travel_Rarely"/>
    <n v="300"/>
    <s v="Sales"/>
    <n v="26"/>
    <n v="3"/>
    <s v="Marketing"/>
    <n v="1066"/>
    <n v="3"/>
    <s v="Male"/>
    <n v="74"/>
    <n v="3"/>
    <n v="2"/>
    <s v="Sales Executive"/>
    <n v="1"/>
    <s v="Married"/>
    <n v="8396"/>
    <n v="22217"/>
    <n v="1"/>
    <s v="No"/>
    <n v="14"/>
    <n v="3"/>
    <n v="2"/>
    <n v="80"/>
    <n v="1"/>
    <n v="8"/>
    <n v="3"/>
    <n v="2"/>
    <n v="7"/>
    <n v="7"/>
    <n v="7"/>
    <n v="5"/>
    <n v="0"/>
    <n v="1"/>
    <s v="35-44"/>
    <s v="Medium"/>
    <s v="6-10 Years"/>
  </r>
  <r>
    <n v="770"/>
    <n v="26"/>
    <x v="1"/>
    <s v="Travel_Frequently"/>
    <n v="921"/>
    <s v="Research &amp; Development"/>
    <n v="1"/>
    <n v="1"/>
    <s v="Medical"/>
    <n v="1068"/>
    <n v="1"/>
    <s v="Female"/>
    <n v="66"/>
    <n v="2"/>
    <n v="1"/>
    <s v="Research Scientist"/>
    <n v="3"/>
    <s v="Divorced"/>
    <n v="2007"/>
    <n v="25265"/>
    <n v="1"/>
    <s v="No"/>
    <n v="13"/>
    <n v="3"/>
    <n v="3"/>
    <n v="80"/>
    <n v="2"/>
    <n v="5"/>
    <n v="5"/>
    <n v="3"/>
    <n v="5"/>
    <n v="3"/>
    <n v="1"/>
    <n v="3"/>
    <n v="0"/>
    <n v="1"/>
    <s v="25-34"/>
    <s v="Low"/>
    <s v="0-5 Years"/>
  </r>
  <r>
    <n v="771"/>
    <n v="46"/>
    <x v="1"/>
    <s v="Travel_Rarely"/>
    <n v="430"/>
    <s v="Research &amp; Development"/>
    <n v="1"/>
    <n v="4"/>
    <s v="Medical"/>
    <n v="1069"/>
    <n v="4"/>
    <s v="Male"/>
    <n v="40"/>
    <n v="3"/>
    <n v="5"/>
    <s v="Research Director"/>
    <n v="4"/>
    <s v="Divorced"/>
    <n v="19627"/>
    <n v="21445"/>
    <n v="9"/>
    <s v="No"/>
    <n v="17"/>
    <n v="3"/>
    <n v="4"/>
    <n v="80"/>
    <n v="2"/>
    <n v="23"/>
    <n v="0"/>
    <n v="3"/>
    <n v="2"/>
    <n v="2"/>
    <n v="2"/>
    <n v="2"/>
    <n v="0"/>
    <n v="1"/>
    <s v="45-54"/>
    <s v="High"/>
    <s v="0-5 Years"/>
  </r>
  <r>
    <n v="772"/>
    <n v="54"/>
    <x v="1"/>
    <s v="Travel_Rarely"/>
    <n v="1082"/>
    <s v="Sales"/>
    <n v="2"/>
    <n v="4"/>
    <s v="Life Sciences"/>
    <n v="1070"/>
    <n v="3"/>
    <s v="Female"/>
    <n v="41"/>
    <n v="2"/>
    <n v="3"/>
    <s v="Sales Executive"/>
    <n v="3"/>
    <s v="Married"/>
    <n v="10686"/>
    <n v="8392"/>
    <n v="6"/>
    <s v="No"/>
    <n v="11"/>
    <n v="3"/>
    <n v="2"/>
    <n v="80"/>
    <n v="1"/>
    <n v="13"/>
    <n v="4"/>
    <n v="3"/>
    <n v="9"/>
    <n v="4"/>
    <n v="7"/>
    <n v="0"/>
    <n v="0"/>
    <n v="1"/>
    <s v="45-54"/>
    <s v="Upper Medium"/>
    <s v="6-10 Years"/>
  </r>
  <r>
    <n v="773"/>
    <n v="56"/>
    <x v="1"/>
    <s v="Travel_Frequently"/>
    <n v="1240"/>
    <s v="Research &amp; Development"/>
    <n v="9"/>
    <n v="3"/>
    <s v="Medical"/>
    <n v="1071"/>
    <n v="1"/>
    <s v="Female"/>
    <n v="63"/>
    <n v="3"/>
    <n v="1"/>
    <s v="Research Scientist"/>
    <n v="3"/>
    <s v="Married"/>
    <n v="2942"/>
    <n v="12154"/>
    <n v="2"/>
    <s v="No"/>
    <n v="19"/>
    <n v="3"/>
    <n v="2"/>
    <n v="80"/>
    <n v="1"/>
    <n v="18"/>
    <n v="4"/>
    <n v="3"/>
    <n v="5"/>
    <n v="4"/>
    <n v="0"/>
    <n v="3"/>
    <n v="0"/>
    <n v="1"/>
    <s v="55+"/>
    <s v="Low"/>
    <s v="0-5 Years"/>
  </r>
  <r>
    <n v="774"/>
    <n v="36"/>
    <x v="1"/>
    <s v="Travel_Rarely"/>
    <n v="796"/>
    <s v="Research &amp; Development"/>
    <n v="12"/>
    <n v="5"/>
    <s v="Medical"/>
    <n v="1073"/>
    <n v="4"/>
    <s v="Female"/>
    <n v="51"/>
    <n v="2"/>
    <n v="3"/>
    <s v="Manufacturing Director"/>
    <n v="4"/>
    <s v="Single"/>
    <n v="8858"/>
    <n v="15669"/>
    <n v="0"/>
    <s v="No"/>
    <n v="11"/>
    <n v="3"/>
    <n v="2"/>
    <n v="80"/>
    <n v="0"/>
    <n v="15"/>
    <n v="2"/>
    <n v="2"/>
    <n v="14"/>
    <n v="8"/>
    <n v="7"/>
    <n v="8"/>
    <n v="0"/>
    <n v="1"/>
    <s v="35-44"/>
    <s v="Medium"/>
    <s v="11-20 Years"/>
  </r>
  <r>
    <n v="775"/>
    <n v="55"/>
    <x v="1"/>
    <s v="Non-Travel"/>
    <n v="444"/>
    <s v="Research &amp; Development"/>
    <n v="2"/>
    <n v="1"/>
    <s v="Medical"/>
    <n v="1074"/>
    <n v="3"/>
    <s v="Male"/>
    <n v="40"/>
    <n v="2"/>
    <n v="4"/>
    <s v="Manager"/>
    <n v="1"/>
    <s v="Single"/>
    <n v="16756"/>
    <n v="17323"/>
    <n v="7"/>
    <s v="No"/>
    <n v="15"/>
    <n v="3"/>
    <n v="2"/>
    <n v="80"/>
    <n v="0"/>
    <n v="31"/>
    <n v="3"/>
    <n v="4"/>
    <n v="9"/>
    <n v="7"/>
    <n v="6"/>
    <n v="2"/>
    <n v="0"/>
    <n v="1"/>
    <s v="55+"/>
    <s v="High"/>
    <s v="6-10 Years"/>
  </r>
  <r>
    <n v="776"/>
    <n v="43"/>
    <x v="1"/>
    <s v="Travel_Rarely"/>
    <n v="415"/>
    <s v="Sales"/>
    <n v="25"/>
    <n v="3"/>
    <s v="Medical"/>
    <n v="1076"/>
    <n v="3"/>
    <s v="Male"/>
    <n v="79"/>
    <n v="2"/>
    <n v="3"/>
    <s v="Sales Executive"/>
    <n v="4"/>
    <s v="Divorced"/>
    <n v="10798"/>
    <n v="5268"/>
    <n v="5"/>
    <s v="No"/>
    <n v="13"/>
    <n v="3"/>
    <n v="3"/>
    <n v="80"/>
    <n v="1"/>
    <n v="18"/>
    <n v="5"/>
    <n v="3"/>
    <n v="1"/>
    <n v="0"/>
    <n v="0"/>
    <n v="0"/>
    <n v="0"/>
    <n v="1"/>
    <s v="35-44"/>
    <s v="Upper Medium"/>
    <s v="0-5 Years"/>
  </r>
  <r>
    <n v="777"/>
    <n v="20"/>
    <x v="0"/>
    <s v="Travel_Frequently"/>
    <n v="769"/>
    <s v="Sales"/>
    <n v="9"/>
    <n v="3"/>
    <s v="Marketing"/>
    <n v="1077"/>
    <n v="4"/>
    <s v="Female"/>
    <n v="54"/>
    <n v="3"/>
    <n v="1"/>
    <s v="Sales Representative"/>
    <n v="4"/>
    <s v="Single"/>
    <n v="2323"/>
    <n v="17205"/>
    <n v="1"/>
    <s v="Yes"/>
    <n v="14"/>
    <n v="3"/>
    <n v="2"/>
    <n v="80"/>
    <n v="0"/>
    <n v="2"/>
    <n v="3"/>
    <n v="3"/>
    <n v="2"/>
    <n v="2"/>
    <n v="0"/>
    <n v="2"/>
    <n v="1"/>
    <n v="0"/>
    <s v="Under 25"/>
    <s v="Low"/>
    <s v="0-5 Years"/>
  </r>
  <r>
    <n v="778"/>
    <n v="21"/>
    <x v="0"/>
    <s v="Travel_Rarely"/>
    <n v="1334"/>
    <s v="Research &amp; Development"/>
    <n v="10"/>
    <n v="3"/>
    <s v="Life Sciences"/>
    <n v="1079"/>
    <n v="3"/>
    <s v="Female"/>
    <n v="36"/>
    <n v="2"/>
    <n v="1"/>
    <s v="Laboratory Technician"/>
    <n v="1"/>
    <s v="Single"/>
    <n v="1416"/>
    <n v="17258"/>
    <n v="1"/>
    <s v="No"/>
    <n v="13"/>
    <n v="3"/>
    <n v="1"/>
    <n v="80"/>
    <n v="0"/>
    <n v="1"/>
    <n v="6"/>
    <n v="2"/>
    <n v="1"/>
    <n v="0"/>
    <n v="1"/>
    <n v="0"/>
    <n v="1"/>
    <n v="0"/>
    <s v="Under 25"/>
    <s v="Low"/>
    <s v="0-5 Years"/>
  </r>
  <r>
    <n v="779"/>
    <n v="46"/>
    <x v="1"/>
    <s v="Travel_Rarely"/>
    <n v="1003"/>
    <s v="Research &amp; Development"/>
    <n v="8"/>
    <n v="4"/>
    <s v="Life Sciences"/>
    <n v="1080"/>
    <n v="4"/>
    <s v="Female"/>
    <n v="74"/>
    <n v="2"/>
    <n v="2"/>
    <s v="Research Scientist"/>
    <n v="1"/>
    <s v="Divorced"/>
    <n v="4615"/>
    <n v="21029"/>
    <n v="8"/>
    <s v="Yes"/>
    <n v="23"/>
    <n v="4"/>
    <n v="1"/>
    <n v="80"/>
    <n v="3"/>
    <n v="19"/>
    <n v="2"/>
    <n v="3"/>
    <n v="16"/>
    <n v="13"/>
    <n v="1"/>
    <n v="7"/>
    <n v="0"/>
    <n v="1"/>
    <s v="45-54"/>
    <s v="Low"/>
    <s v="11-20 Years"/>
  </r>
  <r>
    <n v="780"/>
    <n v="51"/>
    <x v="0"/>
    <s v="Travel_Rarely"/>
    <n v="1323"/>
    <s v="Research &amp; Development"/>
    <n v="4"/>
    <n v="4"/>
    <s v="Life Sciences"/>
    <n v="1081"/>
    <n v="1"/>
    <s v="Male"/>
    <n v="34"/>
    <n v="3"/>
    <n v="1"/>
    <s v="Research Scientist"/>
    <n v="3"/>
    <s v="Married"/>
    <n v="2461"/>
    <n v="10332"/>
    <n v="9"/>
    <s v="Yes"/>
    <n v="12"/>
    <n v="3"/>
    <n v="3"/>
    <n v="80"/>
    <n v="3"/>
    <n v="18"/>
    <n v="2"/>
    <n v="4"/>
    <n v="10"/>
    <n v="0"/>
    <n v="2"/>
    <n v="7"/>
    <n v="1"/>
    <n v="0"/>
    <s v="45-54"/>
    <s v="Low"/>
    <s v="6-10 Years"/>
  </r>
  <r>
    <n v="781"/>
    <n v="28"/>
    <x v="0"/>
    <s v="Non-Travel"/>
    <n v="1366"/>
    <s v="Research &amp; Development"/>
    <n v="24"/>
    <n v="2"/>
    <s v="Technical Degree"/>
    <n v="1082"/>
    <n v="2"/>
    <s v="Male"/>
    <n v="72"/>
    <n v="2"/>
    <n v="3"/>
    <s v="Healthcare Representative"/>
    <n v="1"/>
    <s v="Single"/>
    <n v="8722"/>
    <n v="12355"/>
    <n v="1"/>
    <s v="No"/>
    <n v="12"/>
    <n v="3"/>
    <n v="1"/>
    <n v="80"/>
    <n v="0"/>
    <n v="10"/>
    <n v="2"/>
    <n v="2"/>
    <n v="10"/>
    <n v="7"/>
    <n v="1"/>
    <n v="9"/>
    <n v="1"/>
    <n v="0"/>
    <s v="25-34"/>
    <s v="Medium"/>
    <s v="6-10 Years"/>
  </r>
  <r>
    <n v="782"/>
    <n v="26"/>
    <x v="1"/>
    <s v="Travel_Rarely"/>
    <n v="192"/>
    <s v="Research &amp; Development"/>
    <n v="1"/>
    <n v="2"/>
    <s v="Medical"/>
    <n v="1083"/>
    <n v="1"/>
    <s v="Male"/>
    <n v="59"/>
    <n v="2"/>
    <n v="1"/>
    <s v="Laboratory Technician"/>
    <n v="1"/>
    <s v="Married"/>
    <n v="3955"/>
    <n v="11141"/>
    <n v="1"/>
    <s v="No"/>
    <n v="16"/>
    <n v="3"/>
    <n v="1"/>
    <n v="80"/>
    <n v="2"/>
    <n v="6"/>
    <n v="2"/>
    <n v="3"/>
    <n v="5"/>
    <n v="3"/>
    <n v="1"/>
    <n v="3"/>
    <n v="0"/>
    <n v="1"/>
    <s v="25-34"/>
    <s v="Low"/>
    <s v="0-5 Years"/>
  </r>
  <r>
    <n v="783"/>
    <n v="30"/>
    <x v="1"/>
    <s v="Travel_Rarely"/>
    <n v="1176"/>
    <s v="Research &amp; Development"/>
    <n v="20"/>
    <n v="3"/>
    <s v="Other"/>
    <n v="1084"/>
    <n v="3"/>
    <s v="Male"/>
    <n v="85"/>
    <n v="3"/>
    <n v="2"/>
    <s v="Manufacturing Director"/>
    <n v="1"/>
    <s v="Married"/>
    <n v="9957"/>
    <n v="9096"/>
    <n v="0"/>
    <s v="No"/>
    <n v="15"/>
    <n v="3"/>
    <n v="3"/>
    <n v="80"/>
    <n v="1"/>
    <n v="7"/>
    <n v="1"/>
    <n v="2"/>
    <n v="6"/>
    <n v="2"/>
    <n v="0"/>
    <n v="2"/>
    <n v="0"/>
    <n v="1"/>
    <s v="25-34"/>
    <s v="Medium"/>
    <s v="6-10 Years"/>
  </r>
  <r>
    <n v="784"/>
    <n v="41"/>
    <x v="1"/>
    <s v="Travel_Rarely"/>
    <n v="509"/>
    <s v="Research &amp; Development"/>
    <n v="7"/>
    <n v="2"/>
    <s v="Technical Degree"/>
    <n v="1085"/>
    <n v="2"/>
    <s v="Female"/>
    <n v="43"/>
    <n v="4"/>
    <n v="1"/>
    <s v="Research Scientist"/>
    <n v="3"/>
    <s v="Married"/>
    <n v="3376"/>
    <n v="18863"/>
    <n v="1"/>
    <s v="No"/>
    <n v="13"/>
    <n v="3"/>
    <n v="3"/>
    <n v="80"/>
    <n v="0"/>
    <n v="10"/>
    <n v="3"/>
    <n v="3"/>
    <n v="10"/>
    <n v="6"/>
    <n v="0"/>
    <n v="8"/>
    <n v="0"/>
    <n v="1"/>
    <s v="35-44"/>
    <s v="Low"/>
    <s v="6-10 Years"/>
  </r>
  <r>
    <n v="785"/>
    <n v="38"/>
    <x v="1"/>
    <s v="Travel_Rarely"/>
    <n v="330"/>
    <s v="Research &amp; Development"/>
    <n v="17"/>
    <n v="1"/>
    <s v="Life Sciences"/>
    <n v="1088"/>
    <n v="3"/>
    <s v="Female"/>
    <n v="65"/>
    <n v="2"/>
    <n v="3"/>
    <s v="Healthcare Representative"/>
    <n v="3"/>
    <s v="Married"/>
    <n v="8823"/>
    <n v="24608"/>
    <n v="0"/>
    <s v="No"/>
    <n v="18"/>
    <n v="3"/>
    <n v="1"/>
    <n v="80"/>
    <n v="1"/>
    <n v="20"/>
    <n v="4"/>
    <n v="2"/>
    <n v="19"/>
    <n v="9"/>
    <n v="1"/>
    <n v="9"/>
    <n v="0"/>
    <n v="1"/>
    <s v="35-44"/>
    <s v="Medium"/>
    <s v="11-20 Years"/>
  </r>
  <r>
    <n v="786"/>
    <n v="40"/>
    <x v="1"/>
    <s v="Travel_Rarely"/>
    <n v="1492"/>
    <s v="Research &amp; Development"/>
    <n v="20"/>
    <n v="4"/>
    <s v="Technical Degree"/>
    <n v="1092"/>
    <n v="1"/>
    <s v="Male"/>
    <n v="61"/>
    <n v="3"/>
    <n v="3"/>
    <s v="Healthcare Representative"/>
    <n v="4"/>
    <s v="Married"/>
    <n v="10322"/>
    <n v="26542"/>
    <n v="4"/>
    <s v="No"/>
    <n v="20"/>
    <n v="4"/>
    <n v="4"/>
    <n v="80"/>
    <n v="1"/>
    <n v="14"/>
    <n v="6"/>
    <n v="3"/>
    <n v="11"/>
    <n v="10"/>
    <n v="11"/>
    <n v="1"/>
    <n v="0"/>
    <n v="1"/>
    <s v="35-44"/>
    <s v="Upper Medium"/>
    <s v="11-20 Years"/>
  </r>
  <r>
    <n v="787"/>
    <n v="27"/>
    <x v="1"/>
    <s v="Non-Travel"/>
    <n v="1277"/>
    <s v="Research &amp; Development"/>
    <n v="8"/>
    <n v="5"/>
    <s v="Life Sciences"/>
    <n v="1094"/>
    <n v="1"/>
    <s v="Male"/>
    <n v="87"/>
    <n v="1"/>
    <n v="1"/>
    <s v="Laboratory Technician"/>
    <n v="3"/>
    <s v="Married"/>
    <n v="4621"/>
    <n v="5869"/>
    <n v="1"/>
    <s v="No"/>
    <n v="19"/>
    <n v="3"/>
    <n v="4"/>
    <n v="80"/>
    <n v="3"/>
    <n v="3"/>
    <n v="4"/>
    <n v="3"/>
    <n v="3"/>
    <n v="2"/>
    <n v="1"/>
    <n v="2"/>
    <n v="0"/>
    <n v="1"/>
    <s v="25-34"/>
    <s v="Low"/>
    <s v="0-5 Years"/>
  </r>
  <r>
    <n v="788"/>
    <n v="55"/>
    <x v="1"/>
    <s v="Travel_Frequently"/>
    <n v="1091"/>
    <s v="Research &amp; Development"/>
    <n v="2"/>
    <n v="1"/>
    <s v="Life Sciences"/>
    <n v="1096"/>
    <n v="4"/>
    <s v="Male"/>
    <n v="65"/>
    <n v="3"/>
    <n v="3"/>
    <s v="Manufacturing Director"/>
    <n v="2"/>
    <s v="Married"/>
    <n v="10976"/>
    <n v="15813"/>
    <n v="3"/>
    <s v="No"/>
    <n v="18"/>
    <n v="3"/>
    <n v="2"/>
    <n v="80"/>
    <n v="1"/>
    <n v="23"/>
    <n v="4"/>
    <n v="3"/>
    <n v="3"/>
    <n v="2"/>
    <n v="1"/>
    <n v="2"/>
    <n v="0"/>
    <n v="1"/>
    <s v="55+"/>
    <s v="Upper Medium"/>
    <s v="0-5 Years"/>
  </r>
  <r>
    <n v="789"/>
    <n v="28"/>
    <x v="1"/>
    <s v="Travel_Rarely"/>
    <n v="857"/>
    <s v="Research &amp; Development"/>
    <n v="10"/>
    <n v="3"/>
    <s v="Other"/>
    <n v="1097"/>
    <n v="3"/>
    <s v="Female"/>
    <n v="59"/>
    <n v="3"/>
    <n v="2"/>
    <s v="Research Scientist"/>
    <n v="3"/>
    <s v="Single"/>
    <n v="3660"/>
    <n v="7909"/>
    <n v="3"/>
    <s v="No"/>
    <n v="13"/>
    <n v="3"/>
    <n v="4"/>
    <n v="80"/>
    <n v="0"/>
    <n v="10"/>
    <n v="4"/>
    <n v="4"/>
    <n v="8"/>
    <n v="7"/>
    <n v="1"/>
    <n v="7"/>
    <n v="0"/>
    <n v="1"/>
    <s v="25-34"/>
    <s v="Low"/>
    <s v="6-10 Years"/>
  </r>
  <r>
    <n v="790"/>
    <n v="44"/>
    <x v="0"/>
    <s v="Travel_Rarely"/>
    <n v="1376"/>
    <s v="Human Resources"/>
    <n v="1"/>
    <n v="2"/>
    <s v="Medical"/>
    <n v="1098"/>
    <n v="2"/>
    <s v="Male"/>
    <n v="91"/>
    <n v="2"/>
    <n v="3"/>
    <s v="Human Resources"/>
    <n v="1"/>
    <s v="Married"/>
    <n v="10482"/>
    <n v="2326"/>
    <n v="9"/>
    <s v="No"/>
    <n v="14"/>
    <n v="3"/>
    <n v="4"/>
    <n v="80"/>
    <n v="1"/>
    <n v="24"/>
    <n v="1"/>
    <n v="3"/>
    <n v="20"/>
    <n v="6"/>
    <n v="3"/>
    <n v="6"/>
    <n v="1"/>
    <n v="0"/>
    <s v="35-44"/>
    <s v="Upper Medium"/>
    <s v="11-20 Years"/>
  </r>
  <r>
    <n v="791"/>
    <n v="33"/>
    <x v="1"/>
    <s v="Travel_Rarely"/>
    <n v="654"/>
    <s v="Research &amp; Development"/>
    <n v="5"/>
    <n v="3"/>
    <s v="Life Sciences"/>
    <n v="1099"/>
    <n v="4"/>
    <s v="Male"/>
    <n v="34"/>
    <n v="2"/>
    <n v="3"/>
    <s v="Healthcare Representative"/>
    <n v="4"/>
    <s v="Divorced"/>
    <n v="7119"/>
    <n v="21214"/>
    <n v="4"/>
    <s v="No"/>
    <n v="15"/>
    <n v="3"/>
    <n v="3"/>
    <n v="80"/>
    <n v="1"/>
    <n v="9"/>
    <n v="2"/>
    <n v="3"/>
    <n v="3"/>
    <n v="2"/>
    <n v="1"/>
    <n v="2"/>
    <n v="0"/>
    <n v="1"/>
    <s v="25-34"/>
    <s v="Medium"/>
    <s v="0-5 Years"/>
  </r>
  <r>
    <n v="792"/>
    <n v="35"/>
    <x v="0"/>
    <s v="Travel_Rarely"/>
    <n v="1204"/>
    <s v="Sales"/>
    <n v="4"/>
    <n v="3"/>
    <s v="Technical Degree"/>
    <n v="1100"/>
    <n v="4"/>
    <s v="Male"/>
    <n v="86"/>
    <n v="3"/>
    <n v="3"/>
    <s v="Sales Executive"/>
    <n v="1"/>
    <s v="Single"/>
    <n v="9582"/>
    <n v="10333"/>
    <n v="0"/>
    <s v="Yes"/>
    <n v="22"/>
    <n v="4"/>
    <n v="1"/>
    <n v="80"/>
    <n v="0"/>
    <n v="9"/>
    <n v="2"/>
    <n v="3"/>
    <n v="8"/>
    <n v="7"/>
    <n v="4"/>
    <n v="7"/>
    <n v="1"/>
    <n v="0"/>
    <s v="35-44"/>
    <s v="Medium"/>
    <s v="6-10 Years"/>
  </r>
  <r>
    <n v="793"/>
    <n v="33"/>
    <x v="0"/>
    <s v="Travel_Frequently"/>
    <n v="827"/>
    <s v="Research &amp; Development"/>
    <n v="29"/>
    <n v="4"/>
    <s v="Medical"/>
    <n v="1101"/>
    <n v="1"/>
    <s v="Female"/>
    <n v="54"/>
    <n v="2"/>
    <n v="2"/>
    <s v="Research Scientist"/>
    <n v="3"/>
    <s v="Single"/>
    <n v="4508"/>
    <n v="3129"/>
    <n v="1"/>
    <s v="No"/>
    <n v="22"/>
    <n v="4"/>
    <n v="2"/>
    <n v="80"/>
    <n v="0"/>
    <n v="14"/>
    <n v="4"/>
    <n v="3"/>
    <n v="13"/>
    <n v="7"/>
    <n v="3"/>
    <n v="8"/>
    <n v="1"/>
    <n v="0"/>
    <s v="25-34"/>
    <s v="Low"/>
    <s v="11-20 Years"/>
  </r>
  <r>
    <n v="794"/>
    <n v="28"/>
    <x v="1"/>
    <s v="Travel_Rarely"/>
    <n v="895"/>
    <s v="Research &amp; Development"/>
    <n v="15"/>
    <n v="2"/>
    <s v="Life Sciences"/>
    <n v="1102"/>
    <n v="1"/>
    <s v="Male"/>
    <n v="50"/>
    <n v="3"/>
    <n v="1"/>
    <s v="Laboratory Technician"/>
    <n v="3"/>
    <s v="Divorced"/>
    <n v="2207"/>
    <n v="22482"/>
    <n v="1"/>
    <s v="No"/>
    <n v="16"/>
    <n v="3"/>
    <n v="4"/>
    <n v="80"/>
    <n v="1"/>
    <n v="4"/>
    <n v="5"/>
    <n v="2"/>
    <n v="4"/>
    <n v="2"/>
    <n v="2"/>
    <n v="2"/>
    <n v="0"/>
    <n v="1"/>
    <s v="25-34"/>
    <s v="Low"/>
    <s v="0-5 Years"/>
  </r>
  <r>
    <n v="795"/>
    <n v="34"/>
    <x v="1"/>
    <s v="Travel_Frequently"/>
    <n v="618"/>
    <s v="Research &amp; Development"/>
    <n v="3"/>
    <n v="1"/>
    <s v="Life Sciences"/>
    <n v="1103"/>
    <n v="1"/>
    <s v="Male"/>
    <n v="45"/>
    <n v="3"/>
    <n v="2"/>
    <s v="Healthcare Representative"/>
    <n v="4"/>
    <s v="Single"/>
    <n v="7756"/>
    <n v="22266"/>
    <n v="0"/>
    <s v="No"/>
    <n v="17"/>
    <n v="3"/>
    <n v="3"/>
    <n v="80"/>
    <n v="0"/>
    <n v="7"/>
    <n v="1"/>
    <n v="2"/>
    <n v="6"/>
    <n v="2"/>
    <n v="0"/>
    <n v="4"/>
    <n v="0"/>
    <n v="1"/>
    <s v="25-34"/>
    <s v="Medium"/>
    <s v="6-10 Years"/>
  </r>
  <r>
    <n v="796"/>
    <n v="37"/>
    <x v="1"/>
    <s v="Travel_Rarely"/>
    <n v="309"/>
    <s v="Sales"/>
    <n v="10"/>
    <n v="4"/>
    <s v="Life Sciences"/>
    <n v="1105"/>
    <n v="4"/>
    <s v="Female"/>
    <n v="88"/>
    <n v="2"/>
    <n v="2"/>
    <s v="Sales Executive"/>
    <n v="4"/>
    <s v="Divorced"/>
    <n v="6694"/>
    <n v="24223"/>
    <n v="2"/>
    <s v="Yes"/>
    <n v="14"/>
    <n v="3"/>
    <n v="3"/>
    <n v="80"/>
    <n v="3"/>
    <n v="8"/>
    <n v="5"/>
    <n v="3"/>
    <n v="1"/>
    <n v="0"/>
    <n v="0"/>
    <n v="0"/>
    <n v="0"/>
    <n v="1"/>
    <s v="35-44"/>
    <s v="Medium"/>
    <s v="0-5 Years"/>
  </r>
  <r>
    <n v="797"/>
    <n v="25"/>
    <x v="0"/>
    <s v="Travel_Rarely"/>
    <n v="1219"/>
    <s v="Research &amp; Development"/>
    <n v="4"/>
    <n v="1"/>
    <s v="Technical Degree"/>
    <n v="1106"/>
    <n v="4"/>
    <s v="Male"/>
    <n v="32"/>
    <n v="3"/>
    <n v="1"/>
    <s v="Laboratory Technician"/>
    <n v="4"/>
    <s v="Married"/>
    <n v="3691"/>
    <n v="4605"/>
    <n v="1"/>
    <s v="Yes"/>
    <n v="15"/>
    <n v="3"/>
    <n v="2"/>
    <n v="80"/>
    <n v="1"/>
    <n v="7"/>
    <n v="3"/>
    <n v="4"/>
    <n v="7"/>
    <n v="7"/>
    <n v="5"/>
    <n v="6"/>
    <n v="1"/>
    <n v="0"/>
    <s v="25-34"/>
    <s v="Low"/>
    <s v="6-10 Years"/>
  </r>
  <r>
    <n v="798"/>
    <n v="26"/>
    <x v="0"/>
    <s v="Travel_Rarely"/>
    <n v="1330"/>
    <s v="Research &amp; Development"/>
    <n v="21"/>
    <n v="3"/>
    <s v="Medical"/>
    <n v="1107"/>
    <n v="1"/>
    <s v="Male"/>
    <n v="37"/>
    <n v="3"/>
    <n v="1"/>
    <s v="Laboratory Technician"/>
    <n v="3"/>
    <s v="Divorced"/>
    <n v="2377"/>
    <n v="19373"/>
    <n v="1"/>
    <s v="No"/>
    <n v="20"/>
    <n v="4"/>
    <n v="3"/>
    <n v="80"/>
    <n v="1"/>
    <n v="1"/>
    <n v="0"/>
    <n v="2"/>
    <n v="1"/>
    <n v="1"/>
    <n v="0"/>
    <n v="0"/>
    <n v="1"/>
    <n v="0"/>
    <s v="25-34"/>
    <s v="Low"/>
    <s v="0-5 Years"/>
  </r>
  <r>
    <n v="799"/>
    <n v="33"/>
    <x v="0"/>
    <s v="Travel_Rarely"/>
    <n v="1017"/>
    <s v="Research &amp; Development"/>
    <n v="25"/>
    <n v="3"/>
    <s v="Medical"/>
    <n v="1108"/>
    <n v="1"/>
    <s v="Male"/>
    <n v="55"/>
    <n v="2"/>
    <n v="1"/>
    <s v="Research Scientist"/>
    <n v="2"/>
    <s v="Single"/>
    <n v="2313"/>
    <n v="2993"/>
    <n v="4"/>
    <s v="Yes"/>
    <n v="20"/>
    <n v="4"/>
    <n v="2"/>
    <n v="80"/>
    <n v="0"/>
    <n v="5"/>
    <n v="0"/>
    <n v="3"/>
    <n v="2"/>
    <n v="2"/>
    <n v="2"/>
    <n v="2"/>
    <n v="1"/>
    <n v="0"/>
    <s v="25-34"/>
    <s v="Low"/>
    <s v="0-5 Years"/>
  </r>
  <r>
    <n v="800"/>
    <n v="42"/>
    <x v="1"/>
    <s v="Travel_Rarely"/>
    <n v="469"/>
    <s v="Research &amp; Development"/>
    <n v="2"/>
    <n v="2"/>
    <s v="Medical"/>
    <n v="1109"/>
    <n v="4"/>
    <s v="Male"/>
    <n v="35"/>
    <n v="3"/>
    <n v="4"/>
    <s v="Manager"/>
    <n v="1"/>
    <s v="Married"/>
    <n v="17665"/>
    <n v="14399"/>
    <n v="0"/>
    <s v="No"/>
    <n v="17"/>
    <n v="3"/>
    <n v="4"/>
    <n v="80"/>
    <n v="1"/>
    <n v="23"/>
    <n v="3"/>
    <n v="3"/>
    <n v="22"/>
    <n v="6"/>
    <n v="13"/>
    <n v="7"/>
    <n v="0"/>
    <n v="1"/>
    <s v="35-44"/>
    <s v="High"/>
    <s v="21+ Years"/>
  </r>
  <r>
    <n v="801"/>
    <n v="28"/>
    <x v="0"/>
    <s v="Travel_Frequently"/>
    <n v="1009"/>
    <s v="Research &amp; Development"/>
    <n v="1"/>
    <n v="3"/>
    <s v="Medical"/>
    <n v="1111"/>
    <n v="1"/>
    <s v="Male"/>
    <n v="45"/>
    <n v="2"/>
    <n v="1"/>
    <s v="Laboratory Technician"/>
    <n v="2"/>
    <s v="Divorced"/>
    <n v="2596"/>
    <n v="7160"/>
    <n v="1"/>
    <s v="No"/>
    <n v="15"/>
    <n v="3"/>
    <n v="1"/>
    <n v="80"/>
    <n v="2"/>
    <n v="1"/>
    <n v="2"/>
    <n v="3"/>
    <n v="1"/>
    <n v="0"/>
    <n v="0"/>
    <n v="0"/>
    <n v="1"/>
    <n v="0"/>
    <s v="25-34"/>
    <s v="Low"/>
    <s v="0-5 Years"/>
  </r>
  <r>
    <n v="802"/>
    <n v="50"/>
    <x v="0"/>
    <s v="Travel_Frequently"/>
    <n v="959"/>
    <s v="Sales"/>
    <n v="1"/>
    <n v="4"/>
    <s v="Other"/>
    <n v="1113"/>
    <n v="4"/>
    <s v="Male"/>
    <n v="81"/>
    <n v="3"/>
    <n v="2"/>
    <s v="Sales Executive"/>
    <n v="3"/>
    <s v="Single"/>
    <n v="4728"/>
    <n v="17251"/>
    <n v="3"/>
    <s v="Yes"/>
    <n v="14"/>
    <n v="3"/>
    <n v="4"/>
    <n v="80"/>
    <n v="0"/>
    <n v="5"/>
    <n v="4"/>
    <n v="3"/>
    <n v="0"/>
    <n v="0"/>
    <n v="0"/>
    <n v="0"/>
    <n v="1"/>
    <n v="0"/>
    <s v="45-54"/>
    <s v="Low"/>
    <s v="0-5 Years"/>
  </r>
  <r>
    <n v="803"/>
    <n v="33"/>
    <x v="1"/>
    <s v="Travel_Frequently"/>
    <n v="970"/>
    <s v="Sales"/>
    <n v="7"/>
    <n v="3"/>
    <s v="Life Sciences"/>
    <n v="1114"/>
    <n v="4"/>
    <s v="Female"/>
    <n v="30"/>
    <n v="3"/>
    <n v="2"/>
    <s v="Sales Executive"/>
    <n v="2"/>
    <s v="Married"/>
    <n v="4302"/>
    <n v="13401"/>
    <n v="0"/>
    <s v="No"/>
    <n v="17"/>
    <n v="3"/>
    <n v="3"/>
    <n v="80"/>
    <n v="1"/>
    <n v="4"/>
    <n v="3"/>
    <n v="3"/>
    <n v="3"/>
    <n v="2"/>
    <n v="0"/>
    <n v="2"/>
    <n v="0"/>
    <n v="1"/>
    <s v="25-34"/>
    <s v="Low"/>
    <s v="0-5 Years"/>
  </r>
  <r>
    <n v="804"/>
    <n v="34"/>
    <x v="1"/>
    <s v="Non-Travel"/>
    <n v="697"/>
    <s v="Research &amp; Development"/>
    <n v="3"/>
    <n v="4"/>
    <s v="Life Sciences"/>
    <n v="1115"/>
    <n v="3"/>
    <s v="Male"/>
    <n v="40"/>
    <n v="2"/>
    <n v="1"/>
    <s v="Research Scientist"/>
    <n v="4"/>
    <s v="Married"/>
    <n v="2979"/>
    <n v="22478"/>
    <n v="3"/>
    <s v="No"/>
    <n v="17"/>
    <n v="3"/>
    <n v="4"/>
    <n v="80"/>
    <n v="3"/>
    <n v="6"/>
    <n v="2"/>
    <n v="3"/>
    <n v="0"/>
    <n v="0"/>
    <n v="0"/>
    <n v="0"/>
    <n v="0"/>
    <n v="1"/>
    <s v="25-34"/>
    <s v="Low"/>
    <s v="0-5 Years"/>
  </r>
  <r>
    <n v="805"/>
    <n v="48"/>
    <x v="1"/>
    <s v="Non-Travel"/>
    <n v="1262"/>
    <s v="Research &amp; Development"/>
    <n v="1"/>
    <n v="4"/>
    <s v="Medical"/>
    <n v="1116"/>
    <n v="1"/>
    <s v="Male"/>
    <n v="35"/>
    <n v="4"/>
    <n v="4"/>
    <s v="Manager"/>
    <n v="4"/>
    <s v="Single"/>
    <n v="16885"/>
    <n v="16154"/>
    <n v="2"/>
    <s v="No"/>
    <n v="22"/>
    <n v="4"/>
    <n v="3"/>
    <n v="80"/>
    <n v="0"/>
    <n v="27"/>
    <n v="3"/>
    <n v="2"/>
    <n v="5"/>
    <n v="4"/>
    <n v="2"/>
    <n v="1"/>
    <n v="0"/>
    <n v="1"/>
    <s v="45-54"/>
    <s v="High"/>
    <s v="0-5 Years"/>
  </r>
  <r>
    <n v="806"/>
    <n v="45"/>
    <x v="1"/>
    <s v="Non-Travel"/>
    <n v="1050"/>
    <s v="Sales"/>
    <n v="9"/>
    <n v="4"/>
    <s v="Life Sciences"/>
    <n v="1117"/>
    <n v="2"/>
    <s v="Female"/>
    <n v="65"/>
    <n v="2"/>
    <n v="2"/>
    <s v="Sales Executive"/>
    <n v="3"/>
    <s v="Married"/>
    <n v="5593"/>
    <n v="17970"/>
    <n v="1"/>
    <s v="No"/>
    <n v="13"/>
    <n v="3"/>
    <n v="4"/>
    <n v="80"/>
    <n v="1"/>
    <n v="15"/>
    <n v="2"/>
    <n v="3"/>
    <n v="15"/>
    <n v="10"/>
    <n v="4"/>
    <n v="12"/>
    <n v="0"/>
    <n v="1"/>
    <s v="45-54"/>
    <s v="Medium"/>
    <s v="11-20 Years"/>
  </r>
  <r>
    <n v="807"/>
    <n v="52"/>
    <x v="1"/>
    <s v="Travel_Rarely"/>
    <n v="994"/>
    <s v="Research &amp; Development"/>
    <n v="7"/>
    <n v="4"/>
    <s v="Life Sciences"/>
    <n v="1118"/>
    <n v="2"/>
    <s v="Male"/>
    <n v="87"/>
    <n v="3"/>
    <n v="3"/>
    <s v="Healthcare Representative"/>
    <n v="2"/>
    <s v="Single"/>
    <n v="10445"/>
    <n v="15322"/>
    <n v="7"/>
    <s v="No"/>
    <n v="19"/>
    <n v="3"/>
    <n v="4"/>
    <n v="80"/>
    <n v="0"/>
    <n v="18"/>
    <n v="4"/>
    <n v="3"/>
    <n v="8"/>
    <n v="6"/>
    <n v="4"/>
    <n v="0"/>
    <n v="0"/>
    <n v="1"/>
    <s v="45-54"/>
    <s v="Upper Medium"/>
    <s v="6-10 Years"/>
  </r>
  <r>
    <n v="808"/>
    <n v="38"/>
    <x v="1"/>
    <s v="Travel_Rarely"/>
    <n v="770"/>
    <s v="Sales"/>
    <n v="10"/>
    <n v="4"/>
    <s v="Marketing"/>
    <n v="1119"/>
    <n v="3"/>
    <s v="Male"/>
    <n v="73"/>
    <n v="2"/>
    <n v="3"/>
    <s v="Sales Executive"/>
    <n v="3"/>
    <s v="Divorced"/>
    <n v="8740"/>
    <n v="5569"/>
    <n v="0"/>
    <s v="Yes"/>
    <n v="14"/>
    <n v="3"/>
    <n v="2"/>
    <n v="80"/>
    <n v="2"/>
    <n v="9"/>
    <n v="2"/>
    <n v="3"/>
    <n v="8"/>
    <n v="7"/>
    <n v="2"/>
    <n v="7"/>
    <n v="0"/>
    <n v="1"/>
    <s v="35-44"/>
    <s v="Medium"/>
    <s v="6-10 Years"/>
  </r>
  <r>
    <n v="809"/>
    <n v="29"/>
    <x v="1"/>
    <s v="Travel_Rarely"/>
    <n v="1107"/>
    <s v="Research &amp; Development"/>
    <n v="28"/>
    <n v="4"/>
    <s v="Life Sciences"/>
    <n v="1120"/>
    <n v="3"/>
    <s v="Female"/>
    <n v="93"/>
    <n v="3"/>
    <n v="1"/>
    <s v="Research Scientist"/>
    <n v="4"/>
    <s v="Divorced"/>
    <n v="2514"/>
    <n v="26968"/>
    <n v="4"/>
    <s v="No"/>
    <n v="22"/>
    <n v="4"/>
    <n v="1"/>
    <n v="80"/>
    <n v="1"/>
    <n v="11"/>
    <n v="1"/>
    <n v="3"/>
    <n v="7"/>
    <n v="5"/>
    <n v="1"/>
    <n v="7"/>
    <n v="0"/>
    <n v="1"/>
    <s v="25-34"/>
    <s v="Low"/>
    <s v="6-10 Years"/>
  </r>
  <r>
    <n v="810"/>
    <n v="28"/>
    <x v="1"/>
    <s v="Travel_Rarely"/>
    <n v="950"/>
    <s v="Research &amp; Development"/>
    <n v="3"/>
    <n v="3"/>
    <s v="Medical"/>
    <n v="1121"/>
    <n v="4"/>
    <s v="Female"/>
    <n v="93"/>
    <n v="3"/>
    <n v="3"/>
    <s v="Manufacturing Director"/>
    <n v="2"/>
    <s v="Divorced"/>
    <n v="7655"/>
    <n v="8039"/>
    <n v="0"/>
    <s v="No"/>
    <n v="17"/>
    <n v="3"/>
    <n v="2"/>
    <n v="80"/>
    <n v="3"/>
    <n v="10"/>
    <n v="3"/>
    <n v="2"/>
    <n v="9"/>
    <n v="7"/>
    <n v="1"/>
    <n v="7"/>
    <n v="0"/>
    <n v="1"/>
    <s v="25-34"/>
    <s v="Medium"/>
    <s v="6-10 Years"/>
  </r>
  <r>
    <n v="811"/>
    <n v="46"/>
    <x v="1"/>
    <s v="Travel_Rarely"/>
    <n v="406"/>
    <s v="Sales"/>
    <n v="3"/>
    <n v="1"/>
    <s v="Marketing"/>
    <n v="1124"/>
    <n v="1"/>
    <s v="Male"/>
    <n v="52"/>
    <n v="3"/>
    <n v="4"/>
    <s v="Manager"/>
    <n v="3"/>
    <s v="Married"/>
    <n v="17465"/>
    <n v="15596"/>
    <n v="3"/>
    <s v="No"/>
    <n v="12"/>
    <n v="3"/>
    <n v="4"/>
    <n v="80"/>
    <n v="1"/>
    <n v="23"/>
    <n v="3"/>
    <n v="3"/>
    <n v="12"/>
    <n v="9"/>
    <n v="4"/>
    <n v="9"/>
    <n v="0"/>
    <n v="1"/>
    <s v="45-54"/>
    <s v="High"/>
    <s v="11-20 Years"/>
  </r>
  <r>
    <n v="812"/>
    <n v="38"/>
    <x v="1"/>
    <s v="Travel_Rarely"/>
    <n v="130"/>
    <s v="Sales"/>
    <n v="2"/>
    <n v="2"/>
    <s v="Marketing"/>
    <n v="1125"/>
    <n v="4"/>
    <s v="Male"/>
    <n v="32"/>
    <n v="3"/>
    <n v="3"/>
    <s v="Sales Executive"/>
    <n v="2"/>
    <s v="Single"/>
    <n v="7351"/>
    <n v="20619"/>
    <n v="7"/>
    <s v="No"/>
    <n v="16"/>
    <n v="3"/>
    <n v="3"/>
    <n v="80"/>
    <n v="0"/>
    <n v="10"/>
    <n v="2"/>
    <n v="3"/>
    <n v="1"/>
    <n v="0"/>
    <n v="0"/>
    <n v="0"/>
    <n v="0"/>
    <n v="1"/>
    <s v="35-44"/>
    <s v="Medium"/>
    <s v="0-5 Years"/>
  </r>
  <r>
    <n v="813"/>
    <n v="43"/>
    <x v="1"/>
    <s v="Travel_Frequently"/>
    <n v="1082"/>
    <s v="Research &amp; Development"/>
    <n v="27"/>
    <n v="3"/>
    <s v="Life Sciences"/>
    <n v="1126"/>
    <n v="3"/>
    <s v="Female"/>
    <n v="83"/>
    <n v="3"/>
    <n v="3"/>
    <s v="Manufacturing Director"/>
    <n v="1"/>
    <s v="Married"/>
    <n v="10820"/>
    <n v="11535"/>
    <n v="8"/>
    <s v="No"/>
    <n v="11"/>
    <n v="3"/>
    <n v="3"/>
    <n v="80"/>
    <n v="1"/>
    <n v="18"/>
    <n v="1"/>
    <n v="3"/>
    <n v="8"/>
    <n v="7"/>
    <n v="0"/>
    <n v="1"/>
    <n v="0"/>
    <n v="1"/>
    <s v="35-44"/>
    <s v="Upper Medium"/>
    <s v="6-10 Years"/>
  </r>
  <r>
    <n v="814"/>
    <n v="39"/>
    <x v="0"/>
    <s v="Travel_Frequently"/>
    <n v="203"/>
    <s v="Research &amp; Development"/>
    <n v="2"/>
    <n v="3"/>
    <s v="Life Sciences"/>
    <n v="1127"/>
    <n v="1"/>
    <s v="Male"/>
    <n v="84"/>
    <n v="3"/>
    <n v="4"/>
    <s v="Healthcare Representative"/>
    <n v="4"/>
    <s v="Divorced"/>
    <n v="12169"/>
    <n v="13547"/>
    <n v="7"/>
    <s v="No"/>
    <n v="11"/>
    <n v="3"/>
    <n v="4"/>
    <n v="80"/>
    <n v="3"/>
    <n v="21"/>
    <n v="4"/>
    <n v="3"/>
    <n v="18"/>
    <n v="7"/>
    <n v="11"/>
    <n v="5"/>
    <n v="1"/>
    <n v="0"/>
    <s v="35-44"/>
    <s v="Upper Medium"/>
    <s v="11-20 Years"/>
  </r>
  <r>
    <n v="815"/>
    <n v="40"/>
    <x v="1"/>
    <s v="Travel_Rarely"/>
    <n v="1308"/>
    <s v="Research &amp; Development"/>
    <n v="14"/>
    <n v="3"/>
    <s v="Medical"/>
    <n v="1128"/>
    <n v="3"/>
    <s v="Male"/>
    <n v="44"/>
    <n v="2"/>
    <n v="5"/>
    <s v="Research Director"/>
    <n v="3"/>
    <s v="Single"/>
    <n v="19626"/>
    <n v="17544"/>
    <n v="1"/>
    <s v="No"/>
    <n v="14"/>
    <n v="3"/>
    <n v="1"/>
    <n v="80"/>
    <n v="0"/>
    <n v="21"/>
    <n v="2"/>
    <n v="4"/>
    <n v="20"/>
    <n v="7"/>
    <n v="4"/>
    <n v="9"/>
    <n v="0"/>
    <n v="1"/>
    <s v="35-44"/>
    <s v="High"/>
    <s v="11-20 Years"/>
  </r>
  <r>
    <n v="816"/>
    <n v="21"/>
    <x v="1"/>
    <s v="Travel_Rarely"/>
    <n v="984"/>
    <s v="Research &amp; Development"/>
    <n v="1"/>
    <n v="1"/>
    <s v="Technical Degree"/>
    <n v="1131"/>
    <n v="4"/>
    <s v="Female"/>
    <n v="70"/>
    <n v="2"/>
    <n v="1"/>
    <s v="Research Scientist"/>
    <n v="2"/>
    <s v="Single"/>
    <n v="2070"/>
    <n v="25326"/>
    <n v="1"/>
    <s v="Yes"/>
    <n v="11"/>
    <n v="3"/>
    <n v="3"/>
    <n v="80"/>
    <n v="0"/>
    <n v="2"/>
    <n v="6"/>
    <n v="4"/>
    <n v="2"/>
    <n v="2"/>
    <n v="2"/>
    <n v="2"/>
    <n v="0"/>
    <n v="1"/>
    <s v="Under 25"/>
    <s v="Low"/>
    <s v="0-5 Years"/>
  </r>
  <r>
    <n v="817"/>
    <n v="39"/>
    <x v="1"/>
    <s v="Non-Travel"/>
    <n v="439"/>
    <s v="Research &amp; Development"/>
    <n v="9"/>
    <n v="3"/>
    <s v="Life Sciences"/>
    <n v="1132"/>
    <n v="3"/>
    <s v="Male"/>
    <n v="70"/>
    <n v="3"/>
    <n v="2"/>
    <s v="Laboratory Technician"/>
    <n v="2"/>
    <s v="Single"/>
    <n v="6782"/>
    <n v="8770"/>
    <n v="9"/>
    <s v="No"/>
    <n v="15"/>
    <n v="3"/>
    <n v="3"/>
    <n v="80"/>
    <n v="0"/>
    <n v="9"/>
    <n v="2"/>
    <n v="2"/>
    <n v="5"/>
    <n v="4"/>
    <n v="0"/>
    <n v="3"/>
    <n v="0"/>
    <n v="1"/>
    <s v="35-44"/>
    <s v="Medium"/>
    <s v="0-5 Years"/>
  </r>
  <r>
    <n v="818"/>
    <n v="36"/>
    <x v="1"/>
    <s v="Non-Travel"/>
    <n v="217"/>
    <s v="Research &amp; Development"/>
    <n v="18"/>
    <n v="4"/>
    <s v="Life Sciences"/>
    <n v="1133"/>
    <n v="1"/>
    <s v="Male"/>
    <n v="78"/>
    <n v="3"/>
    <n v="2"/>
    <s v="Manufacturing Director"/>
    <n v="4"/>
    <s v="Single"/>
    <n v="7779"/>
    <n v="23238"/>
    <n v="2"/>
    <s v="No"/>
    <n v="20"/>
    <n v="4"/>
    <n v="1"/>
    <n v="80"/>
    <n v="0"/>
    <n v="18"/>
    <n v="0"/>
    <n v="3"/>
    <n v="11"/>
    <n v="9"/>
    <n v="0"/>
    <n v="9"/>
    <n v="0"/>
    <n v="1"/>
    <s v="35-44"/>
    <s v="Medium"/>
    <s v="11-20 Years"/>
  </r>
  <r>
    <n v="819"/>
    <n v="31"/>
    <x v="1"/>
    <s v="Travel_Frequently"/>
    <n v="793"/>
    <s v="Sales"/>
    <n v="20"/>
    <n v="3"/>
    <s v="Life Sciences"/>
    <n v="1135"/>
    <n v="3"/>
    <s v="Male"/>
    <n v="67"/>
    <n v="4"/>
    <n v="1"/>
    <s v="Sales Representative"/>
    <n v="4"/>
    <s v="Married"/>
    <n v="2791"/>
    <n v="21981"/>
    <n v="0"/>
    <s v="No"/>
    <n v="12"/>
    <n v="3"/>
    <n v="1"/>
    <n v="80"/>
    <n v="1"/>
    <n v="3"/>
    <n v="4"/>
    <n v="3"/>
    <n v="2"/>
    <n v="2"/>
    <n v="2"/>
    <n v="2"/>
    <n v="0"/>
    <n v="1"/>
    <s v="25-34"/>
    <s v="Low"/>
    <s v="0-5 Years"/>
  </r>
  <r>
    <n v="820"/>
    <n v="28"/>
    <x v="1"/>
    <s v="Travel_Rarely"/>
    <n v="1451"/>
    <s v="Research &amp; Development"/>
    <n v="2"/>
    <n v="1"/>
    <s v="Life Sciences"/>
    <n v="1136"/>
    <n v="1"/>
    <s v="Male"/>
    <n v="67"/>
    <n v="2"/>
    <n v="1"/>
    <s v="Research Scientist"/>
    <n v="2"/>
    <s v="Married"/>
    <n v="3201"/>
    <n v="19911"/>
    <n v="0"/>
    <s v="No"/>
    <n v="17"/>
    <n v="3"/>
    <n v="1"/>
    <n v="80"/>
    <n v="0"/>
    <n v="6"/>
    <n v="2"/>
    <n v="1"/>
    <n v="5"/>
    <n v="3"/>
    <n v="0"/>
    <n v="4"/>
    <n v="0"/>
    <n v="1"/>
    <s v="25-34"/>
    <s v="Low"/>
    <s v="0-5 Years"/>
  </r>
  <r>
    <n v="821"/>
    <n v="35"/>
    <x v="1"/>
    <s v="Travel_Frequently"/>
    <n v="1182"/>
    <s v="Sales"/>
    <n v="11"/>
    <n v="2"/>
    <s v="Marketing"/>
    <n v="1137"/>
    <n v="4"/>
    <s v="Male"/>
    <n v="54"/>
    <n v="3"/>
    <n v="2"/>
    <s v="Sales Executive"/>
    <n v="4"/>
    <s v="Divorced"/>
    <n v="4968"/>
    <n v="18500"/>
    <n v="1"/>
    <s v="No"/>
    <n v="11"/>
    <n v="3"/>
    <n v="4"/>
    <n v="80"/>
    <n v="1"/>
    <n v="5"/>
    <n v="3"/>
    <n v="3"/>
    <n v="5"/>
    <n v="2"/>
    <n v="0"/>
    <n v="2"/>
    <n v="0"/>
    <n v="1"/>
    <s v="35-44"/>
    <s v="Low"/>
    <s v="0-5 Years"/>
  </r>
  <r>
    <n v="822"/>
    <n v="49"/>
    <x v="1"/>
    <s v="Travel_Rarely"/>
    <n v="174"/>
    <s v="Sales"/>
    <n v="8"/>
    <n v="4"/>
    <s v="Technical Degree"/>
    <n v="1138"/>
    <n v="4"/>
    <s v="Male"/>
    <n v="56"/>
    <n v="2"/>
    <n v="4"/>
    <s v="Sales Executive"/>
    <n v="2"/>
    <s v="Married"/>
    <n v="13120"/>
    <n v="11879"/>
    <n v="6"/>
    <s v="No"/>
    <n v="17"/>
    <n v="3"/>
    <n v="2"/>
    <n v="80"/>
    <n v="1"/>
    <n v="22"/>
    <n v="3"/>
    <n v="3"/>
    <n v="9"/>
    <n v="8"/>
    <n v="2"/>
    <n v="3"/>
    <n v="0"/>
    <n v="1"/>
    <s v="45-54"/>
    <s v="Upper Medium"/>
    <s v="6-10 Years"/>
  </r>
  <r>
    <n v="823"/>
    <n v="34"/>
    <x v="1"/>
    <s v="Travel_Frequently"/>
    <n v="1003"/>
    <s v="Research &amp; Development"/>
    <n v="2"/>
    <n v="2"/>
    <s v="Life Sciences"/>
    <n v="1140"/>
    <n v="4"/>
    <s v="Male"/>
    <n v="95"/>
    <n v="3"/>
    <n v="2"/>
    <s v="Manufacturing Director"/>
    <n v="3"/>
    <s v="Single"/>
    <n v="4033"/>
    <n v="15834"/>
    <n v="2"/>
    <s v="No"/>
    <n v="11"/>
    <n v="3"/>
    <n v="4"/>
    <n v="80"/>
    <n v="0"/>
    <n v="5"/>
    <n v="3"/>
    <n v="2"/>
    <n v="3"/>
    <n v="2"/>
    <n v="0"/>
    <n v="2"/>
    <n v="0"/>
    <n v="1"/>
    <s v="25-34"/>
    <s v="Low"/>
    <s v="0-5 Years"/>
  </r>
  <r>
    <n v="824"/>
    <n v="29"/>
    <x v="1"/>
    <s v="Travel_Frequently"/>
    <n v="490"/>
    <s v="Research &amp; Development"/>
    <n v="10"/>
    <n v="3"/>
    <s v="Life Sciences"/>
    <n v="1143"/>
    <n v="4"/>
    <s v="Female"/>
    <n v="61"/>
    <n v="3"/>
    <n v="1"/>
    <s v="Research Scientist"/>
    <n v="2"/>
    <s v="Divorced"/>
    <n v="3291"/>
    <n v="17940"/>
    <n v="0"/>
    <s v="No"/>
    <n v="14"/>
    <n v="3"/>
    <n v="4"/>
    <n v="80"/>
    <n v="2"/>
    <n v="8"/>
    <n v="2"/>
    <n v="2"/>
    <n v="7"/>
    <n v="5"/>
    <n v="1"/>
    <n v="1"/>
    <n v="0"/>
    <n v="1"/>
    <s v="25-34"/>
    <s v="Low"/>
    <s v="6-10 Years"/>
  </r>
  <r>
    <n v="825"/>
    <n v="42"/>
    <x v="1"/>
    <s v="Travel_Rarely"/>
    <n v="188"/>
    <s v="Research &amp; Development"/>
    <n v="29"/>
    <n v="3"/>
    <s v="Medical"/>
    <n v="1148"/>
    <n v="2"/>
    <s v="Male"/>
    <n v="56"/>
    <n v="1"/>
    <n v="2"/>
    <s v="Laboratory Technician"/>
    <n v="4"/>
    <s v="Single"/>
    <n v="4272"/>
    <n v="9558"/>
    <n v="4"/>
    <s v="No"/>
    <n v="19"/>
    <n v="3"/>
    <n v="1"/>
    <n v="80"/>
    <n v="0"/>
    <n v="16"/>
    <n v="3"/>
    <n v="3"/>
    <n v="1"/>
    <n v="0"/>
    <n v="0"/>
    <n v="0"/>
    <n v="0"/>
    <n v="1"/>
    <s v="35-44"/>
    <s v="Low"/>
    <s v="0-5 Years"/>
  </r>
  <r>
    <n v="826"/>
    <n v="29"/>
    <x v="1"/>
    <s v="Travel_Rarely"/>
    <n v="718"/>
    <s v="Research &amp; Development"/>
    <n v="8"/>
    <n v="1"/>
    <s v="Medical"/>
    <n v="1150"/>
    <n v="2"/>
    <s v="Male"/>
    <n v="79"/>
    <n v="2"/>
    <n v="2"/>
    <s v="Manufacturing Director"/>
    <n v="4"/>
    <s v="Married"/>
    <n v="5056"/>
    <n v="17689"/>
    <n v="1"/>
    <s v="Yes"/>
    <n v="15"/>
    <n v="3"/>
    <n v="3"/>
    <n v="80"/>
    <n v="1"/>
    <n v="10"/>
    <n v="2"/>
    <n v="2"/>
    <n v="10"/>
    <n v="7"/>
    <n v="1"/>
    <n v="2"/>
    <n v="0"/>
    <n v="1"/>
    <s v="25-34"/>
    <s v="Medium"/>
    <s v="6-10 Years"/>
  </r>
  <r>
    <n v="827"/>
    <n v="38"/>
    <x v="1"/>
    <s v="Travel_Rarely"/>
    <n v="433"/>
    <s v="Human Resources"/>
    <n v="1"/>
    <n v="3"/>
    <s v="Human Resources"/>
    <n v="1152"/>
    <n v="3"/>
    <s v="Male"/>
    <n v="37"/>
    <n v="4"/>
    <n v="1"/>
    <s v="Human Resources"/>
    <n v="3"/>
    <s v="Married"/>
    <n v="2844"/>
    <n v="6004"/>
    <n v="1"/>
    <s v="No"/>
    <n v="13"/>
    <n v="3"/>
    <n v="4"/>
    <n v="80"/>
    <n v="1"/>
    <n v="7"/>
    <n v="2"/>
    <n v="4"/>
    <n v="7"/>
    <n v="6"/>
    <n v="5"/>
    <n v="0"/>
    <n v="0"/>
    <n v="1"/>
    <s v="35-44"/>
    <s v="Low"/>
    <s v="6-10 Years"/>
  </r>
  <r>
    <n v="828"/>
    <n v="28"/>
    <x v="1"/>
    <s v="Travel_Frequently"/>
    <n v="773"/>
    <s v="Research &amp; Development"/>
    <n v="6"/>
    <n v="3"/>
    <s v="Life Sciences"/>
    <n v="1154"/>
    <n v="3"/>
    <s v="Male"/>
    <n v="39"/>
    <n v="2"/>
    <n v="1"/>
    <s v="Research Scientist"/>
    <n v="3"/>
    <s v="Divorced"/>
    <n v="2703"/>
    <n v="22088"/>
    <n v="1"/>
    <s v="Yes"/>
    <n v="14"/>
    <n v="3"/>
    <n v="4"/>
    <n v="80"/>
    <n v="1"/>
    <n v="3"/>
    <n v="2"/>
    <n v="3"/>
    <n v="3"/>
    <n v="1"/>
    <n v="0"/>
    <n v="2"/>
    <n v="0"/>
    <n v="1"/>
    <s v="25-34"/>
    <s v="Low"/>
    <s v="0-5 Years"/>
  </r>
  <r>
    <n v="829"/>
    <n v="18"/>
    <x v="0"/>
    <s v="Non-Travel"/>
    <n v="247"/>
    <s v="Research &amp; Development"/>
    <n v="8"/>
    <n v="1"/>
    <s v="Medical"/>
    <n v="1156"/>
    <n v="3"/>
    <s v="Male"/>
    <n v="80"/>
    <n v="3"/>
    <n v="1"/>
    <s v="Laboratory Technician"/>
    <n v="3"/>
    <s v="Single"/>
    <n v="1904"/>
    <n v="13556"/>
    <n v="1"/>
    <s v="No"/>
    <n v="12"/>
    <n v="3"/>
    <n v="4"/>
    <n v="80"/>
    <n v="0"/>
    <n v="0"/>
    <n v="0"/>
    <n v="3"/>
    <n v="0"/>
    <n v="0"/>
    <n v="0"/>
    <n v="0"/>
    <n v="1"/>
    <n v="0"/>
    <s v="Under 25"/>
    <s v="Low"/>
    <s v="0-5 Years"/>
  </r>
  <r>
    <n v="830"/>
    <n v="33"/>
    <x v="0"/>
    <s v="Travel_Rarely"/>
    <n v="603"/>
    <s v="Sales"/>
    <n v="9"/>
    <n v="4"/>
    <s v="Marketing"/>
    <n v="1157"/>
    <n v="1"/>
    <s v="Female"/>
    <n v="77"/>
    <n v="3"/>
    <n v="2"/>
    <s v="Sales Executive"/>
    <n v="1"/>
    <s v="Single"/>
    <n v="8224"/>
    <n v="18385"/>
    <n v="0"/>
    <s v="Yes"/>
    <n v="17"/>
    <n v="3"/>
    <n v="1"/>
    <n v="80"/>
    <n v="0"/>
    <n v="6"/>
    <n v="3"/>
    <n v="3"/>
    <n v="5"/>
    <n v="2"/>
    <n v="0"/>
    <n v="3"/>
    <n v="1"/>
    <n v="0"/>
    <s v="25-34"/>
    <s v="Medium"/>
    <s v="0-5 Years"/>
  </r>
  <r>
    <n v="831"/>
    <n v="41"/>
    <x v="1"/>
    <s v="Travel_Rarely"/>
    <n v="167"/>
    <s v="Research &amp; Development"/>
    <n v="12"/>
    <n v="4"/>
    <s v="Life Sciences"/>
    <n v="1158"/>
    <n v="2"/>
    <s v="Male"/>
    <n v="46"/>
    <n v="3"/>
    <n v="1"/>
    <s v="Laboratory Technician"/>
    <n v="4"/>
    <s v="Married"/>
    <n v="4766"/>
    <n v="9051"/>
    <n v="3"/>
    <s v="Yes"/>
    <n v="11"/>
    <n v="3"/>
    <n v="1"/>
    <n v="80"/>
    <n v="1"/>
    <n v="6"/>
    <n v="4"/>
    <n v="3"/>
    <n v="1"/>
    <n v="0"/>
    <n v="0"/>
    <n v="0"/>
    <n v="0"/>
    <n v="1"/>
    <s v="35-44"/>
    <s v="Low"/>
    <s v="0-5 Years"/>
  </r>
  <r>
    <n v="832"/>
    <n v="31"/>
    <x v="0"/>
    <s v="Travel_Frequently"/>
    <n v="874"/>
    <s v="Research &amp; Development"/>
    <n v="15"/>
    <n v="3"/>
    <s v="Medical"/>
    <n v="1160"/>
    <n v="3"/>
    <s v="Male"/>
    <n v="72"/>
    <n v="3"/>
    <n v="1"/>
    <s v="Laboratory Technician"/>
    <n v="3"/>
    <s v="Married"/>
    <n v="2610"/>
    <n v="6233"/>
    <n v="1"/>
    <s v="No"/>
    <n v="12"/>
    <n v="3"/>
    <n v="3"/>
    <n v="80"/>
    <n v="1"/>
    <n v="2"/>
    <n v="5"/>
    <n v="2"/>
    <n v="2"/>
    <n v="2"/>
    <n v="2"/>
    <n v="2"/>
    <n v="1"/>
    <n v="0"/>
    <s v="25-34"/>
    <s v="Low"/>
    <s v="0-5 Years"/>
  </r>
  <r>
    <n v="833"/>
    <n v="37"/>
    <x v="1"/>
    <s v="Travel_Rarely"/>
    <n v="367"/>
    <s v="Research &amp; Development"/>
    <n v="25"/>
    <n v="2"/>
    <s v="Medical"/>
    <n v="1161"/>
    <n v="3"/>
    <s v="Female"/>
    <n v="52"/>
    <n v="2"/>
    <n v="2"/>
    <s v="Healthcare Representative"/>
    <n v="4"/>
    <s v="Divorced"/>
    <n v="5731"/>
    <n v="17171"/>
    <n v="7"/>
    <s v="No"/>
    <n v="13"/>
    <n v="3"/>
    <n v="3"/>
    <n v="80"/>
    <n v="2"/>
    <n v="9"/>
    <n v="2"/>
    <n v="3"/>
    <n v="6"/>
    <n v="2"/>
    <n v="1"/>
    <n v="3"/>
    <n v="0"/>
    <n v="1"/>
    <s v="35-44"/>
    <s v="Medium"/>
    <s v="6-10 Years"/>
  </r>
  <r>
    <n v="834"/>
    <n v="27"/>
    <x v="1"/>
    <s v="Travel_Rarely"/>
    <n v="199"/>
    <s v="Research &amp; Development"/>
    <n v="6"/>
    <n v="3"/>
    <s v="Life Sciences"/>
    <n v="1162"/>
    <n v="4"/>
    <s v="Male"/>
    <n v="55"/>
    <n v="2"/>
    <n v="1"/>
    <s v="Research Scientist"/>
    <n v="3"/>
    <s v="Married"/>
    <n v="2539"/>
    <n v="7950"/>
    <n v="1"/>
    <s v="No"/>
    <n v="13"/>
    <n v="3"/>
    <n v="3"/>
    <n v="80"/>
    <n v="1"/>
    <n v="4"/>
    <n v="0"/>
    <n v="3"/>
    <n v="4"/>
    <n v="2"/>
    <n v="2"/>
    <n v="2"/>
    <n v="0"/>
    <n v="1"/>
    <s v="25-34"/>
    <s v="Low"/>
    <s v="0-5 Years"/>
  </r>
  <r>
    <n v="835"/>
    <n v="34"/>
    <x v="1"/>
    <s v="Travel_Rarely"/>
    <n v="1400"/>
    <s v="Sales"/>
    <n v="9"/>
    <n v="1"/>
    <s v="Life Sciences"/>
    <n v="1163"/>
    <n v="2"/>
    <s v="Female"/>
    <n v="70"/>
    <n v="3"/>
    <n v="2"/>
    <s v="Sales Executive"/>
    <n v="3"/>
    <s v="Married"/>
    <n v="5714"/>
    <n v="5829"/>
    <n v="1"/>
    <s v="No"/>
    <n v="20"/>
    <n v="4"/>
    <n v="1"/>
    <n v="80"/>
    <n v="0"/>
    <n v="6"/>
    <n v="3"/>
    <n v="2"/>
    <n v="6"/>
    <n v="5"/>
    <n v="1"/>
    <n v="3"/>
    <n v="0"/>
    <n v="1"/>
    <s v="25-34"/>
    <s v="Medium"/>
    <s v="6-10 Years"/>
  </r>
  <r>
    <n v="836"/>
    <n v="35"/>
    <x v="1"/>
    <s v="Travel_Rarely"/>
    <n v="528"/>
    <s v="Human Resources"/>
    <n v="8"/>
    <n v="4"/>
    <s v="Technical Degree"/>
    <n v="1164"/>
    <n v="3"/>
    <s v="Male"/>
    <n v="100"/>
    <n v="3"/>
    <n v="1"/>
    <s v="Human Resources"/>
    <n v="3"/>
    <s v="Single"/>
    <n v="4323"/>
    <n v="7108"/>
    <n v="1"/>
    <s v="No"/>
    <n v="17"/>
    <n v="3"/>
    <n v="2"/>
    <n v="80"/>
    <n v="0"/>
    <n v="6"/>
    <n v="2"/>
    <n v="1"/>
    <n v="5"/>
    <n v="4"/>
    <n v="1"/>
    <n v="4"/>
    <n v="0"/>
    <n v="1"/>
    <s v="35-44"/>
    <s v="Low"/>
    <s v="0-5 Years"/>
  </r>
  <r>
    <n v="837"/>
    <n v="29"/>
    <x v="0"/>
    <s v="Travel_Rarely"/>
    <n v="408"/>
    <s v="Sales"/>
    <n v="23"/>
    <n v="1"/>
    <s v="Life Sciences"/>
    <n v="1165"/>
    <n v="4"/>
    <s v="Female"/>
    <n v="45"/>
    <n v="2"/>
    <n v="3"/>
    <s v="Sales Executive"/>
    <n v="1"/>
    <s v="Married"/>
    <n v="7336"/>
    <n v="11162"/>
    <n v="1"/>
    <s v="No"/>
    <n v="13"/>
    <n v="3"/>
    <n v="1"/>
    <n v="80"/>
    <n v="1"/>
    <n v="11"/>
    <n v="3"/>
    <n v="1"/>
    <n v="11"/>
    <n v="8"/>
    <n v="3"/>
    <n v="10"/>
    <n v="1"/>
    <n v="0"/>
    <s v="25-34"/>
    <s v="Medium"/>
    <s v="11-20 Years"/>
  </r>
  <r>
    <n v="838"/>
    <n v="40"/>
    <x v="1"/>
    <s v="Travel_Frequently"/>
    <n v="593"/>
    <s v="Research &amp; Development"/>
    <n v="9"/>
    <n v="4"/>
    <s v="Medical"/>
    <n v="1166"/>
    <n v="2"/>
    <s v="Female"/>
    <n v="88"/>
    <n v="3"/>
    <n v="3"/>
    <s v="Research Director"/>
    <n v="3"/>
    <s v="Single"/>
    <n v="13499"/>
    <n v="13782"/>
    <n v="9"/>
    <s v="No"/>
    <n v="17"/>
    <n v="3"/>
    <n v="3"/>
    <n v="80"/>
    <n v="0"/>
    <n v="20"/>
    <n v="3"/>
    <n v="2"/>
    <n v="18"/>
    <n v="7"/>
    <n v="2"/>
    <n v="13"/>
    <n v="0"/>
    <n v="1"/>
    <s v="35-44"/>
    <s v="Upper Medium"/>
    <s v="11-20 Years"/>
  </r>
  <r>
    <n v="839"/>
    <n v="42"/>
    <x v="0"/>
    <s v="Travel_Frequently"/>
    <n v="481"/>
    <s v="Sales"/>
    <n v="12"/>
    <n v="3"/>
    <s v="Life Sciences"/>
    <n v="1167"/>
    <n v="3"/>
    <s v="Male"/>
    <n v="44"/>
    <n v="3"/>
    <n v="4"/>
    <s v="Sales Executive"/>
    <n v="1"/>
    <s v="Single"/>
    <n v="13758"/>
    <n v="2447"/>
    <n v="0"/>
    <s v="Yes"/>
    <n v="12"/>
    <n v="3"/>
    <n v="2"/>
    <n v="80"/>
    <n v="0"/>
    <n v="22"/>
    <n v="2"/>
    <n v="2"/>
    <n v="21"/>
    <n v="9"/>
    <n v="13"/>
    <n v="14"/>
    <n v="1"/>
    <n v="0"/>
    <s v="35-44"/>
    <s v="Upper Medium"/>
    <s v="21+ Years"/>
  </r>
  <r>
    <n v="840"/>
    <n v="42"/>
    <x v="1"/>
    <s v="Travel_Rarely"/>
    <n v="647"/>
    <s v="Sales"/>
    <n v="4"/>
    <n v="4"/>
    <s v="Marketing"/>
    <n v="1171"/>
    <n v="2"/>
    <s v="Male"/>
    <n v="45"/>
    <n v="3"/>
    <n v="2"/>
    <s v="Sales Executive"/>
    <n v="1"/>
    <s v="Single"/>
    <n v="5155"/>
    <n v="2253"/>
    <n v="7"/>
    <s v="No"/>
    <n v="13"/>
    <n v="3"/>
    <n v="4"/>
    <n v="80"/>
    <n v="0"/>
    <n v="9"/>
    <n v="3"/>
    <n v="4"/>
    <n v="6"/>
    <n v="4"/>
    <n v="1"/>
    <n v="5"/>
    <n v="0"/>
    <n v="1"/>
    <s v="35-44"/>
    <s v="Medium"/>
    <s v="6-10 Years"/>
  </r>
  <r>
    <n v="841"/>
    <n v="35"/>
    <x v="1"/>
    <s v="Travel_Rarely"/>
    <n v="982"/>
    <s v="Research &amp; Development"/>
    <n v="1"/>
    <n v="4"/>
    <s v="Medical"/>
    <n v="1172"/>
    <n v="4"/>
    <s v="Male"/>
    <n v="58"/>
    <n v="2"/>
    <n v="1"/>
    <s v="Laboratory Technician"/>
    <n v="3"/>
    <s v="Married"/>
    <n v="2258"/>
    <n v="16340"/>
    <n v="6"/>
    <s v="No"/>
    <n v="12"/>
    <n v="3"/>
    <n v="2"/>
    <n v="80"/>
    <n v="1"/>
    <n v="10"/>
    <n v="2"/>
    <n v="3"/>
    <n v="8"/>
    <n v="0"/>
    <n v="1"/>
    <n v="7"/>
    <n v="0"/>
    <n v="1"/>
    <s v="35-44"/>
    <s v="Low"/>
    <s v="6-10 Years"/>
  </r>
  <r>
    <n v="842"/>
    <n v="24"/>
    <x v="1"/>
    <s v="Travel_Rarely"/>
    <n v="477"/>
    <s v="Research &amp; Development"/>
    <n v="24"/>
    <n v="3"/>
    <s v="Medical"/>
    <n v="1173"/>
    <n v="4"/>
    <s v="Male"/>
    <n v="49"/>
    <n v="3"/>
    <n v="1"/>
    <s v="Laboratory Technician"/>
    <n v="2"/>
    <s v="Single"/>
    <n v="3597"/>
    <n v="6409"/>
    <n v="8"/>
    <s v="No"/>
    <n v="22"/>
    <n v="4"/>
    <n v="4"/>
    <n v="80"/>
    <n v="0"/>
    <n v="6"/>
    <n v="2"/>
    <n v="3"/>
    <n v="4"/>
    <n v="3"/>
    <n v="1"/>
    <n v="2"/>
    <n v="0"/>
    <n v="1"/>
    <s v="Under 25"/>
    <s v="Low"/>
    <s v="0-5 Years"/>
  </r>
  <r>
    <n v="843"/>
    <n v="28"/>
    <x v="0"/>
    <s v="Travel_Rarely"/>
    <n v="1485"/>
    <s v="Research &amp; Development"/>
    <n v="12"/>
    <n v="1"/>
    <s v="Life Sciences"/>
    <n v="1175"/>
    <n v="3"/>
    <s v="Female"/>
    <n v="79"/>
    <n v="3"/>
    <n v="1"/>
    <s v="Laboratory Technician"/>
    <n v="4"/>
    <s v="Married"/>
    <n v="2515"/>
    <n v="22955"/>
    <n v="1"/>
    <s v="Yes"/>
    <n v="11"/>
    <n v="3"/>
    <n v="4"/>
    <n v="80"/>
    <n v="0"/>
    <n v="1"/>
    <n v="4"/>
    <n v="2"/>
    <n v="1"/>
    <n v="1"/>
    <n v="0"/>
    <n v="0"/>
    <n v="1"/>
    <n v="0"/>
    <s v="25-34"/>
    <s v="Low"/>
    <s v="0-5 Years"/>
  </r>
  <r>
    <n v="844"/>
    <n v="26"/>
    <x v="1"/>
    <s v="Travel_Rarely"/>
    <n v="1384"/>
    <s v="Research &amp; Development"/>
    <n v="3"/>
    <n v="4"/>
    <s v="Medical"/>
    <n v="1177"/>
    <n v="1"/>
    <s v="Male"/>
    <n v="82"/>
    <n v="4"/>
    <n v="1"/>
    <s v="Laboratory Technician"/>
    <n v="4"/>
    <s v="Married"/>
    <n v="4420"/>
    <n v="13421"/>
    <n v="1"/>
    <s v="No"/>
    <n v="22"/>
    <n v="4"/>
    <n v="2"/>
    <n v="80"/>
    <n v="1"/>
    <n v="8"/>
    <n v="2"/>
    <n v="3"/>
    <n v="8"/>
    <n v="7"/>
    <n v="0"/>
    <n v="7"/>
    <n v="0"/>
    <n v="1"/>
    <s v="25-34"/>
    <s v="Low"/>
    <s v="6-10 Years"/>
  </r>
  <r>
    <n v="845"/>
    <n v="30"/>
    <x v="1"/>
    <s v="Travel_Rarely"/>
    <n v="852"/>
    <s v="Sales"/>
    <n v="10"/>
    <n v="3"/>
    <s v="Marketing"/>
    <n v="1179"/>
    <n v="3"/>
    <s v="Male"/>
    <n v="72"/>
    <n v="2"/>
    <n v="2"/>
    <s v="Sales Executive"/>
    <n v="3"/>
    <s v="Married"/>
    <n v="6578"/>
    <n v="2706"/>
    <n v="1"/>
    <s v="No"/>
    <n v="18"/>
    <n v="3"/>
    <n v="1"/>
    <n v="80"/>
    <n v="1"/>
    <n v="10"/>
    <n v="3"/>
    <n v="3"/>
    <n v="10"/>
    <n v="3"/>
    <n v="1"/>
    <n v="4"/>
    <n v="0"/>
    <n v="1"/>
    <s v="25-34"/>
    <s v="Medium"/>
    <s v="6-10 Years"/>
  </r>
  <r>
    <n v="846"/>
    <n v="40"/>
    <x v="1"/>
    <s v="Travel_Frequently"/>
    <n v="902"/>
    <s v="Research &amp; Development"/>
    <n v="26"/>
    <n v="2"/>
    <s v="Medical"/>
    <n v="1180"/>
    <n v="3"/>
    <s v="Female"/>
    <n v="92"/>
    <n v="2"/>
    <n v="2"/>
    <s v="Research Scientist"/>
    <n v="4"/>
    <s v="Married"/>
    <n v="4422"/>
    <n v="21203"/>
    <n v="3"/>
    <s v="Yes"/>
    <n v="13"/>
    <n v="3"/>
    <n v="4"/>
    <n v="80"/>
    <n v="1"/>
    <n v="16"/>
    <n v="3"/>
    <n v="1"/>
    <n v="1"/>
    <n v="1"/>
    <n v="0"/>
    <n v="0"/>
    <n v="0"/>
    <n v="1"/>
    <s v="35-44"/>
    <s v="Low"/>
    <s v="0-5 Years"/>
  </r>
  <r>
    <n v="847"/>
    <n v="35"/>
    <x v="1"/>
    <s v="Travel_Rarely"/>
    <n v="819"/>
    <s v="Research &amp; Development"/>
    <n v="2"/>
    <n v="3"/>
    <s v="Life Sciences"/>
    <n v="1182"/>
    <n v="3"/>
    <s v="Male"/>
    <n v="44"/>
    <n v="2"/>
    <n v="3"/>
    <s v="Manufacturing Director"/>
    <n v="2"/>
    <s v="Divorced"/>
    <n v="10274"/>
    <n v="19588"/>
    <n v="2"/>
    <s v="No"/>
    <n v="18"/>
    <n v="3"/>
    <n v="2"/>
    <n v="80"/>
    <n v="1"/>
    <n v="15"/>
    <n v="2"/>
    <n v="4"/>
    <n v="7"/>
    <n v="7"/>
    <n v="6"/>
    <n v="4"/>
    <n v="0"/>
    <n v="1"/>
    <s v="35-44"/>
    <s v="Upper Medium"/>
    <s v="6-10 Years"/>
  </r>
  <r>
    <n v="848"/>
    <n v="34"/>
    <x v="1"/>
    <s v="Travel_Frequently"/>
    <n v="669"/>
    <s v="Research &amp; Development"/>
    <n v="1"/>
    <n v="3"/>
    <s v="Medical"/>
    <n v="1184"/>
    <n v="4"/>
    <s v="Male"/>
    <n v="97"/>
    <n v="2"/>
    <n v="2"/>
    <s v="Healthcare Representative"/>
    <n v="1"/>
    <s v="Single"/>
    <n v="5343"/>
    <n v="25755"/>
    <n v="0"/>
    <s v="No"/>
    <n v="20"/>
    <n v="4"/>
    <n v="3"/>
    <n v="80"/>
    <n v="0"/>
    <n v="14"/>
    <n v="3"/>
    <n v="3"/>
    <n v="13"/>
    <n v="9"/>
    <n v="4"/>
    <n v="9"/>
    <n v="0"/>
    <n v="1"/>
    <s v="25-34"/>
    <s v="Medium"/>
    <s v="11-20 Years"/>
  </r>
  <r>
    <n v="849"/>
    <n v="35"/>
    <x v="1"/>
    <s v="Travel_Frequently"/>
    <n v="636"/>
    <s v="Research &amp; Development"/>
    <n v="4"/>
    <n v="4"/>
    <s v="Other"/>
    <n v="1185"/>
    <n v="4"/>
    <s v="Male"/>
    <n v="47"/>
    <n v="2"/>
    <n v="1"/>
    <s v="Laboratory Technician"/>
    <n v="4"/>
    <s v="Married"/>
    <n v="2376"/>
    <n v="26537"/>
    <n v="1"/>
    <s v="No"/>
    <n v="13"/>
    <n v="3"/>
    <n v="2"/>
    <n v="80"/>
    <n v="1"/>
    <n v="2"/>
    <n v="2"/>
    <n v="4"/>
    <n v="2"/>
    <n v="2"/>
    <n v="2"/>
    <n v="2"/>
    <n v="0"/>
    <n v="1"/>
    <s v="35-44"/>
    <s v="Low"/>
    <s v="0-5 Years"/>
  </r>
  <r>
    <n v="850"/>
    <n v="43"/>
    <x v="0"/>
    <s v="Travel_Rarely"/>
    <n v="1372"/>
    <s v="Sales"/>
    <n v="9"/>
    <n v="3"/>
    <s v="Marketing"/>
    <n v="1188"/>
    <n v="1"/>
    <s v="Female"/>
    <n v="85"/>
    <n v="1"/>
    <n v="2"/>
    <s v="Sales Executive"/>
    <n v="3"/>
    <s v="Single"/>
    <n v="5346"/>
    <n v="9489"/>
    <n v="8"/>
    <s v="No"/>
    <n v="13"/>
    <n v="3"/>
    <n v="2"/>
    <n v="80"/>
    <n v="0"/>
    <n v="7"/>
    <n v="2"/>
    <n v="2"/>
    <n v="4"/>
    <n v="3"/>
    <n v="1"/>
    <n v="3"/>
    <n v="1"/>
    <n v="0"/>
    <s v="35-44"/>
    <s v="Medium"/>
    <s v="0-5 Years"/>
  </r>
  <r>
    <n v="851"/>
    <n v="32"/>
    <x v="1"/>
    <s v="Non-Travel"/>
    <n v="862"/>
    <s v="Sales"/>
    <n v="2"/>
    <n v="1"/>
    <s v="Life Sciences"/>
    <n v="1190"/>
    <n v="3"/>
    <s v="Female"/>
    <n v="76"/>
    <n v="3"/>
    <n v="1"/>
    <s v="Sales Representative"/>
    <n v="1"/>
    <s v="Divorced"/>
    <n v="2827"/>
    <n v="14947"/>
    <n v="1"/>
    <s v="No"/>
    <n v="12"/>
    <n v="3"/>
    <n v="3"/>
    <n v="80"/>
    <n v="3"/>
    <n v="1"/>
    <n v="3"/>
    <n v="3"/>
    <n v="1"/>
    <n v="0"/>
    <n v="0"/>
    <n v="0"/>
    <n v="0"/>
    <n v="1"/>
    <s v="25-34"/>
    <s v="Low"/>
    <s v="0-5 Years"/>
  </r>
  <r>
    <n v="852"/>
    <n v="56"/>
    <x v="1"/>
    <s v="Travel_Rarely"/>
    <n v="718"/>
    <s v="Research &amp; Development"/>
    <n v="4"/>
    <n v="4"/>
    <s v="Technical Degree"/>
    <n v="1191"/>
    <n v="4"/>
    <s v="Female"/>
    <n v="92"/>
    <n v="3"/>
    <n v="5"/>
    <s v="Manager"/>
    <n v="1"/>
    <s v="Divorced"/>
    <n v="19943"/>
    <n v="18575"/>
    <n v="4"/>
    <s v="No"/>
    <n v="13"/>
    <n v="3"/>
    <n v="4"/>
    <n v="80"/>
    <n v="1"/>
    <n v="28"/>
    <n v="2"/>
    <n v="3"/>
    <n v="5"/>
    <n v="2"/>
    <n v="4"/>
    <n v="2"/>
    <n v="0"/>
    <n v="1"/>
    <s v="55+"/>
    <s v="High"/>
    <s v="0-5 Years"/>
  </r>
  <r>
    <n v="853"/>
    <n v="29"/>
    <x v="1"/>
    <s v="Travel_Rarely"/>
    <n v="1401"/>
    <s v="Research &amp; Development"/>
    <n v="6"/>
    <n v="1"/>
    <s v="Medical"/>
    <n v="1192"/>
    <n v="2"/>
    <s v="Female"/>
    <n v="54"/>
    <n v="3"/>
    <n v="1"/>
    <s v="Laboratory Technician"/>
    <n v="4"/>
    <s v="Married"/>
    <n v="3131"/>
    <n v="26342"/>
    <n v="1"/>
    <s v="No"/>
    <n v="13"/>
    <n v="3"/>
    <n v="1"/>
    <n v="80"/>
    <n v="1"/>
    <n v="10"/>
    <n v="5"/>
    <n v="3"/>
    <n v="10"/>
    <n v="8"/>
    <n v="0"/>
    <n v="8"/>
    <n v="0"/>
    <n v="1"/>
    <s v="25-34"/>
    <s v="Low"/>
    <s v="6-10 Years"/>
  </r>
  <r>
    <n v="854"/>
    <n v="19"/>
    <x v="1"/>
    <s v="Travel_Rarely"/>
    <n v="645"/>
    <s v="Research &amp; Development"/>
    <n v="9"/>
    <n v="2"/>
    <s v="Life Sciences"/>
    <n v="1193"/>
    <n v="3"/>
    <s v="Male"/>
    <n v="54"/>
    <n v="3"/>
    <n v="1"/>
    <s v="Research Scientist"/>
    <n v="1"/>
    <s v="Single"/>
    <n v="2552"/>
    <n v="7172"/>
    <n v="1"/>
    <s v="No"/>
    <n v="25"/>
    <n v="4"/>
    <n v="3"/>
    <n v="80"/>
    <n v="0"/>
    <n v="1"/>
    <n v="4"/>
    <n v="3"/>
    <n v="1"/>
    <n v="1"/>
    <n v="0"/>
    <n v="0"/>
    <n v="0"/>
    <n v="1"/>
    <s v="Under 25"/>
    <s v="Low"/>
    <s v="0-5 Years"/>
  </r>
  <r>
    <n v="855"/>
    <n v="45"/>
    <x v="1"/>
    <s v="Travel_Rarely"/>
    <n v="1457"/>
    <s v="Research &amp; Development"/>
    <n v="7"/>
    <n v="3"/>
    <s v="Medical"/>
    <n v="1195"/>
    <n v="1"/>
    <s v="Female"/>
    <n v="83"/>
    <n v="3"/>
    <n v="1"/>
    <s v="Research Scientist"/>
    <n v="3"/>
    <s v="Married"/>
    <n v="4477"/>
    <n v="20100"/>
    <n v="4"/>
    <s v="Yes"/>
    <n v="19"/>
    <n v="3"/>
    <n v="3"/>
    <n v="80"/>
    <n v="1"/>
    <n v="7"/>
    <n v="2"/>
    <n v="2"/>
    <n v="3"/>
    <n v="2"/>
    <n v="0"/>
    <n v="2"/>
    <n v="0"/>
    <n v="1"/>
    <s v="45-54"/>
    <s v="Low"/>
    <s v="0-5 Years"/>
  </r>
  <r>
    <n v="856"/>
    <n v="37"/>
    <x v="1"/>
    <s v="Travel_Rarely"/>
    <n v="977"/>
    <s v="Research &amp; Development"/>
    <n v="1"/>
    <n v="3"/>
    <s v="Life Sciences"/>
    <n v="1196"/>
    <n v="4"/>
    <s v="Female"/>
    <n v="56"/>
    <n v="2"/>
    <n v="2"/>
    <s v="Manufacturing Director"/>
    <n v="4"/>
    <s v="Married"/>
    <n v="6474"/>
    <n v="9961"/>
    <n v="1"/>
    <s v="No"/>
    <n v="13"/>
    <n v="3"/>
    <n v="2"/>
    <n v="80"/>
    <n v="1"/>
    <n v="14"/>
    <n v="2"/>
    <n v="2"/>
    <n v="14"/>
    <n v="8"/>
    <n v="3"/>
    <n v="11"/>
    <n v="0"/>
    <n v="1"/>
    <s v="35-44"/>
    <s v="Medium"/>
    <s v="11-20 Years"/>
  </r>
  <r>
    <n v="857"/>
    <n v="20"/>
    <x v="1"/>
    <s v="Travel_Rarely"/>
    <n v="805"/>
    <s v="Research &amp; Development"/>
    <n v="3"/>
    <n v="3"/>
    <s v="Life Sciences"/>
    <n v="1198"/>
    <n v="1"/>
    <s v="Male"/>
    <n v="87"/>
    <n v="2"/>
    <n v="1"/>
    <s v="Laboratory Technician"/>
    <n v="3"/>
    <s v="Single"/>
    <n v="3033"/>
    <n v="12828"/>
    <n v="1"/>
    <s v="No"/>
    <n v="12"/>
    <n v="3"/>
    <n v="1"/>
    <n v="80"/>
    <n v="0"/>
    <n v="2"/>
    <n v="2"/>
    <n v="2"/>
    <n v="2"/>
    <n v="2"/>
    <n v="1"/>
    <n v="2"/>
    <n v="0"/>
    <n v="1"/>
    <s v="Under 25"/>
    <s v="Low"/>
    <s v="0-5 Years"/>
  </r>
  <r>
    <n v="858"/>
    <n v="44"/>
    <x v="0"/>
    <s v="Travel_Rarely"/>
    <n v="1097"/>
    <s v="Research &amp; Development"/>
    <n v="10"/>
    <n v="4"/>
    <s v="Life Sciences"/>
    <n v="1200"/>
    <n v="3"/>
    <s v="Male"/>
    <n v="96"/>
    <n v="3"/>
    <n v="1"/>
    <s v="Research Scientist"/>
    <n v="3"/>
    <s v="Single"/>
    <n v="2936"/>
    <n v="10826"/>
    <n v="1"/>
    <s v="Yes"/>
    <n v="11"/>
    <n v="3"/>
    <n v="3"/>
    <n v="80"/>
    <n v="0"/>
    <n v="6"/>
    <n v="4"/>
    <n v="3"/>
    <n v="6"/>
    <n v="4"/>
    <n v="0"/>
    <n v="2"/>
    <n v="1"/>
    <n v="0"/>
    <s v="35-44"/>
    <s v="Low"/>
    <s v="6-10 Years"/>
  </r>
  <r>
    <n v="859"/>
    <n v="53"/>
    <x v="1"/>
    <s v="Travel_Rarely"/>
    <n v="1223"/>
    <s v="Research &amp; Development"/>
    <n v="7"/>
    <n v="2"/>
    <s v="Medical"/>
    <n v="1201"/>
    <n v="4"/>
    <s v="Female"/>
    <n v="50"/>
    <n v="3"/>
    <n v="5"/>
    <s v="Manager"/>
    <n v="3"/>
    <s v="Divorced"/>
    <n v="18606"/>
    <n v="18640"/>
    <n v="3"/>
    <s v="No"/>
    <n v="18"/>
    <n v="3"/>
    <n v="2"/>
    <n v="80"/>
    <n v="1"/>
    <n v="26"/>
    <n v="6"/>
    <n v="3"/>
    <n v="7"/>
    <n v="7"/>
    <n v="4"/>
    <n v="7"/>
    <n v="0"/>
    <n v="1"/>
    <s v="45-54"/>
    <s v="High"/>
    <s v="6-10 Years"/>
  </r>
  <r>
    <n v="860"/>
    <n v="29"/>
    <x v="1"/>
    <s v="Travel_Rarely"/>
    <n v="942"/>
    <s v="Research &amp; Development"/>
    <n v="15"/>
    <n v="1"/>
    <s v="Life Sciences"/>
    <n v="1202"/>
    <n v="2"/>
    <s v="Female"/>
    <n v="69"/>
    <n v="1"/>
    <n v="1"/>
    <s v="Research Scientist"/>
    <n v="4"/>
    <s v="Married"/>
    <n v="2168"/>
    <n v="26933"/>
    <n v="0"/>
    <s v="Yes"/>
    <n v="18"/>
    <n v="3"/>
    <n v="1"/>
    <n v="80"/>
    <n v="1"/>
    <n v="6"/>
    <n v="2"/>
    <n v="2"/>
    <n v="5"/>
    <n v="4"/>
    <n v="1"/>
    <n v="3"/>
    <n v="0"/>
    <n v="1"/>
    <s v="25-34"/>
    <s v="Low"/>
    <s v="0-5 Years"/>
  </r>
  <r>
    <n v="861"/>
    <n v="22"/>
    <x v="0"/>
    <s v="Travel_Frequently"/>
    <n v="1256"/>
    <s v="Research &amp; Development"/>
    <n v="3"/>
    <n v="4"/>
    <s v="Life Sciences"/>
    <n v="1203"/>
    <n v="3"/>
    <s v="Male"/>
    <n v="48"/>
    <n v="2"/>
    <n v="1"/>
    <s v="Research Scientist"/>
    <n v="4"/>
    <s v="Married"/>
    <n v="2853"/>
    <n v="4223"/>
    <n v="0"/>
    <s v="Yes"/>
    <n v="11"/>
    <n v="3"/>
    <n v="2"/>
    <n v="80"/>
    <n v="1"/>
    <n v="1"/>
    <n v="5"/>
    <n v="3"/>
    <n v="0"/>
    <n v="0"/>
    <n v="0"/>
    <n v="0"/>
    <n v="1"/>
    <n v="0"/>
    <s v="Under 25"/>
    <s v="Low"/>
    <s v="0-5 Years"/>
  </r>
  <r>
    <n v="862"/>
    <n v="46"/>
    <x v="1"/>
    <s v="Travel_Rarely"/>
    <n v="1402"/>
    <s v="Sales"/>
    <n v="2"/>
    <n v="3"/>
    <s v="Marketing"/>
    <n v="1204"/>
    <n v="3"/>
    <s v="Female"/>
    <n v="69"/>
    <n v="3"/>
    <n v="4"/>
    <s v="Manager"/>
    <n v="1"/>
    <s v="Married"/>
    <n v="17048"/>
    <n v="24097"/>
    <n v="8"/>
    <s v="No"/>
    <n v="23"/>
    <n v="4"/>
    <n v="1"/>
    <n v="80"/>
    <n v="0"/>
    <n v="28"/>
    <n v="2"/>
    <n v="3"/>
    <n v="26"/>
    <n v="15"/>
    <n v="15"/>
    <n v="9"/>
    <n v="0"/>
    <n v="1"/>
    <s v="45-54"/>
    <s v="High"/>
    <s v="21+ Years"/>
  </r>
  <r>
    <n v="863"/>
    <n v="44"/>
    <x v="1"/>
    <s v="Non-Travel"/>
    <n v="111"/>
    <s v="Research &amp; Development"/>
    <n v="17"/>
    <n v="3"/>
    <s v="Life Sciences"/>
    <n v="1206"/>
    <n v="4"/>
    <s v="Male"/>
    <n v="74"/>
    <n v="1"/>
    <n v="1"/>
    <s v="Research Scientist"/>
    <n v="3"/>
    <s v="Single"/>
    <n v="2290"/>
    <n v="4279"/>
    <n v="2"/>
    <s v="No"/>
    <n v="13"/>
    <n v="3"/>
    <n v="4"/>
    <n v="80"/>
    <n v="0"/>
    <n v="6"/>
    <n v="3"/>
    <n v="3"/>
    <n v="0"/>
    <n v="0"/>
    <n v="0"/>
    <n v="0"/>
    <n v="0"/>
    <n v="1"/>
    <s v="35-44"/>
    <s v="Low"/>
    <s v="0-5 Years"/>
  </r>
  <r>
    <n v="864"/>
    <n v="33"/>
    <x v="1"/>
    <s v="Travel_Rarely"/>
    <n v="147"/>
    <s v="Human Resources"/>
    <n v="2"/>
    <n v="3"/>
    <s v="Human Resources"/>
    <n v="1207"/>
    <n v="2"/>
    <s v="Male"/>
    <n v="99"/>
    <n v="3"/>
    <n v="1"/>
    <s v="Human Resources"/>
    <n v="3"/>
    <s v="Married"/>
    <n v="3600"/>
    <n v="8429"/>
    <n v="1"/>
    <s v="No"/>
    <n v="13"/>
    <n v="3"/>
    <n v="4"/>
    <n v="80"/>
    <n v="1"/>
    <n v="5"/>
    <n v="2"/>
    <n v="3"/>
    <n v="5"/>
    <n v="4"/>
    <n v="1"/>
    <n v="4"/>
    <n v="0"/>
    <n v="1"/>
    <s v="25-34"/>
    <s v="Low"/>
    <s v="0-5 Years"/>
  </r>
  <r>
    <n v="865"/>
    <n v="41"/>
    <x v="0"/>
    <s v="Non-Travel"/>
    <n v="906"/>
    <s v="Research &amp; Development"/>
    <n v="5"/>
    <n v="2"/>
    <s v="Life Sciences"/>
    <n v="1210"/>
    <n v="1"/>
    <s v="Male"/>
    <n v="95"/>
    <n v="2"/>
    <n v="1"/>
    <s v="Research Scientist"/>
    <n v="1"/>
    <s v="Divorced"/>
    <n v="2107"/>
    <n v="20293"/>
    <n v="6"/>
    <s v="No"/>
    <n v="17"/>
    <n v="3"/>
    <n v="1"/>
    <n v="80"/>
    <n v="1"/>
    <n v="5"/>
    <n v="2"/>
    <n v="1"/>
    <n v="1"/>
    <n v="0"/>
    <n v="0"/>
    <n v="0"/>
    <n v="1"/>
    <n v="0"/>
    <s v="35-44"/>
    <s v="Low"/>
    <s v="0-5 Years"/>
  </r>
  <r>
    <n v="866"/>
    <n v="30"/>
    <x v="1"/>
    <s v="Travel_Rarely"/>
    <n v="1329"/>
    <s v="Sales"/>
    <n v="29"/>
    <n v="4"/>
    <s v="Life Sciences"/>
    <n v="1211"/>
    <n v="3"/>
    <s v="Male"/>
    <n v="61"/>
    <n v="3"/>
    <n v="2"/>
    <s v="Sales Executive"/>
    <n v="1"/>
    <s v="Divorced"/>
    <n v="4115"/>
    <n v="13192"/>
    <n v="8"/>
    <s v="No"/>
    <n v="19"/>
    <n v="3"/>
    <n v="3"/>
    <n v="80"/>
    <n v="3"/>
    <n v="8"/>
    <n v="3"/>
    <n v="3"/>
    <n v="4"/>
    <n v="3"/>
    <n v="0"/>
    <n v="3"/>
    <n v="0"/>
    <n v="1"/>
    <s v="25-34"/>
    <s v="Low"/>
    <s v="0-5 Years"/>
  </r>
  <r>
    <n v="867"/>
    <n v="40"/>
    <x v="1"/>
    <s v="Travel_Frequently"/>
    <n v="1184"/>
    <s v="Sales"/>
    <n v="2"/>
    <n v="4"/>
    <s v="Medical"/>
    <n v="1212"/>
    <n v="2"/>
    <s v="Male"/>
    <n v="62"/>
    <n v="3"/>
    <n v="2"/>
    <s v="Sales Executive"/>
    <n v="2"/>
    <s v="Married"/>
    <n v="4327"/>
    <n v="25440"/>
    <n v="5"/>
    <s v="No"/>
    <n v="12"/>
    <n v="3"/>
    <n v="4"/>
    <n v="80"/>
    <n v="3"/>
    <n v="5"/>
    <n v="2"/>
    <n v="3"/>
    <n v="0"/>
    <n v="0"/>
    <n v="0"/>
    <n v="0"/>
    <n v="0"/>
    <n v="1"/>
    <s v="35-44"/>
    <s v="Low"/>
    <s v="0-5 Years"/>
  </r>
  <r>
    <n v="868"/>
    <n v="50"/>
    <x v="1"/>
    <s v="Travel_Frequently"/>
    <n v="1421"/>
    <s v="Research &amp; Development"/>
    <n v="2"/>
    <n v="3"/>
    <s v="Medical"/>
    <n v="1215"/>
    <n v="4"/>
    <s v="Female"/>
    <n v="30"/>
    <n v="3"/>
    <n v="4"/>
    <s v="Manager"/>
    <n v="1"/>
    <s v="Married"/>
    <n v="17856"/>
    <n v="9490"/>
    <n v="2"/>
    <s v="No"/>
    <n v="22"/>
    <n v="4"/>
    <n v="3"/>
    <n v="80"/>
    <n v="1"/>
    <n v="32"/>
    <n v="3"/>
    <n v="3"/>
    <n v="2"/>
    <n v="2"/>
    <n v="2"/>
    <n v="2"/>
    <n v="0"/>
    <n v="1"/>
    <s v="45-54"/>
    <s v="High"/>
    <s v="0-5 Years"/>
  </r>
  <r>
    <n v="869"/>
    <n v="28"/>
    <x v="1"/>
    <s v="Travel_Rarely"/>
    <n v="1179"/>
    <s v="Research &amp; Development"/>
    <n v="19"/>
    <n v="4"/>
    <s v="Medical"/>
    <n v="1216"/>
    <n v="4"/>
    <s v="Male"/>
    <n v="78"/>
    <n v="2"/>
    <n v="1"/>
    <s v="Laboratory Technician"/>
    <n v="1"/>
    <s v="Married"/>
    <n v="3196"/>
    <n v="12449"/>
    <n v="1"/>
    <s v="No"/>
    <n v="12"/>
    <n v="3"/>
    <n v="3"/>
    <n v="80"/>
    <n v="3"/>
    <n v="6"/>
    <n v="2"/>
    <n v="3"/>
    <n v="6"/>
    <n v="5"/>
    <n v="3"/>
    <n v="3"/>
    <n v="0"/>
    <n v="1"/>
    <s v="25-34"/>
    <s v="Low"/>
    <s v="6-10 Years"/>
  </r>
  <r>
    <n v="870"/>
    <n v="46"/>
    <x v="1"/>
    <s v="Travel_Rarely"/>
    <n v="1450"/>
    <s v="Research &amp; Development"/>
    <n v="15"/>
    <n v="2"/>
    <s v="Life Sciences"/>
    <n v="1217"/>
    <n v="4"/>
    <s v="Male"/>
    <n v="52"/>
    <n v="3"/>
    <n v="5"/>
    <s v="Research Director"/>
    <n v="2"/>
    <s v="Married"/>
    <n v="19081"/>
    <n v="10849"/>
    <n v="5"/>
    <s v="No"/>
    <n v="11"/>
    <n v="3"/>
    <n v="1"/>
    <n v="80"/>
    <n v="1"/>
    <n v="25"/>
    <n v="2"/>
    <n v="3"/>
    <n v="4"/>
    <n v="2"/>
    <n v="0"/>
    <n v="3"/>
    <n v="0"/>
    <n v="1"/>
    <s v="45-54"/>
    <s v="High"/>
    <s v="0-5 Years"/>
  </r>
  <r>
    <n v="871"/>
    <n v="35"/>
    <x v="1"/>
    <s v="Travel_Rarely"/>
    <n v="1361"/>
    <s v="Sales"/>
    <n v="17"/>
    <n v="4"/>
    <s v="Life Sciences"/>
    <n v="1218"/>
    <n v="3"/>
    <s v="Male"/>
    <n v="94"/>
    <n v="3"/>
    <n v="2"/>
    <s v="Sales Executive"/>
    <n v="1"/>
    <s v="Married"/>
    <n v="8966"/>
    <n v="21026"/>
    <n v="3"/>
    <s v="Yes"/>
    <n v="15"/>
    <n v="3"/>
    <n v="4"/>
    <n v="80"/>
    <n v="3"/>
    <n v="15"/>
    <n v="2"/>
    <n v="3"/>
    <n v="7"/>
    <n v="7"/>
    <n v="1"/>
    <n v="7"/>
    <n v="0"/>
    <n v="1"/>
    <s v="35-44"/>
    <s v="Medium"/>
    <s v="6-10 Years"/>
  </r>
  <r>
    <n v="872"/>
    <n v="24"/>
    <x v="0"/>
    <s v="Travel_Rarely"/>
    <n v="984"/>
    <s v="Research &amp; Development"/>
    <n v="17"/>
    <n v="2"/>
    <s v="Life Sciences"/>
    <n v="1219"/>
    <n v="4"/>
    <s v="Female"/>
    <n v="97"/>
    <n v="3"/>
    <n v="1"/>
    <s v="Laboratory Technician"/>
    <n v="2"/>
    <s v="Married"/>
    <n v="2210"/>
    <n v="3372"/>
    <n v="1"/>
    <s v="No"/>
    <n v="13"/>
    <n v="3"/>
    <n v="1"/>
    <n v="80"/>
    <n v="1"/>
    <n v="1"/>
    <n v="3"/>
    <n v="1"/>
    <n v="1"/>
    <n v="0"/>
    <n v="0"/>
    <n v="0"/>
    <n v="1"/>
    <n v="0"/>
    <s v="Under 25"/>
    <s v="Low"/>
    <s v="0-5 Years"/>
  </r>
  <r>
    <n v="873"/>
    <n v="33"/>
    <x v="1"/>
    <s v="Travel_Frequently"/>
    <n v="1146"/>
    <s v="Sales"/>
    <n v="25"/>
    <n v="3"/>
    <s v="Medical"/>
    <n v="1220"/>
    <n v="2"/>
    <s v="Female"/>
    <n v="82"/>
    <n v="3"/>
    <n v="2"/>
    <s v="Sales Executive"/>
    <n v="3"/>
    <s v="Married"/>
    <n v="4539"/>
    <n v="4905"/>
    <n v="1"/>
    <s v="No"/>
    <n v="12"/>
    <n v="3"/>
    <n v="1"/>
    <n v="80"/>
    <n v="1"/>
    <n v="10"/>
    <n v="3"/>
    <n v="2"/>
    <n v="10"/>
    <n v="7"/>
    <n v="0"/>
    <n v="1"/>
    <n v="0"/>
    <n v="1"/>
    <s v="25-34"/>
    <s v="Low"/>
    <s v="6-10 Years"/>
  </r>
  <r>
    <n v="874"/>
    <n v="36"/>
    <x v="1"/>
    <s v="Travel_Rarely"/>
    <n v="917"/>
    <s v="Research &amp; Development"/>
    <n v="6"/>
    <n v="4"/>
    <s v="Life Sciences"/>
    <n v="1221"/>
    <n v="3"/>
    <s v="Male"/>
    <n v="60"/>
    <n v="1"/>
    <n v="1"/>
    <s v="Laboratory Technician"/>
    <n v="3"/>
    <s v="Divorced"/>
    <n v="2741"/>
    <n v="6865"/>
    <n v="1"/>
    <s v="No"/>
    <n v="14"/>
    <n v="3"/>
    <n v="3"/>
    <n v="80"/>
    <n v="1"/>
    <n v="7"/>
    <n v="4"/>
    <n v="3"/>
    <n v="7"/>
    <n v="7"/>
    <n v="1"/>
    <n v="7"/>
    <n v="0"/>
    <n v="1"/>
    <s v="35-44"/>
    <s v="Low"/>
    <s v="6-10 Years"/>
  </r>
  <r>
    <n v="875"/>
    <n v="30"/>
    <x v="1"/>
    <s v="Travel_Rarely"/>
    <n v="853"/>
    <s v="Research &amp; Development"/>
    <n v="7"/>
    <n v="4"/>
    <s v="Life Sciences"/>
    <n v="1224"/>
    <n v="3"/>
    <s v="Male"/>
    <n v="49"/>
    <n v="3"/>
    <n v="2"/>
    <s v="Laboratory Technician"/>
    <n v="3"/>
    <s v="Divorced"/>
    <n v="3491"/>
    <n v="11309"/>
    <n v="1"/>
    <s v="No"/>
    <n v="13"/>
    <n v="3"/>
    <n v="1"/>
    <n v="80"/>
    <n v="3"/>
    <n v="10"/>
    <n v="4"/>
    <n v="2"/>
    <n v="10"/>
    <n v="7"/>
    <n v="8"/>
    <n v="9"/>
    <n v="0"/>
    <n v="1"/>
    <s v="25-34"/>
    <s v="Low"/>
    <s v="6-10 Years"/>
  </r>
  <r>
    <n v="876"/>
    <n v="44"/>
    <x v="1"/>
    <s v="Travel_Rarely"/>
    <n v="200"/>
    <s v="Research &amp; Development"/>
    <n v="29"/>
    <n v="4"/>
    <s v="Other"/>
    <n v="1225"/>
    <n v="4"/>
    <s v="Male"/>
    <n v="32"/>
    <n v="3"/>
    <n v="2"/>
    <s v="Research Scientist"/>
    <n v="4"/>
    <s v="Single"/>
    <n v="4541"/>
    <n v="7744"/>
    <n v="1"/>
    <s v="No"/>
    <n v="25"/>
    <n v="4"/>
    <n v="2"/>
    <n v="80"/>
    <n v="0"/>
    <n v="20"/>
    <n v="3"/>
    <n v="3"/>
    <n v="20"/>
    <n v="11"/>
    <n v="13"/>
    <n v="17"/>
    <n v="0"/>
    <n v="1"/>
    <s v="35-44"/>
    <s v="Low"/>
    <s v="11-20 Years"/>
  </r>
  <r>
    <n v="877"/>
    <n v="20"/>
    <x v="1"/>
    <s v="Travel_Rarely"/>
    <n v="654"/>
    <s v="Sales"/>
    <n v="21"/>
    <n v="3"/>
    <s v="Marketing"/>
    <n v="1226"/>
    <n v="3"/>
    <s v="Male"/>
    <n v="43"/>
    <n v="4"/>
    <n v="1"/>
    <s v="Sales Representative"/>
    <n v="4"/>
    <s v="Single"/>
    <n v="2678"/>
    <n v="5050"/>
    <n v="1"/>
    <s v="No"/>
    <n v="17"/>
    <n v="3"/>
    <n v="4"/>
    <n v="80"/>
    <n v="0"/>
    <n v="2"/>
    <n v="2"/>
    <n v="3"/>
    <n v="2"/>
    <n v="1"/>
    <n v="2"/>
    <n v="2"/>
    <n v="0"/>
    <n v="1"/>
    <s v="Under 25"/>
    <s v="Low"/>
    <s v="0-5 Years"/>
  </r>
  <r>
    <n v="878"/>
    <n v="46"/>
    <x v="1"/>
    <s v="Travel_Rarely"/>
    <n v="150"/>
    <s v="Research &amp; Development"/>
    <n v="2"/>
    <n v="4"/>
    <s v="Technical Degree"/>
    <n v="1228"/>
    <n v="4"/>
    <s v="Male"/>
    <n v="60"/>
    <n v="3"/>
    <n v="2"/>
    <s v="Manufacturing Director"/>
    <n v="4"/>
    <s v="Divorced"/>
    <n v="7379"/>
    <n v="17433"/>
    <n v="2"/>
    <s v="No"/>
    <n v="11"/>
    <n v="3"/>
    <n v="3"/>
    <n v="80"/>
    <n v="1"/>
    <n v="12"/>
    <n v="3"/>
    <n v="2"/>
    <n v="6"/>
    <n v="3"/>
    <n v="1"/>
    <n v="4"/>
    <n v="0"/>
    <n v="1"/>
    <s v="45-54"/>
    <s v="Medium"/>
    <s v="6-10 Years"/>
  </r>
  <r>
    <n v="879"/>
    <n v="42"/>
    <x v="1"/>
    <s v="Non-Travel"/>
    <n v="179"/>
    <s v="Human Resources"/>
    <n v="2"/>
    <n v="5"/>
    <s v="Medical"/>
    <n v="1231"/>
    <n v="4"/>
    <s v="Male"/>
    <n v="79"/>
    <n v="4"/>
    <n v="2"/>
    <s v="Human Resources"/>
    <n v="1"/>
    <s v="Married"/>
    <n v="6272"/>
    <n v="12858"/>
    <n v="7"/>
    <s v="No"/>
    <n v="16"/>
    <n v="3"/>
    <n v="1"/>
    <n v="80"/>
    <n v="1"/>
    <n v="10"/>
    <n v="3"/>
    <n v="4"/>
    <n v="4"/>
    <n v="3"/>
    <n v="0"/>
    <n v="3"/>
    <n v="0"/>
    <n v="1"/>
    <s v="35-44"/>
    <s v="Medium"/>
    <s v="0-5 Years"/>
  </r>
  <r>
    <n v="880"/>
    <n v="60"/>
    <x v="1"/>
    <s v="Travel_Rarely"/>
    <n v="696"/>
    <s v="Sales"/>
    <n v="7"/>
    <n v="4"/>
    <s v="Marketing"/>
    <n v="1233"/>
    <n v="2"/>
    <s v="Male"/>
    <n v="52"/>
    <n v="4"/>
    <n v="2"/>
    <s v="Sales Executive"/>
    <n v="4"/>
    <s v="Divorced"/>
    <n v="5220"/>
    <n v="10893"/>
    <n v="0"/>
    <s v="Yes"/>
    <n v="18"/>
    <n v="3"/>
    <n v="2"/>
    <n v="80"/>
    <n v="1"/>
    <n v="12"/>
    <n v="3"/>
    <n v="3"/>
    <n v="11"/>
    <n v="7"/>
    <n v="1"/>
    <n v="9"/>
    <n v="0"/>
    <n v="1"/>
    <s v="55+"/>
    <s v="Medium"/>
    <s v="11-20 Years"/>
  </r>
  <r>
    <n v="881"/>
    <n v="32"/>
    <x v="1"/>
    <s v="Travel_Frequently"/>
    <n v="116"/>
    <s v="Research &amp; Development"/>
    <n v="13"/>
    <n v="3"/>
    <s v="Other"/>
    <n v="1234"/>
    <n v="3"/>
    <s v="Female"/>
    <n v="77"/>
    <n v="2"/>
    <n v="1"/>
    <s v="Laboratory Technician"/>
    <n v="2"/>
    <s v="Married"/>
    <n v="2743"/>
    <n v="7331"/>
    <n v="1"/>
    <s v="No"/>
    <n v="20"/>
    <n v="4"/>
    <n v="3"/>
    <n v="80"/>
    <n v="1"/>
    <n v="2"/>
    <n v="2"/>
    <n v="3"/>
    <n v="2"/>
    <n v="2"/>
    <n v="2"/>
    <n v="2"/>
    <n v="0"/>
    <n v="1"/>
    <s v="25-34"/>
    <s v="Low"/>
    <s v="0-5 Years"/>
  </r>
  <r>
    <n v="882"/>
    <n v="32"/>
    <x v="1"/>
    <s v="Travel_Frequently"/>
    <n v="1316"/>
    <s v="Research &amp; Development"/>
    <n v="2"/>
    <n v="2"/>
    <s v="Life Sciences"/>
    <n v="1235"/>
    <n v="4"/>
    <s v="Female"/>
    <n v="38"/>
    <n v="3"/>
    <n v="2"/>
    <s v="Research Scientist"/>
    <n v="3"/>
    <s v="Single"/>
    <n v="4998"/>
    <n v="2338"/>
    <n v="4"/>
    <s v="Yes"/>
    <n v="14"/>
    <n v="3"/>
    <n v="4"/>
    <n v="80"/>
    <n v="0"/>
    <n v="10"/>
    <n v="2"/>
    <n v="3"/>
    <n v="8"/>
    <n v="7"/>
    <n v="0"/>
    <n v="7"/>
    <n v="0"/>
    <n v="1"/>
    <s v="25-34"/>
    <s v="Low"/>
    <s v="6-10 Years"/>
  </r>
  <r>
    <n v="883"/>
    <n v="36"/>
    <x v="1"/>
    <s v="Travel_Rarely"/>
    <n v="363"/>
    <s v="Research &amp; Development"/>
    <n v="1"/>
    <n v="3"/>
    <s v="Technical Degree"/>
    <n v="1237"/>
    <n v="3"/>
    <s v="Female"/>
    <n v="77"/>
    <n v="1"/>
    <n v="3"/>
    <s v="Manufacturing Director"/>
    <n v="1"/>
    <s v="Divorced"/>
    <n v="10252"/>
    <n v="4235"/>
    <n v="2"/>
    <s v="Yes"/>
    <n v="21"/>
    <n v="4"/>
    <n v="3"/>
    <n v="80"/>
    <n v="1"/>
    <n v="17"/>
    <n v="2"/>
    <n v="3"/>
    <n v="7"/>
    <n v="7"/>
    <n v="7"/>
    <n v="7"/>
    <n v="0"/>
    <n v="1"/>
    <s v="35-44"/>
    <s v="Upper Medium"/>
    <s v="6-10 Years"/>
  </r>
  <r>
    <n v="884"/>
    <n v="33"/>
    <x v="1"/>
    <s v="Travel_Rarely"/>
    <n v="117"/>
    <s v="Research &amp; Development"/>
    <n v="9"/>
    <n v="3"/>
    <s v="Medical"/>
    <n v="1238"/>
    <n v="1"/>
    <s v="Male"/>
    <n v="60"/>
    <n v="3"/>
    <n v="1"/>
    <s v="Research Scientist"/>
    <n v="4"/>
    <s v="Married"/>
    <n v="2781"/>
    <n v="6311"/>
    <n v="0"/>
    <s v="No"/>
    <n v="13"/>
    <n v="3"/>
    <n v="2"/>
    <n v="80"/>
    <n v="1"/>
    <n v="15"/>
    <n v="5"/>
    <n v="3"/>
    <n v="14"/>
    <n v="10"/>
    <n v="4"/>
    <n v="10"/>
    <n v="0"/>
    <n v="1"/>
    <s v="25-34"/>
    <s v="Low"/>
    <s v="11-20 Years"/>
  </r>
  <r>
    <n v="885"/>
    <n v="40"/>
    <x v="1"/>
    <s v="Travel_Rarely"/>
    <n v="107"/>
    <s v="Sales"/>
    <n v="10"/>
    <n v="3"/>
    <s v="Technical Degree"/>
    <n v="1239"/>
    <n v="2"/>
    <s v="Female"/>
    <n v="84"/>
    <n v="2"/>
    <n v="2"/>
    <s v="Sales Executive"/>
    <n v="2"/>
    <s v="Divorced"/>
    <n v="6852"/>
    <n v="11591"/>
    <n v="7"/>
    <s v="No"/>
    <n v="12"/>
    <n v="3"/>
    <n v="2"/>
    <n v="80"/>
    <n v="1"/>
    <n v="7"/>
    <n v="2"/>
    <n v="4"/>
    <n v="5"/>
    <n v="1"/>
    <n v="1"/>
    <n v="3"/>
    <n v="0"/>
    <n v="1"/>
    <s v="35-44"/>
    <s v="Medium"/>
    <s v="0-5 Years"/>
  </r>
  <r>
    <n v="886"/>
    <n v="25"/>
    <x v="1"/>
    <s v="Travel_Rarely"/>
    <n v="1356"/>
    <s v="Sales"/>
    <n v="10"/>
    <n v="4"/>
    <s v="Life Sciences"/>
    <n v="1240"/>
    <n v="3"/>
    <s v="Male"/>
    <n v="57"/>
    <n v="3"/>
    <n v="2"/>
    <s v="Sales Executive"/>
    <n v="4"/>
    <s v="Single"/>
    <n v="4950"/>
    <n v="20623"/>
    <n v="0"/>
    <s v="No"/>
    <n v="14"/>
    <n v="3"/>
    <n v="2"/>
    <n v="80"/>
    <n v="0"/>
    <n v="5"/>
    <n v="4"/>
    <n v="3"/>
    <n v="4"/>
    <n v="3"/>
    <n v="1"/>
    <n v="1"/>
    <n v="0"/>
    <n v="1"/>
    <s v="25-34"/>
    <s v="Low"/>
    <s v="0-5 Years"/>
  </r>
  <r>
    <n v="887"/>
    <n v="30"/>
    <x v="1"/>
    <s v="Travel_Rarely"/>
    <n v="1465"/>
    <s v="Research &amp; Development"/>
    <n v="1"/>
    <n v="3"/>
    <s v="Medical"/>
    <n v="1241"/>
    <n v="4"/>
    <s v="Male"/>
    <n v="63"/>
    <n v="3"/>
    <n v="1"/>
    <s v="Research Scientist"/>
    <n v="2"/>
    <s v="Married"/>
    <n v="3579"/>
    <n v="9369"/>
    <n v="0"/>
    <s v="Yes"/>
    <n v="21"/>
    <n v="4"/>
    <n v="1"/>
    <n v="80"/>
    <n v="1"/>
    <n v="12"/>
    <n v="2"/>
    <n v="3"/>
    <n v="11"/>
    <n v="9"/>
    <n v="5"/>
    <n v="7"/>
    <n v="0"/>
    <n v="1"/>
    <s v="25-34"/>
    <s v="Low"/>
    <s v="11-20 Years"/>
  </r>
  <r>
    <n v="888"/>
    <n v="42"/>
    <x v="1"/>
    <s v="Travel_Frequently"/>
    <n v="458"/>
    <s v="Research &amp; Development"/>
    <n v="26"/>
    <n v="5"/>
    <s v="Medical"/>
    <n v="1242"/>
    <n v="1"/>
    <s v="Female"/>
    <n v="60"/>
    <n v="3"/>
    <n v="3"/>
    <s v="Research Director"/>
    <n v="1"/>
    <s v="Married"/>
    <n v="13191"/>
    <n v="23281"/>
    <n v="3"/>
    <s v="Yes"/>
    <n v="17"/>
    <n v="3"/>
    <n v="3"/>
    <n v="80"/>
    <n v="0"/>
    <n v="20"/>
    <n v="6"/>
    <n v="3"/>
    <n v="1"/>
    <n v="0"/>
    <n v="0"/>
    <n v="0"/>
    <n v="0"/>
    <n v="1"/>
    <s v="35-44"/>
    <s v="Upper Medium"/>
    <s v="0-5 Years"/>
  </r>
  <r>
    <n v="889"/>
    <n v="35"/>
    <x v="1"/>
    <s v="Non-Travel"/>
    <n v="1212"/>
    <s v="Sales"/>
    <n v="8"/>
    <n v="2"/>
    <s v="Marketing"/>
    <n v="1243"/>
    <n v="3"/>
    <s v="Female"/>
    <n v="78"/>
    <n v="2"/>
    <n v="3"/>
    <s v="Sales Executive"/>
    <n v="4"/>
    <s v="Married"/>
    <n v="10377"/>
    <n v="13755"/>
    <n v="4"/>
    <s v="Yes"/>
    <n v="11"/>
    <n v="3"/>
    <n v="2"/>
    <n v="80"/>
    <n v="1"/>
    <n v="16"/>
    <n v="6"/>
    <n v="2"/>
    <n v="13"/>
    <n v="2"/>
    <n v="4"/>
    <n v="12"/>
    <n v="0"/>
    <n v="1"/>
    <s v="35-44"/>
    <s v="Upper Medium"/>
    <s v="11-20 Years"/>
  </r>
  <r>
    <n v="890"/>
    <n v="27"/>
    <x v="1"/>
    <s v="Travel_Rarely"/>
    <n v="1103"/>
    <s v="Research &amp; Development"/>
    <n v="14"/>
    <n v="3"/>
    <s v="Life Sciences"/>
    <n v="1244"/>
    <n v="1"/>
    <s v="Male"/>
    <n v="42"/>
    <n v="3"/>
    <n v="1"/>
    <s v="Research Scientist"/>
    <n v="1"/>
    <s v="Married"/>
    <n v="2235"/>
    <n v="14377"/>
    <n v="1"/>
    <s v="Yes"/>
    <n v="14"/>
    <n v="3"/>
    <n v="4"/>
    <n v="80"/>
    <n v="2"/>
    <n v="9"/>
    <n v="3"/>
    <n v="2"/>
    <n v="9"/>
    <n v="7"/>
    <n v="6"/>
    <n v="8"/>
    <n v="0"/>
    <n v="1"/>
    <s v="25-34"/>
    <s v="Low"/>
    <s v="6-10 Years"/>
  </r>
  <r>
    <n v="891"/>
    <n v="54"/>
    <x v="1"/>
    <s v="Travel_Frequently"/>
    <n v="966"/>
    <s v="Research &amp; Development"/>
    <n v="1"/>
    <n v="4"/>
    <s v="Life Sciences"/>
    <n v="1245"/>
    <n v="4"/>
    <s v="Female"/>
    <n v="53"/>
    <n v="3"/>
    <n v="3"/>
    <s v="Manufacturing Director"/>
    <n v="3"/>
    <s v="Divorced"/>
    <n v="10502"/>
    <n v="9659"/>
    <n v="7"/>
    <s v="No"/>
    <n v="17"/>
    <n v="3"/>
    <n v="1"/>
    <n v="80"/>
    <n v="1"/>
    <n v="33"/>
    <n v="2"/>
    <n v="1"/>
    <n v="5"/>
    <n v="4"/>
    <n v="1"/>
    <n v="4"/>
    <n v="0"/>
    <n v="1"/>
    <s v="45-54"/>
    <s v="Upper Medium"/>
    <s v="0-5 Years"/>
  </r>
  <r>
    <n v="892"/>
    <n v="44"/>
    <x v="1"/>
    <s v="Travel_Rarely"/>
    <n v="1117"/>
    <s v="Research &amp; Development"/>
    <n v="2"/>
    <n v="1"/>
    <s v="Life Sciences"/>
    <n v="1246"/>
    <n v="1"/>
    <s v="Female"/>
    <n v="72"/>
    <n v="4"/>
    <n v="1"/>
    <s v="Research Scientist"/>
    <n v="4"/>
    <s v="Married"/>
    <n v="2011"/>
    <n v="19982"/>
    <n v="1"/>
    <s v="No"/>
    <n v="13"/>
    <n v="3"/>
    <n v="4"/>
    <n v="80"/>
    <n v="1"/>
    <n v="10"/>
    <n v="5"/>
    <n v="3"/>
    <n v="10"/>
    <n v="5"/>
    <n v="7"/>
    <n v="7"/>
    <n v="0"/>
    <n v="1"/>
    <s v="35-44"/>
    <s v="Low"/>
    <s v="6-10 Years"/>
  </r>
  <r>
    <n v="893"/>
    <n v="19"/>
    <x v="0"/>
    <s v="Non-Travel"/>
    <n v="504"/>
    <s v="Research &amp; Development"/>
    <n v="10"/>
    <n v="3"/>
    <s v="Medical"/>
    <n v="1248"/>
    <n v="1"/>
    <s v="Female"/>
    <n v="96"/>
    <n v="2"/>
    <n v="1"/>
    <s v="Research Scientist"/>
    <n v="2"/>
    <s v="Single"/>
    <n v="1859"/>
    <n v="6148"/>
    <n v="1"/>
    <s v="Yes"/>
    <n v="25"/>
    <n v="4"/>
    <n v="2"/>
    <n v="80"/>
    <n v="0"/>
    <n v="1"/>
    <n v="2"/>
    <n v="4"/>
    <n v="1"/>
    <n v="1"/>
    <n v="0"/>
    <n v="0"/>
    <n v="1"/>
    <n v="0"/>
    <s v="Under 25"/>
    <s v="Low"/>
    <s v="0-5 Years"/>
  </r>
  <r>
    <n v="894"/>
    <n v="29"/>
    <x v="1"/>
    <s v="Travel_Rarely"/>
    <n v="1010"/>
    <s v="Research &amp; Development"/>
    <n v="1"/>
    <n v="3"/>
    <s v="Life Sciences"/>
    <n v="1249"/>
    <n v="1"/>
    <s v="Female"/>
    <n v="97"/>
    <n v="3"/>
    <n v="1"/>
    <s v="Research Scientist"/>
    <n v="4"/>
    <s v="Divorced"/>
    <n v="3760"/>
    <n v="5598"/>
    <n v="1"/>
    <s v="No"/>
    <n v="15"/>
    <n v="3"/>
    <n v="1"/>
    <n v="80"/>
    <n v="3"/>
    <n v="3"/>
    <n v="5"/>
    <n v="3"/>
    <n v="3"/>
    <n v="2"/>
    <n v="1"/>
    <n v="2"/>
    <n v="0"/>
    <n v="1"/>
    <s v="25-34"/>
    <s v="Low"/>
    <s v="0-5 Years"/>
  </r>
  <r>
    <n v="895"/>
    <n v="54"/>
    <x v="1"/>
    <s v="Travel_Rarely"/>
    <n v="685"/>
    <s v="Research &amp; Development"/>
    <n v="3"/>
    <n v="3"/>
    <s v="Life Sciences"/>
    <n v="1250"/>
    <n v="4"/>
    <s v="Male"/>
    <n v="85"/>
    <n v="3"/>
    <n v="4"/>
    <s v="Research Director"/>
    <n v="4"/>
    <s v="Married"/>
    <n v="17779"/>
    <n v="23474"/>
    <n v="3"/>
    <s v="No"/>
    <n v="14"/>
    <n v="3"/>
    <n v="1"/>
    <n v="80"/>
    <n v="0"/>
    <n v="36"/>
    <n v="2"/>
    <n v="3"/>
    <n v="10"/>
    <n v="9"/>
    <n v="0"/>
    <n v="9"/>
    <n v="0"/>
    <n v="1"/>
    <s v="45-54"/>
    <s v="High"/>
    <s v="6-10 Years"/>
  </r>
  <r>
    <n v="896"/>
    <n v="31"/>
    <x v="1"/>
    <s v="Travel_Rarely"/>
    <n v="1332"/>
    <s v="Research &amp; Development"/>
    <n v="11"/>
    <n v="2"/>
    <s v="Medical"/>
    <n v="1251"/>
    <n v="3"/>
    <s v="Male"/>
    <n v="80"/>
    <n v="3"/>
    <n v="2"/>
    <s v="Healthcare Representative"/>
    <n v="1"/>
    <s v="Married"/>
    <n v="6833"/>
    <n v="17089"/>
    <n v="1"/>
    <s v="Yes"/>
    <n v="12"/>
    <n v="3"/>
    <n v="4"/>
    <n v="80"/>
    <n v="0"/>
    <n v="6"/>
    <n v="2"/>
    <n v="2"/>
    <n v="6"/>
    <n v="5"/>
    <n v="0"/>
    <n v="1"/>
    <n v="0"/>
    <n v="1"/>
    <s v="25-34"/>
    <s v="Medium"/>
    <s v="6-10 Years"/>
  </r>
  <r>
    <n v="897"/>
    <n v="31"/>
    <x v="1"/>
    <s v="Travel_Rarely"/>
    <n v="1062"/>
    <s v="Research &amp; Development"/>
    <n v="24"/>
    <n v="3"/>
    <s v="Medical"/>
    <n v="1252"/>
    <n v="3"/>
    <s v="Female"/>
    <n v="96"/>
    <n v="2"/>
    <n v="2"/>
    <s v="Healthcare Representative"/>
    <n v="1"/>
    <s v="Single"/>
    <n v="6812"/>
    <n v="17198"/>
    <n v="1"/>
    <s v="No"/>
    <n v="19"/>
    <n v="3"/>
    <n v="2"/>
    <n v="80"/>
    <n v="0"/>
    <n v="10"/>
    <n v="2"/>
    <n v="3"/>
    <n v="10"/>
    <n v="9"/>
    <n v="1"/>
    <n v="8"/>
    <n v="0"/>
    <n v="1"/>
    <s v="25-34"/>
    <s v="Medium"/>
    <s v="6-10 Years"/>
  </r>
  <r>
    <n v="898"/>
    <n v="59"/>
    <x v="1"/>
    <s v="Travel_Rarely"/>
    <n v="326"/>
    <s v="Sales"/>
    <n v="3"/>
    <n v="3"/>
    <s v="Life Sciences"/>
    <n v="1254"/>
    <n v="3"/>
    <s v="Female"/>
    <n v="48"/>
    <n v="2"/>
    <n v="2"/>
    <s v="Sales Executive"/>
    <n v="4"/>
    <s v="Single"/>
    <n v="5171"/>
    <n v="16490"/>
    <n v="5"/>
    <s v="No"/>
    <n v="17"/>
    <n v="3"/>
    <n v="4"/>
    <n v="80"/>
    <n v="0"/>
    <n v="13"/>
    <n v="2"/>
    <n v="3"/>
    <n v="6"/>
    <n v="1"/>
    <n v="0"/>
    <n v="5"/>
    <n v="0"/>
    <n v="1"/>
    <s v="55+"/>
    <s v="Medium"/>
    <s v="6-10 Years"/>
  </r>
  <r>
    <n v="899"/>
    <n v="43"/>
    <x v="1"/>
    <s v="Travel_Rarely"/>
    <n v="920"/>
    <s v="Research &amp; Development"/>
    <n v="3"/>
    <n v="3"/>
    <s v="Life Sciences"/>
    <n v="1255"/>
    <n v="3"/>
    <s v="Male"/>
    <n v="96"/>
    <n v="1"/>
    <n v="5"/>
    <s v="Research Director"/>
    <n v="4"/>
    <s v="Married"/>
    <n v="19740"/>
    <n v="18625"/>
    <n v="3"/>
    <s v="No"/>
    <n v="14"/>
    <n v="3"/>
    <n v="2"/>
    <n v="80"/>
    <n v="1"/>
    <n v="25"/>
    <n v="2"/>
    <n v="3"/>
    <n v="8"/>
    <n v="7"/>
    <n v="0"/>
    <n v="7"/>
    <n v="0"/>
    <n v="1"/>
    <s v="35-44"/>
    <s v="High"/>
    <s v="6-10 Years"/>
  </r>
  <r>
    <n v="900"/>
    <n v="49"/>
    <x v="1"/>
    <s v="Travel_Rarely"/>
    <n v="1098"/>
    <s v="Research &amp; Development"/>
    <n v="4"/>
    <n v="2"/>
    <s v="Medical"/>
    <n v="1256"/>
    <n v="1"/>
    <s v="Male"/>
    <n v="85"/>
    <n v="2"/>
    <n v="5"/>
    <s v="Manager"/>
    <n v="3"/>
    <s v="Married"/>
    <n v="18711"/>
    <n v="12124"/>
    <n v="2"/>
    <s v="No"/>
    <n v="13"/>
    <n v="3"/>
    <n v="3"/>
    <n v="80"/>
    <n v="1"/>
    <n v="23"/>
    <n v="2"/>
    <n v="4"/>
    <n v="1"/>
    <n v="0"/>
    <n v="0"/>
    <n v="0"/>
    <n v="0"/>
    <n v="1"/>
    <s v="45-54"/>
    <s v="High"/>
    <s v="0-5 Years"/>
  </r>
  <r>
    <n v="901"/>
    <n v="36"/>
    <x v="1"/>
    <s v="Travel_Frequently"/>
    <n v="469"/>
    <s v="Research &amp; Development"/>
    <n v="3"/>
    <n v="3"/>
    <s v="Technical Degree"/>
    <n v="1257"/>
    <n v="3"/>
    <s v="Male"/>
    <n v="46"/>
    <n v="3"/>
    <n v="1"/>
    <s v="Research Scientist"/>
    <n v="2"/>
    <s v="Married"/>
    <n v="3692"/>
    <n v="9256"/>
    <n v="1"/>
    <s v="No"/>
    <n v="12"/>
    <n v="3"/>
    <n v="3"/>
    <n v="80"/>
    <n v="0"/>
    <n v="12"/>
    <n v="2"/>
    <n v="2"/>
    <n v="11"/>
    <n v="10"/>
    <n v="0"/>
    <n v="7"/>
    <n v="0"/>
    <n v="1"/>
    <s v="35-44"/>
    <s v="Low"/>
    <s v="11-20 Years"/>
  </r>
  <r>
    <n v="902"/>
    <n v="48"/>
    <x v="1"/>
    <s v="Travel_Rarely"/>
    <n v="969"/>
    <s v="Research &amp; Development"/>
    <n v="2"/>
    <n v="2"/>
    <s v="Technical Degree"/>
    <n v="1258"/>
    <n v="4"/>
    <s v="Male"/>
    <n v="76"/>
    <n v="4"/>
    <n v="1"/>
    <s v="Laboratory Technician"/>
    <n v="2"/>
    <s v="Single"/>
    <n v="2559"/>
    <n v="16620"/>
    <n v="5"/>
    <s v="No"/>
    <n v="11"/>
    <n v="3"/>
    <n v="3"/>
    <n v="80"/>
    <n v="0"/>
    <n v="7"/>
    <n v="4"/>
    <n v="2"/>
    <n v="1"/>
    <n v="0"/>
    <n v="0"/>
    <n v="0"/>
    <n v="0"/>
    <n v="1"/>
    <s v="45-54"/>
    <s v="Low"/>
    <s v="0-5 Years"/>
  </r>
  <r>
    <n v="903"/>
    <n v="27"/>
    <x v="1"/>
    <s v="Travel_Rarely"/>
    <n v="1167"/>
    <s v="Research &amp; Development"/>
    <n v="4"/>
    <n v="2"/>
    <s v="Life Sciences"/>
    <n v="1259"/>
    <n v="1"/>
    <s v="Male"/>
    <n v="76"/>
    <n v="3"/>
    <n v="1"/>
    <s v="Research Scientist"/>
    <n v="3"/>
    <s v="Divorced"/>
    <n v="2517"/>
    <n v="3208"/>
    <n v="1"/>
    <s v="No"/>
    <n v="11"/>
    <n v="3"/>
    <n v="2"/>
    <n v="80"/>
    <n v="3"/>
    <n v="5"/>
    <n v="2"/>
    <n v="3"/>
    <n v="5"/>
    <n v="3"/>
    <n v="0"/>
    <n v="3"/>
    <n v="0"/>
    <n v="1"/>
    <s v="25-34"/>
    <s v="Low"/>
    <s v="0-5 Years"/>
  </r>
  <r>
    <n v="904"/>
    <n v="29"/>
    <x v="1"/>
    <s v="Travel_Rarely"/>
    <n v="1329"/>
    <s v="Research &amp; Development"/>
    <n v="7"/>
    <n v="3"/>
    <s v="Life Sciences"/>
    <n v="1260"/>
    <n v="3"/>
    <s v="Male"/>
    <n v="82"/>
    <n v="3"/>
    <n v="2"/>
    <s v="Healthcare Representative"/>
    <n v="4"/>
    <s v="Divorced"/>
    <n v="6623"/>
    <n v="4204"/>
    <n v="1"/>
    <s v="Yes"/>
    <n v="11"/>
    <n v="3"/>
    <n v="2"/>
    <n v="80"/>
    <n v="2"/>
    <n v="6"/>
    <n v="2"/>
    <n v="3"/>
    <n v="6"/>
    <n v="0"/>
    <n v="1"/>
    <n v="0"/>
    <n v="0"/>
    <n v="1"/>
    <s v="25-34"/>
    <s v="Medium"/>
    <s v="6-10 Years"/>
  </r>
  <r>
    <n v="905"/>
    <n v="48"/>
    <x v="1"/>
    <s v="Travel_Rarely"/>
    <n v="715"/>
    <s v="Research &amp; Development"/>
    <n v="1"/>
    <n v="3"/>
    <s v="Life Sciences"/>
    <n v="1263"/>
    <n v="4"/>
    <s v="Male"/>
    <n v="76"/>
    <n v="2"/>
    <n v="5"/>
    <s v="Research Director"/>
    <n v="4"/>
    <s v="Single"/>
    <n v="18265"/>
    <n v="8733"/>
    <n v="6"/>
    <s v="No"/>
    <n v="12"/>
    <n v="3"/>
    <n v="3"/>
    <n v="80"/>
    <n v="0"/>
    <n v="25"/>
    <n v="3"/>
    <n v="4"/>
    <n v="1"/>
    <n v="0"/>
    <n v="0"/>
    <n v="0"/>
    <n v="0"/>
    <n v="1"/>
    <s v="45-54"/>
    <s v="High"/>
    <s v="0-5 Years"/>
  </r>
  <r>
    <n v="906"/>
    <n v="29"/>
    <x v="1"/>
    <s v="Travel_Rarely"/>
    <n v="694"/>
    <s v="Research &amp; Development"/>
    <n v="1"/>
    <n v="3"/>
    <s v="Life Sciences"/>
    <n v="1264"/>
    <n v="4"/>
    <s v="Female"/>
    <n v="87"/>
    <n v="2"/>
    <n v="4"/>
    <s v="Research Director"/>
    <n v="4"/>
    <s v="Divorced"/>
    <n v="16124"/>
    <n v="3423"/>
    <n v="3"/>
    <s v="No"/>
    <n v="14"/>
    <n v="3"/>
    <n v="2"/>
    <n v="80"/>
    <n v="2"/>
    <n v="9"/>
    <n v="2"/>
    <n v="2"/>
    <n v="7"/>
    <n v="7"/>
    <n v="1"/>
    <n v="7"/>
    <n v="0"/>
    <n v="1"/>
    <s v="25-34"/>
    <s v="High"/>
    <s v="6-10 Years"/>
  </r>
  <r>
    <n v="907"/>
    <n v="34"/>
    <x v="1"/>
    <s v="Travel_Rarely"/>
    <n v="1320"/>
    <s v="Research &amp; Development"/>
    <n v="20"/>
    <n v="3"/>
    <s v="Technical Degree"/>
    <n v="1265"/>
    <n v="3"/>
    <s v="Female"/>
    <n v="89"/>
    <n v="4"/>
    <n v="1"/>
    <s v="Research Scientist"/>
    <n v="3"/>
    <s v="Married"/>
    <n v="2585"/>
    <n v="21643"/>
    <n v="0"/>
    <s v="No"/>
    <n v="17"/>
    <n v="3"/>
    <n v="4"/>
    <n v="80"/>
    <n v="0"/>
    <n v="2"/>
    <n v="5"/>
    <n v="2"/>
    <n v="1"/>
    <n v="0"/>
    <n v="0"/>
    <n v="0"/>
    <n v="0"/>
    <n v="1"/>
    <s v="25-34"/>
    <s v="Low"/>
    <s v="0-5 Years"/>
  </r>
  <r>
    <n v="908"/>
    <n v="44"/>
    <x v="1"/>
    <s v="Travel_Rarely"/>
    <n v="1099"/>
    <s v="Sales"/>
    <n v="5"/>
    <n v="3"/>
    <s v="Marketing"/>
    <n v="1267"/>
    <n v="2"/>
    <s v="Male"/>
    <n v="88"/>
    <n v="3"/>
    <n v="5"/>
    <s v="Manager"/>
    <n v="2"/>
    <s v="Married"/>
    <n v="18213"/>
    <n v="8751"/>
    <n v="7"/>
    <s v="No"/>
    <n v="11"/>
    <n v="3"/>
    <n v="3"/>
    <n v="80"/>
    <n v="1"/>
    <n v="26"/>
    <n v="5"/>
    <n v="3"/>
    <n v="22"/>
    <n v="9"/>
    <n v="3"/>
    <n v="10"/>
    <n v="0"/>
    <n v="1"/>
    <s v="35-44"/>
    <s v="High"/>
    <s v="21+ Years"/>
  </r>
  <r>
    <n v="909"/>
    <n v="33"/>
    <x v="1"/>
    <s v="Travel_Rarely"/>
    <n v="536"/>
    <s v="Sales"/>
    <n v="10"/>
    <n v="5"/>
    <s v="Marketing"/>
    <n v="1268"/>
    <n v="4"/>
    <s v="Male"/>
    <n v="82"/>
    <n v="4"/>
    <n v="3"/>
    <s v="Sales Executive"/>
    <n v="3"/>
    <s v="Divorced"/>
    <n v="8380"/>
    <n v="21708"/>
    <n v="0"/>
    <s v="Yes"/>
    <n v="14"/>
    <n v="3"/>
    <n v="4"/>
    <n v="80"/>
    <n v="2"/>
    <n v="10"/>
    <n v="3"/>
    <n v="3"/>
    <n v="9"/>
    <n v="8"/>
    <n v="0"/>
    <n v="8"/>
    <n v="0"/>
    <n v="1"/>
    <s v="25-34"/>
    <s v="Medium"/>
    <s v="6-10 Years"/>
  </r>
  <r>
    <n v="910"/>
    <n v="19"/>
    <x v="1"/>
    <s v="Travel_Rarely"/>
    <n v="265"/>
    <s v="Research &amp; Development"/>
    <n v="25"/>
    <n v="3"/>
    <s v="Life Sciences"/>
    <n v="1269"/>
    <n v="2"/>
    <s v="Female"/>
    <n v="57"/>
    <n v="4"/>
    <n v="1"/>
    <s v="Research Scientist"/>
    <n v="4"/>
    <s v="Single"/>
    <n v="2994"/>
    <n v="21221"/>
    <n v="1"/>
    <s v="Yes"/>
    <n v="12"/>
    <n v="3"/>
    <n v="4"/>
    <n v="80"/>
    <n v="0"/>
    <n v="1"/>
    <n v="2"/>
    <n v="3"/>
    <n v="1"/>
    <n v="0"/>
    <n v="0"/>
    <n v="1"/>
    <n v="0"/>
    <n v="1"/>
    <s v="Under 25"/>
    <s v="Low"/>
    <s v="0-5 Years"/>
  </r>
  <r>
    <n v="911"/>
    <n v="23"/>
    <x v="1"/>
    <s v="Travel_Rarely"/>
    <n v="373"/>
    <s v="Research &amp; Development"/>
    <n v="1"/>
    <n v="2"/>
    <s v="Life Sciences"/>
    <n v="1270"/>
    <n v="4"/>
    <s v="Male"/>
    <n v="47"/>
    <n v="3"/>
    <n v="1"/>
    <s v="Research Scientist"/>
    <n v="3"/>
    <s v="Married"/>
    <n v="1223"/>
    <n v="16901"/>
    <n v="1"/>
    <s v="No"/>
    <n v="22"/>
    <n v="4"/>
    <n v="4"/>
    <n v="80"/>
    <n v="1"/>
    <n v="1"/>
    <n v="2"/>
    <n v="3"/>
    <n v="1"/>
    <n v="0"/>
    <n v="0"/>
    <n v="1"/>
    <n v="0"/>
    <n v="1"/>
    <s v="Under 25"/>
    <s v="Low"/>
    <s v="0-5 Years"/>
  </r>
  <r>
    <n v="912"/>
    <n v="25"/>
    <x v="0"/>
    <s v="Travel_Frequently"/>
    <n v="599"/>
    <s v="Sales"/>
    <n v="24"/>
    <n v="1"/>
    <s v="Life Sciences"/>
    <n v="1273"/>
    <n v="3"/>
    <s v="Male"/>
    <n v="73"/>
    <n v="1"/>
    <n v="1"/>
    <s v="Sales Representative"/>
    <n v="4"/>
    <s v="Single"/>
    <n v="1118"/>
    <n v="8040"/>
    <n v="1"/>
    <s v="Yes"/>
    <n v="14"/>
    <n v="3"/>
    <n v="4"/>
    <n v="80"/>
    <n v="0"/>
    <n v="1"/>
    <n v="4"/>
    <n v="3"/>
    <n v="1"/>
    <n v="0"/>
    <n v="1"/>
    <n v="0"/>
    <n v="1"/>
    <n v="0"/>
    <s v="25-34"/>
    <s v="Low"/>
    <s v="0-5 Years"/>
  </r>
  <r>
    <n v="913"/>
    <n v="26"/>
    <x v="1"/>
    <s v="Travel_Rarely"/>
    <n v="583"/>
    <s v="Research &amp; Development"/>
    <n v="4"/>
    <n v="2"/>
    <s v="Life Sciences"/>
    <n v="1275"/>
    <n v="3"/>
    <s v="Male"/>
    <n v="53"/>
    <n v="3"/>
    <n v="1"/>
    <s v="Research Scientist"/>
    <n v="4"/>
    <s v="Single"/>
    <n v="2875"/>
    <n v="9973"/>
    <n v="1"/>
    <s v="Yes"/>
    <n v="20"/>
    <n v="4"/>
    <n v="2"/>
    <n v="80"/>
    <n v="0"/>
    <n v="8"/>
    <n v="2"/>
    <n v="2"/>
    <n v="8"/>
    <n v="5"/>
    <n v="2"/>
    <n v="2"/>
    <n v="0"/>
    <n v="1"/>
    <s v="25-34"/>
    <s v="Low"/>
    <s v="6-10 Years"/>
  </r>
  <r>
    <n v="914"/>
    <n v="45"/>
    <x v="0"/>
    <s v="Travel_Rarely"/>
    <n v="1449"/>
    <s v="Sales"/>
    <n v="2"/>
    <n v="3"/>
    <s v="Marketing"/>
    <n v="1277"/>
    <n v="1"/>
    <s v="Female"/>
    <n v="94"/>
    <n v="1"/>
    <n v="5"/>
    <s v="Manager"/>
    <n v="2"/>
    <s v="Single"/>
    <n v="18824"/>
    <n v="2493"/>
    <n v="2"/>
    <s v="Yes"/>
    <n v="16"/>
    <n v="3"/>
    <n v="1"/>
    <n v="80"/>
    <n v="0"/>
    <n v="26"/>
    <n v="2"/>
    <n v="3"/>
    <n v="24"/>
    <n v="10"/>
    <n v="1"/>
    <n v="11"/>
    <n v="1"/>
    <n v="0"/>
    <s v="45-54"/>
    <s v="High"/>
    <s v="21+ Years"/>
  </r>
  <r>
    <n v="915"/>
    <n v="55"/>
    <x v="1"/>
    <s v="Non-Travel"/>
    <n v="177"/>
    <s v="Research &amp; Development"/>
    <n v="8"/>
    <n v="1"/>
    <s v="Medical"/>
    <n v="1278"/>
    <n v="4"/>
    <s v="Male"/>
    <n v="37"/>
    <n v="2"/>
    <n v="4"/>
    <s v="Healthcare Representative"/>
    <n v="2"/>
    <s v="Divorced"/>
    <n v="13577"/>
    <n v="25592"/>
    <n v="1"/>
    <s v="Yes"/>
    <n v="15"/>
    <n v="3"/>
    <n v="4"/>
    <n v="80"/>
    <n v="1"/>
    <n v="34"/>
    <n v="3"/>
    <n v="3"/>
    <n v="33"/>
    <n v="9"/>
    <n v="15"/>
    <n v="0"/>
    <n v="0"/>
    <n v="1"/>
    <s v="55+"/>
    <s v="Upper Medium"/>
    <s v="21+ Years"/>
  </r>
  <r>
    <n v="916"/>
    <n v="21"/>
    <x v="0"/>
    <s v="Travel_Frequently"/>
    <n v="251"/>
    <s v="Research &amp; Development"/>
    <n v="10"/>
    <n v="2"/>
    <s v="Life Sciences"/>
    <n v="1279"/>
    <n v="1"/>
    <s v="Female"/>
    <n v="45"/>
    <n v="2"/>
    <n v="1"/>
    <s v="Laboratory Technician"/>
    <n v="3"/>
    <s v="Single"/>
    <n v="2625"/>
    <n v="25308"/>
    <n v="1"/>
    <s v="No"/>
    <n v="20"/>
    <n v="4"/>
    <n v="3"/>
    <n v="80"/>
    <n v="0"/>
    <n v="2"/>
    <n v="2"/>
    <n v="1"/>
    <n v="2"/>
    <n v="2"/>
    <n v="2"/>
    <n v="2"/>
    <n v="1"/>
    <n v="0"/>
    <s v="Under 25"/>
    <s v="Low"/>
    <s v="0-5 Years"/>
  </r>
  <r>
    <n v="917"/>
    <n v="46"/>
    <x v="1"/>
    <s v="Travel_Rarely"/>
    <n v="168"/>
    <s v="Sales"/>
    <n v="4"/>
    <n v="2"/>
    <s v="Marketing"/>
    <n v="1280"/>
    <n v="4"/>
    <s v="Female"/>
    <n v="33"/>
    <n v="2"/>
    <n v="5"/>
    <s v="Manager"/>
    <n v="2"/>
    <s v="Married"/>
    <n v="18789"/>
    <n v="9946"/>
    <n v="2"/>
    <s v="No"/>
    <n v="14"/>
    <n v="3"/>
    <n v="3"/>
    <n v="80"/>
    <n v="1"/>
    <n v="26"/>
    <n v="2"/>
    <n v="3"/>
    <n v="11"/>
    <n v="4"/>
    <n v="0"/>
    <n v="8"/>
    <n v="0"/>
    <n v="1"/>
    <s v="45-54"/>
    <s v="High"/>
    <s v="11-20 Years"/>
  </r>
  <r>
    <n v="918"/>
    <n v="34"/>
    <x v="1"/>
    <s v="Travel_Rarely"/>
    <n v="131"/>
    <s v="Sales"/>
    <n v="2"/>
    <n v="3"/>
    <s v="Marketing"/>
    <n v="1281"/>
    <n v="3"/>
    <s v="Female"/>
    <n v="86"/>
    <n v="3"/>
    <n v="2"/>
    <s v="Sales Executive"/>
    <n v="1"/>
    <s v="Single"/>
    <n v="4538"/>
    <n v="6039"/>
    <n v="0"/>
    <s v="Yes"/>
    <n v="12"/>
    <n v="3"/>
    <n v="4"/>
    <n v="80"/>
    <n v="0"/>
    <n v="4"/>
    <n v="3"/>
    <n v="3"/>
    <n v="3"/>
    <n v="2"/>
    <n v="0"/>
    <n v="2"/>
    <n v="0"/>
    <n v="1"/>
    <s v="25-34"/>
    <s v="Low"/>
    <s v="0-5 Years"/>
  </r>
  <r>
    <n v="919"/>
    <n v="51"/>
    <x v="1"/>
    <s v="Travel_Frequently"/>
    <n v="237"/>
    <s v="Sales"/>
    <n v="9"/>
    <n v="3"/>
    <s v="Life Sciences"/>
    <n v="1282"/>
    <n v="4"/>
    <s v="Male"/>
    <n v="83"/>
    <n v="3"/>
    <n v="5"/>
    <s v="Manager"/>
    <n v="2"/>
    <s v="Divorced"/>
    <n v="19847"/>
    <n v="19196"/>
    <n v="4"/>
    <s v="Yes"/>
    <n v="24"/>
    <n v="4"/>
    <n v="1"/>
    <n v="80"/>
    <n v="1"/>
    <n v="31"/>
    <n v="5"/>
    <n v="2"/>
    <n v="29"/>
    <n v="10"/>
    <n v="11"/>
    <n v="10"/>
    <n v="0"/>
    <n v="1"/>
    <s v="45-54"/>
    <s v="High"/>
    <s v="21+ Years"/>
  </r>
  <r>
    <n v="920"/>
    <n v="59"/>
    <x v="1"/>
    <s v="Travel_Rarely"/>
    <n v="1429"/>
    <s v="Research &amp; Development"/>
    <n v="18"/>
    <n v="4"/>
    <s v="Medical"/>
    <n v="1283"/>
    <n v="4"/>
    <s v="Male"/>
    <n v="67"/>
    <n v="3"/>
    <n v="3"/>
    <s v="Manufacturing Director"/>
    <n v="4"/>
    <s v="Single"/>
    <n v="10512"/>
    <n v="20002"/>
    <n v="6"/>
    <s v="No"/>
    <n v="12"/>
    <n v="3"/>
    <n v="4"/>
    <n v="80"/>
    <n v="0"/>
    <n v="25"/>
    <n v="6"/>
    <n v="2"/>
    <n v="9"/>
    <n v="7"/>
    <n v="5"/>
    <n v="4"/>
    <n v="0"/>
    <n v="1"/>
    <s v="55+"/>
    <s v="Upper Medium"/>
    <s v="6-10 Years"/>
  </r>
  <r>
    <n v="921"/>
    <n v="34"/>
    <x v="1"/>
    <s v="Travel_Frequently"/>
    <n v="135"/>
    <s v="Research &amp; Development"/>
    <n v="19"/>
    <n v="3"/>
    <s v="Medical"/>
    <n v="1285"/>
    <n v="3"/>
    <s v="Female"/>
    <n v="46"/>
    <n v="3"/>
    <n v="2"/>
    <s v="Laboratory Technician"/>
    <n v="2"/>
    <s v="Divorced"/>
    <n v="4444"/>
    <n v="22534"/>
    <n v="4"/>
    <s v="No"/>
    <n v="13"/>
    <n v="3"/>
    <n v="3"/>
    <n v="80"/>
    <n v="2"/>
    <n v="15"/>
    <n v="2"/>
    <n v="4"/>
    <n v="11"/>
    <n v="8"/>
    <n v="5"/>
    <n v="10"/>
    <n v="0"/>
    <n v="1"/>
    <s v="25-34"/>
    <s v="Low"/>
    <s v="11-20 Years"/>
  </r>
  <r>
    <n v="922"/>
    <n v="28"/>
    <x v="1"/>
    <s v="Travel_Frequently"/>
    <n v="791"/>
    <s v="Research &amp; Development"/>
    <n v="1"/>
    <n v="4"/>
    <s v="Medical"/>
    <n v="1286"/>
    <n v="4"/>
    <s v="Male"/>
    <n v="44"/>
    <n v="3"/>
    <n v="1"/>
    <s v="Laboratory Technician"/>
    <n v="3"/>
    <s v="Single"/>
    <n v="2154"/>
    <n v="6842"/>
    <n v="0"/>
    <s v="Yes"/>
    <n v="11"/>
    <n v="3"/>
    <n v="3"/>
    <n v="80"/>
    <n v="0"/>
    <n v="5"/>
    <n v="2"/>
    <n v="2"/>
    <n v="4"/>
    <n v="2"/>
    <n v="0"/>
    <n v="2"/>
    <n v="0"/>
    <n v="1"/>
    <s v="25-34"/>
    <s v="Low"/>
    <s v="0-5 Years"/>
  </r>
  <r>
    <n v="923"/>
    <n v="44"/>
    <x v="1"/>
    <s v="Travel_Rarely"/>
    <n v="1199"/>
    <s v="Research &amp; Development"/>
    <n v="4"/>
    <n v="2"/>
    <s v="Life Sciences"/>
    <n v="1288"/>
    <n v="3"/>
    <s v="Male"/>
    <n v="92"/>
    <n v="4"/>
    <n v="5"/>
    <s v="Manager"/>
    <n v="1"/>
    <s v="Divorced"/>
    <n v="19190"/>
    <n v="17477"/>
    <n v="1"/>
    <s v="No"/>
    <n v="14"/>
    <n v="3"/>
    <n v="4"/>
    <n v="80"/>
    <n v="2"/>
    <n v="26"/>
    <n v="4"/>
    <n v="2"/>
    <n v="25"/>
    <n v="9"/>
    <n v="14"/>
    <n v="13"/>
    <n v="0"/>
    <n v="1"/>
    <s v="35-44"/>
    <s v="High"/>
    <s v="21+ Years"/>
  </r>
  <r>
    <n v="924"/>
    <n v="34"/>
    <x v="1"/>
    <s v="Travel_Frequently"/>
    <n v="648"/>
    <s v="Human Resources"/>
    <n v="11"/>
    <n v="3"/>
    <s v="Life Sciences"/>
    <n v="1289"/>
    <n v="3"/>
    <s v="Male"/>
    <n v="56"/>
    <n v="2"/>
    <n v="2"/>
    <s v="Human Resources"/>
    <n v="2"/>
    <s v="Married"/>
    <n v="4490"/>
    <n v="21833"/>
    <n v="4"/>
    <s v="No"/>
    <n v="11"/>
    <n v="3"/>
    <n v="4"/>
    <n v="80"/>
    <n v="2"/>
    <n v="14"/>
    <n v="5"/>
    <n v="4"/>
    <n v="10"/>
    <n v="9"/>
    <n v="1"/>
    <n v="8"/>
    <n v="0"/>
    <n v="1"/>
    <s v="25-34"/>
    <s v="Low"/>
    <s v="6-10 Years"/>
  </r>
  <r>
    <n v="925"/>
    <n v="35"/>
    <x v="1"/>
    <s v="Travel_Rarely"/>
    <n v="735"/>
    <s v="Research &amp; Development"/>
    <n v="6"/>
    <n v="1"/>
    <s v="Life Sciences"/>
    <n v="1291"/>
    <n v="3"/>
    <s v="Male"/>
    <n v="66"/>
    <n v="3"/>
    <n v="1"/>
    <s v="Research Scientist"/>
    <n v="3"/>
    <s v="Married"/>
    <n v="3506"/>
    <n v="6020"/>
    <n v="0"/>
    <s v="Yes"/>
    <n v="14"/>
    <n v="3"/>
    <n v="4"/>
    <n v="80"/>
    <n v="0"/>
    <n v="4"/>
    <n v="3"/>
    <n v="3"/>
    <n v="3"/>
    <n v="2"/>
    <n v="2"/>
    <n v="2"/>
    <n v="0"/>
    <n v="1"/>
    <s v="35-44"/>
    <s v="Low"/>
    <s v="0-5 Years"/>
  </r>
  <r>
    <n v="926"/>
    <n v="42"/>
    <x v="1"/>
    <s v="Travel_Rarely"/>
    <n v="603"/>
    <s v="Research &amp; Development"/>
    <n v="7"/>
    <n v="4"/>
    <s v="Medical"/>
    <n v="1292"/>
    <n v="2"/>
    <s v="Female"/>
    <n v="78"/>
    <n v="4"/>
    <n v="2"/>
    <s v="Research Scientist"/>
    <n v="2"/>
    <s v="Married"/>
    <n v="2372"/>
    <n v="5628"/>
    <n v="6"/>
    <s v="Yes"/>
    <n v="16"/>
    <n v="3"/>
    <n v="4"/>
    <n v="80"/>
    <n v="0"/>
    <n v="18"/>
    <n v="2"/>
    <n v="3"/>
    <n v="1"/>
    <n v="0"/>
    <n v="0"/>
    <n v="0"/>
    <n v="0"/>
    <n v="1"/>
    <s v="35-44"/>
    <s v="Low"/>
    <s v="0-5 Years"/>
  </r>
  <r>
    <n v="927"/>
    <n v="43"/>
    <x v="1"/>
    <s v="Travel_Rarely"/>
    <n v="531"/>
    <s v="Sales"/>
    <n v="4"/>
    <n v="4"/>
    <s v="Marketing"/>
    <n v="1293"/>
    <n v="4"/>
    <s v="Female"/>
    <n v="56"/>
    <n v="2"/>
    <n v="3"/>
    <s v="Sales Executive"/>
    <n v="4"/>
    <s v="Single"/>
    <n v="10231"/>
    <n v="20364"/>
    <n v="3"/>
    <s v="No"/>
    <n v="14"/>
    <n v="3"/>
    <n v="4"/>
    <n v="80"/>
    <n v="0"/>
    <n v="23"/>
    <n v="3"/>
    <n v="4"/>
    <n v="21"/>
    <n v="7"/>
    <n v="15"/>
    <n v="17"/>
    <n v="0"/>
    <n v="1"/>
    <s v="35-44"/>
    <s v="Upper Medium"/>
    <s v="21+ Years"/>
  </r>
  <r>
    <n v="928"/>
    <n v="36"/>
    <x v="1"/>
    <s v="Travel_Rarely"/>
    <n v="429"/>
    <s v="Research &amp; Development"/>
    <n v="2"/>
    <n v="4"/>
    <s v="Life Sciences"/>
    <n v="1294"/>
    <n v="3"/>
    <s v="Female"/>
    <n v="53"/>
    <n v="3"/>
    <n v="2"/>
    <s v="Manufacturing Director"/>
    <n v="2"/>
    <s v="Single"/>
    <n v="5410"/>
    <n v="2323"/>
    <n v="9"/>
    <s v="Yes"/>
    <n v="11"/>
    <n v="3"/>
    <n v="4"/>
    <n v="80"/>
    <n v="0"/>
    <n v="18"/>
    <n v="2"/>
    <n v="3"/>
    <n v="16"/>
    <n v="14"/>
    <n v="5"/>
    <n v="12"/>
    <n v="0"/>
    <n v="1"/>
    <s v="35-44"/>
    <s v="Medium"/>
    <s v="11-20 Years"/>
  </r>
  <r>
    <n v="929"/>
    <n v="44"/>
    <x v="0"/>
    <s v="Travel_Rarely"/>
    <n v="621"/>
    <s v="Research &amp; Development"/>
    <n v="15"/>
    <n v="3"/>
    <s v="Medical"/>
    <n v="1295"/>
    <n v="1"/>
    <s v="Female"/>
    <n v="73"/>
    <n v="3"/>
    <n v="3"/>
    <s v="Healthcare Representative"/>
    <n v="4"/>
    <s v="Married"/>
    <n v="7978"/>
    <n v="14075"/>
    <n v="1"/>
    <s v="No"/>
    <n v="11"/>
    <n v="3"/>
    <n v="4"/>
    <n v="80"/>
    <n v="1"/>
    <n v="10"/>
    <n v="2"/>
    <n v="3"/>
    <n v="10"/>
    <n v="7"/>
    <n v="0"/>
    <n v="5"/>
    <n v="1"/>
    <n v="0"/>
    <s v="35-44"/>
    <s v="Medium"/>
    <s v="6-10 Years"/>
  </r>
  <r>
    <n v="930"/>
    <n v="28"/>
    <x v="1"/>
    <s v="Travel_Frequently"/>
    <n v="193"/>
    <s v="Research &amp; Development"/>
    <n v="2"/>
    <n v="3"/>
    <s v="Life Sciences"/>
    <n v="1296"/>
    <n v="4"/>
    <s v="Male"/>
    <n v="52"/>
    <n v="2"/>
    <n v="1"/>
    <s v="Laboratory Technician"/>
    <n v="4"/>
    <s v="Married"/>
    <n v="3867"/>
    <n v="14222"/>
    <n v="1"/>
    <s v="Yes"/>
    <n v="12"/>
    <n v="3"/>
    <n v="2"/>
    <n v="80"/>
    <n v="1"/>
    <n v="2"/>
    <n v="2"/>
    <n v="3"/>
    <n v="2"/>
    <n v="2"/>
    <n v="2"/>
    <n v="2"/>
    <n v="0"/>
    <n v="1"/>
    <s v="25-34"/>
    <s v="Low"/>
    <s v="0-5 Years"/>
  </r>
  <r>
    <n v="931"/>
    <n v="51"/>
    <x v="1"/>
    <s v="Travel_Frequently"/>
    <n v="968"/>
    <s v="Research &amp; Development"/>
    <n v="6"/>
    <n v="2"/>
    <s v="Medical"/>
    <n v="1297"/>
    <n v="2"/>
    <s v="Female"/>
    <n v="40"/>
    <n v="2"/>
    <n v="1"/>
    <s v="Laboratory Technician"/>
    <n v="3"/>
    <s v="Single"/>
    <n v="2838"/>
    <n v="4257"/>
    <n v="0"/>
    <s v="No"/>
    <n v="14"/>
    <n v="3"/>
    <n v="2"/>
    <n v="80"/>
    <n v="0"/>
    <n v="8"/>
    <n v="6"/>
    <n v="2"/>
    <n v="7"/>
    <n v="0"/>
    <n v="7"/>
    <n v="7"/>
    <n v="0"/>
    <n v="1"/>
    <s v="45-54"/>
    <s v="Low"/>
    <s v="6-10 Years"/>
  </r>
  <r>
    <n v="932"/>
    <n v="30"/>
    <x v="1"/>
    <s v="Non-Travel"/>
    <n v="879"/>
    <s v="Research &amp; Development"/>
    <n v="9"/>
    <n v="2"/>
    <s v="Medical"/>
    <n v="1298"/>
    <n v="3"/>
    <s v="Female"/>
    <n v="72"/>
    <n v="3"/>
    <n v="2"/>
    <s v="Manufacturing Director"/>
    <n v="3"/>
    <s v="Single"/>
    <n v="4695"/>
    <n v="12858"/>
    <n v="7"/>
    <s v="Yes"/>
    <n v="18"/>
    <n v="3"/>
    <n v="3"/>
    <n v="80"/>
    <n v="0"/>
    <n v="10"/>
    <n v="3"/>
    <n v="3"/>
    <n v="8"/>
    <n v="4"/>
    <n v="1"/>
    <n v="7"/>
    <n v="0"/>
    <n v="1"/>
    <s v="25-34"/>
    <s v="Low"/>
    <s v="6-10 Years"/>
  </r>
  <r>
    <n v="933"/>
    <n v="29"/>
    <x v="0"/>
    <s v="Travel_Rarely"/>
    <n v="806"/>
    <s v="Research &amp; Development"/>
    <n v="7"/>
    <n v="3"/>
    <s v="Technical Degree"/>
    <n v="1299"/>
    <n v="2"/>
    <s v="Female"/>
    <n v="39"/>
    <n v="3"/>
    <n v="1"/>
    <s v="Laboratory Technician"/>
    <n v="3"/>
    <s v="Divorced"/>
    <n v="3339"/>
    <n v="17285"/>
    <n v="3"/>
    <s v="Yes"/>
    <n v="13"/>
    <n v="3"/>
    <n v="1"/>
    <n v="80"/>
    <n v="2"/>
    <n v="10"/>
    <n v="2"/>
    <n v="3"/>
    <n v="7"/>
    <n v="7"/>
    <n v="7"/>
    <n v="7"/>
    <n v="1"/>
    <n v="0"/>
    <s v="25-34"/>
    <s v="Low"/>
    <s v="6-10 Years"/>
  </r>
  <r>
    <n v="934"/>
    <n v="28"/>
    <x v="1"/>
    <s v="Travel_Rarely"/>
    <n v="640"/>
    <s v="Research &amp; Development"/>
    <n v="1"/>
    <n v="3"/>
    <s v="Technical Degree"/>
    <n v="1301"/>
    <n v="4"/>
    <s v="Male"/>
    <n v="84"/>
    <n v="3"/>
    <n v="1"/>
    <s v="Research Scientist"/>
    <n v="1"/>
    <s v="Single"/>
    <n v="2080"/>
    <n v="4732"/>
    <n v="2"/>
    <s v="No"/>
    <n v="11"/>
    <n v="3"/>
    <n v="2"/>
    <n v="80"/>
    <n v="0"/>
    <n v="5"/>
    <n v="2"/>
    <n v="2"/>
    <n v="3"/>
    <n v="2"/>
    <n v="1"/>
    <n v="2"/>
    <n v="0"/>
    <n v="1"/>
    <s v="25-34"/>
    <s v="Low"/>
    <s v="0-5 Years"/>
  </r>
  <r>
    <n v="935"/>
    <n v="25"/>
    <x v="1"/>
    <s v="Travel_Rarely"/>
    <n v="266"/>
    <s v="Research &amp; Development"/>
    <n v="1"/>
    <n v="3"/>
    <s v="Medical"/>
    <n v="1303"/>
    <n v="4"/>
    <s v="Female"/>
    <n v="40"/>
    <n v="3"/>
    <n v="1"/>
    <s v="Research Scientist"/>
    <n v="2"/>
    <s v="Single"/>
    <n v="2096"/>
    <n v="18830"/>
    <n v="1"/>
    <s v="No"/>
    <n v="18"/>
    <n v="3"/>
    <n v="4"/>
    <n v="80"/>
    <n v="0"/>
    <n v="2"/>
    <n v="3"/>
    <n v="2"/>
    <n v="2"/>
    <n v="2"/>
    <n v="2"/>
    <n v="1"/>
    <n v="0"/>
    <n v="1"/>
    <s v="25-34"/>
    <s v="Low"/>
    <s v="0-5 Years"/>
  </r>
  <r>
    <n v="936"/>
    <n v="32"/>
    <x v="1"/>
    <s v="Travel_Rarely"/>
    <n v="604"/>
    <s v="Sales"/>
    <n v="8"/>
    <n v="3"/>
    <s v="Medical"/>
    <n v="1304"/>
    <n v="3"/>
    <s v="Male"/>
    <n v="56"/>
    <n v="4"/>
    <n v="2"/>
    <s v="Sales Executive"/>
    <n v="4"/>
    <s v="Married"/>
    <n v="6209"/>
    <n v="11693"/>
    <n v="1"/>
    <s v="No"/>
    <n v="15"/>
    <n v="3"/>
    <n v="3"/>
    <n v="80"/>
    <n v="2"/>
    <n v="10"/>
    <n v="4"/>
    <n v="4"/>
    <n v="10"/>
    <n v="7"/>
    <n v="0"/>
    <n v="8"/>
    <n v="0"/>
    <n v="1"/>
    <s v="25-34"/>
    <s v="Medium"/>
    <s v="6-10 Years"/>
  </r>
  <r>
    <n v="937"/>
    <n v="45"/>
    <x v="1"/>
    <s v="Travel_Frequently"/>
    <n v="364"/>
    <s v="Research &amp; Development"/>
    <n v="25"/>
    <n v="3"/>
    <s v="Medical"/>
    <n v="1306"/>
    <n v="2"/>
    <s v="Female"/>
    <n v="83"/>
    <n v="3"/>
    <n v="5"/>
    <s v="Manager"/>
    <n v="2"/>
    <s v="Single"/>
    <n v="18061"/>
    <n v="13035"/>
    <n v="3"/>
    <s v="No"/>
    <n v="22"/>
    <n v="4"/>
    <n v="3"/>
    <n v="80"/>
    <n v="0"/>
    <n v="22"/>
    <n v="4"/>
    <n v="3"/>
    <n v="0"/>
    <n v="0"/>
    <n v="0"/>
    <n v="0"/>
    <n v="0"/>
    <n v="1"/>
    <s v="45-54"/>
    <s v="High"/>
    <s v="0-5 Years"/>
  </r>
  <r>
    <n v="938"/>
    <n v="39"/>
    <x v="1"/>
    <s v="Travel_Rarely"/>
    <n v="412"/>
    <s v="Research &amp; Development"/>
    <n v="13"/>
    <n v="4"/>
    <s v="Medical"/>
    <n v="1307"/>
    <n v="3"/>
    <s v="Female"/>
    <n v="94"/>
    <n v="2"/>
    <n v="4"/>
    <s v="Manager"/>
    <n v="2"/>
    <s v="Divorced"/>
    <n v="17123"/>
    <n v="17334"/>
    <n v="6"/>
    <s v="Yes"/>
    <n v="13"/>
    <n v="3"/>
    <n v="4"/>
    <n v="80"/>
    <n v="2"/>
    <n v="21"/>
    <n v="4"/>
    <n v="3"/>
    <n v="19"/>
    <n v="9"/>
    <n v="15"/>
    <n v="2"/>
    <n v="0"/>
    <n v="1"/>
    <s v="35-44"/>
    <s v="High"/>
    <s v="11-20 Years"/>
  </r>
  <r>
    <n v="939"/>
    <n v="58"/>
    <x v="1"/>
    <s v="Travel_Rarely"/>
    <n v="848"/>
    <s v="Research &amp; Development"/>
    <n v="23"/>
    <n v="4"/>
    <s v="Life Sciences"/>
    <n v="1308"/>
    <n v="1"/>
    <s v="Male"/>
    <n v="88"/>
    <n v="3"/>
    <n v="1"/>
    <s v="Research Scientist"/>
    <n v="3"/>
    <s v="Divorced"/>
    <n v="2372"/>
    <n v="26076"/>
    <n v="1"/>
    <s v="No"/>
    <n v="12"/>
    <n v="3"/>
    <n v="4"/>
    <n v="80"/>
    <n v="2"/>
    <n v="2"/>
    <n v="3"/>
    <n v="3"/>
    <n v="2"/>
    <n v="2"/>
    <n v="2"/>
    <n v="2"/>
    <n v="0"/>
    <n v="1"/>
    <s v="55+"/>
    <s v="Low"/>
    <s v="0-5 Years"/>
  </r>
  <r>
    <n v="940"/>
    <n v="32"/>
    <x v="0"/>
    <s v="Travel_Rarely"/>
    <n v="1089"/>
    <s v="Research &amp; Development"/>
    <n v="7"/>
    <n v="2"/>
    <s v="Life Sciences"/>
    <n v="1309"/>
    <n v="4"/>
    <s v="Male"/>
    <n v="79"/>
    <n v="3"/>
    <n v="2"/>
    <s v="Laboratory Technician"/>
    <n v="3"/>
    <s v="Married"/>
    <n v="4883"/>
    <n v="22845"/>
    <n v="1"/>
    <s v="No"/>
    <n v="18"/>
    <n v="3"/>
    <n v="1"/>
    <n v="80"/>
    <n v="1"/>
    <n v="10"/>
    <n v="3"/>
    <n v="3"/>
    <n v="10"/>
    <n v="4"/>
    <n v="1"/>
    <n v="1"/>
    <n v="1"/>
    <n v="0"/>
    <s v="25-34"/>
    <s v="Low"/>
    <s v="6-10 Years"/>
  </r>
  <r>
    <n v="941"/>
    <n v="39"/>
    <x v="0"/>
    <s v="Travel_Rarely"/>
    <n v="360"/>
    <s v="Research &amp; Development"/>
    <n v="23"/>
    <n v="3"/>
    <s v="Medical"/>
    <n v="1310"/>
    <n v="3"/>
    <s v="Male"/>
    <n v="93"/>
    <n v="3"/>
    <n v="1"/>
    <s v="Research Scientist"/>
    <n v="1"/>
    <s v="Single"/>
    <n v="3904"/>
    <n v="22154"/>
    <n v="0"/>
    <s v="No"/>
    <n v="13"/>
    <n v="3"/>
    <n v="1"/>
    <n v="80"/>
    <n v="0"/>
    <n v="6"/>
    <n v="2"/>
    <n v="3"/>
    <n v="5"/>
    <n v="2"/>
    <n v="0"/>
    <n v="3"/>
    <n v="1"/>
    <n v="0"/>
    <s v="35-44"/>
    <s v="Low"/>
    <s v="0-5 Years"/>
  </r>
  <r>
    <n v="942"/>
    <n v="30"/>
    <x v="1"/>
    <s v="Travel_Rarely"/>
    <n v="1138"/>
    <s v="Research &amp; Development"/>
    <n v="6"/>
    <n v="3"/>
    <s v="Technical Degree"/>
    <n v="1311"/>
    <n v="1"/>
    <s v="Female"/>
    <n v="48"/>
    <n v="2"/>
    <n v="2"/>
    <s v="Laboratory Technician"/>
    <n v="4"/>
    <s v="Married"/>
    <n v="4627"/>
    <n v="23631"/>
    <n v="0"/>
    <s v="No"/>
    <n v="12"/>
    <n v="3"/>
    <n v="1"/>
    <n v="80"/>
    <n v="1"/>
    <n v="10"/>
    <n v="6"/>
    <n v="3"/>
    <n v="9"/>
    <n v="2"/>
    <n v="6"/>
    <n v="7"/>
    <n v="0"/>
    <n v="1"/>
    <s v="25-34"/>
    <s v="Low"/>
    <s v="6-10 Years"/>
  </r>
  <r>
    <n v="943"/>
    <n v="36"/>
    <x v="1"/>
    <s v="Travel_Rarely"/>
    <n v="325"/>
    <s v="Research &amp; Development"/>
    <n v="10"/>
    <n v="4"/>
    <s v="Technical Degree"/>
    <n v="1312"/>
    <n v="4"/>
    <s v="Female"/>
    <n v="63"/>
    <n v="3"/>
    <n v="3"/>
    <s v="Healthcare Representative"/>
    <n v="3"/>
    <s v="Married"/>
    <n v="7094"/>
    <n v="5747"/>
    <n v="3"/>
    <s v="No"/>
    <n v="12"/>
    <n v="3"/>
    <n v="1"/>
    <n v="80"/>
    <n v="0"/>
    <n v="10"/>
    <n v="0"/>
    <n v="3"/>
    <n v="7"/>
    <n v="7"/>
    <n v="1"/>
    <n v="7"/>
    <n v="0"/>
    <n v="1"/>
    <s v="35-44"/>
    <s v="Medium"/>
    <s v="6-10 Years"/>
  </r>
  <r>
    <n v="944"/>
    <n v="46"/>
    <x v="1"/>
    <s v="Travel_Rarely"/>
    <n v="991"/>
    <s v="Human Resources"/>
    <n v="1"/>
    <n v="2"/>
    <s v="Life Sciences"/>
    <n v="1314"/>
    <n v="4"/>
    <s v="Female"/>
    <n v="44"/>
    <n v="3"/>
    <n v="1"/>
    <s v="Human Resources"/>
    <n v="1"/>
    <s v="Single"/>
    <n v="3423"/>
    <n v="22957"/>
    <n v="6"/>
    <s v="No"/>
    <n v="12"/>
    <n v="3"/>
    <n v="3"/>
    <n v="80"/>
    <n v="0"/>
    <n v="10"/>
    <n v="3"/>
    <n v="4"/>
    <n v="7"/>
    <n v="6"/>
    <n v="5"/>
    <n v="7"/>
    <n v="0"/>
    <n v="1"/>
    <s v="45-54"/>
    <s v="Low"/>
    <s v="6-10 Years"/>
  </r>
  <r>
    <n v="945"/>
    <n v="28"/>
    <x v="1"/>
    <s v="Non-Travel"/>
    <n v="1476"/>
    <s v="Research &amp; Development"/>
    <n v="1"/>
    <n v="3"/>
    <s v="Life Sciences"/>
    <n v="1315"/>
    <n v="3"/>
    <s v="Female"/>
    <n v="55"/>
    <n v="1"/>
    <n v="2"/>
    <s v="Laboratory Technician"/>
    <n v="4"/>
    <s v="Married"/>
    <n v="6674"/>
    <n v="16392"/>
    <n v="0"/>
    <s v="No"/>
    <n v="11"/>
    <n v="3"/>
    <n v="1"/>
    <n v="80"/>
    <n v="3"/>
    <n v="10"/>
    <n v="6"/>
    <n v="3"/>
    <n v="9"/>
    <n v="8"/>
    <n v="7"/>
    <n v="5"/>
    <n v="0"/>
    <n v="1"/>
    <s v="25-34"/>
    <s v="Medium"/>
    <s v="6-10 Years"/>
  </r>
  <r>
    <n v="946"/>
    <n v="50"/>
    <x v="1"/>
    <s v="Travel_Rarely"/>
    <n v="1322"/>
    <s v="Research &amp; Development"/>
    <n v="28"/>
    <n v="3"/>
    <s v="Life Sciences"/>
    <n v="1317"/>
    <n v="4"/>
    <s v="Female"/>
    <n v="43"/>
    <n v="3"/>
    <n v="4"/>
    <s v="Research Director"/>
    <n v="1"/>
    <s v="Married"/>
    <n v="16880"/>
    <n v="22422"/>
    <n v="4"/>
    <s v="Yes"/>
    <n v="11"/>
    <n v="3"/>
    <n v="2"/>
    <n v="80"/>
    <n v="0"/>
    <n v="25"/>
    <n v="2"/>
    <n v="3"/>
    <n v="3"/>
    <n v="2"/>
    <n v="1"/>
    <n v="2"/>
    <n v="0"/>
    <n v="1"/>
    <s v="45-54"/>
    <s v="High"/>
    <s v="0-5 Years"/>
  </r>
  <r>
    <n v="947"/>
    <n v="40"/>
    <x v="0"/>
    <s v="Travel_Rarely"/>
    <n v="299"/>
    <s v="Sales"/>
    <n v="25"/>
    <n v="4"/>
    <s v="Marketing"/>
    <n v="1318"/>
    <n v="4"/>
    <s v="Male"/>
    <n v="57"/>
    <n v="2"/>
    <n v="3"/>
    <s v="Sales Executive"/>
    <n v="2"/>
    <s v="Single"/>
    <n v="9094"/>
    <n v="17235"/>
    <n v="2"/>
    <s v="Yes"/>
    <n v="12"/>
    <n v="3"/>
    <n v="3"/>
    <n v="80"/>
    <n v="0"/>
    <n v="9"/>
    <n v="2"/>
    <n v="3"/>
    <n v="5"/>
    <n v="4"/>
    <n v="1"/>
    <n v="0"/>
    <n v="1"/>
    <n v="0"/>
    <s v="35-44"/>
    <s v="Medium"/>
    <s v="0-5 Years"/>
  </r>
  <r>
    <n v="948"/>
    <n v="52"/>
    <x v="0"/>
    <s v="Travel_Rarely"/>
    <n v="1030"/>
    <s v="Sales"/>
    <n v="5"/>
    <n v="3"/>
    <s v="Life Sciences"/>
    <n v="1319"/>
    <n v="2"/>
    <s v="Male"/>
    <n v="64"/>
    <n v="3"/>
    <n v="3"/>
    <s v="Sales Executive"/>
    <n v="2"/>
    <s v="Single"/>
    <n v="8446"/>
    <n v="21534"/>
    <n v="9"/>
    <s v="Yes"/>
    <n v="19"/>
    <n v="3"/>
    <n v="3"/>
    <n v="80"/>
    <n v="0"/>
    <n v="10"/>
    <n v="2"/>
    <n v="2"/>
    <n v="8"/>
    <n v="7"/>
    <n v="7"/>
    <n v="7"/>
    <n v="1"/>
    <n v="0"/>
    <s v="45-54"/>
    <s v="Medium"/>
    <s v="6-10 Years"/>
  </r>
  <r>
    <n v="949"/>
    <n v="30"/>
    <x v="1"/>
    <s v="Travel_Rarely"/>
    <n v="634"/>
    <s v="Research &amp; Development"/>
    <n v="17"/>
    <n v="4"/>
    <s v="Medical"/>
    <n v="1321"/>
    <n v="2"/>
    <s v="Female"/>
    <n v="95"/>
    <n v="3"/>
    <n v="3"/>
    <s v="Manager"/>
    <n v="1"/>
    <s v="Married"/>
    <n v="11916"/>
    <n v="25927"/>
    <n v="1"/>
    <s v="Yes"/>
    <n v="23"/>
    <n v="4"/>
    <n v="4"/>
    <n v="80"/>
    <n v="2"/>
    <n v="9"/>
    <n v="2"/>
    <n v="3"/>
    <n v="9"/>
    <n v="1"/>
    <n v="0"/>
    <n v="8"/>
    <n v="0"/>
    <n v="1"/>
    <s v="25-34"/>
    <s v="Upper Medium"/>
    <s v="6-10 Years"/>
  </r>
  <r>
    <n v="950"/>
    <n v="39"/>
    <x v="1"/>
    <s v="Travel_Rarely"/>
    <n v="524"/>
    <s v="Research &amp; Development"/>
    <n v="18"/>
    <n v="2"/>
    <s v="Life Sciences"/>
    <n v="1322"/>
    <n v="1"/>
    <s v="Male"/>
    <n v="32"/>
    <n v="3"/>
    <n v="2"/>
    <s v="Manufacturing Director"/>
    <n v="3"/>
    <s v="Single"/>
    <n v="4534"/>
    <n v="13352"/>
    <n v="0"/>
    <s v="No"/>
    <n v="11"/>
    <n v="3"/>
    <n v="1"/>
    <n v="80"/>
    <n v="0"/>
    <n v="9"/>
    <n v="6"/>
    <n v="3"/>
    <n v="8"/>
    <n v="7"/>
    <n v="1"/>
    <n v="7"/>
    <n v="0"/>
    <n v="1"/>
    <s v="35-44"/>
    <s v="Low"/>
    <s v="6-10 Years"/>
  </r>
  <r>
    <n v="951"/>
    <n v="31"/>
    <x v="1"/>
    <s v="Non-Travel"/>
    <n v="587"/>
    <s v="Sales"/>
    <n v="2"/>
    <n v="4"/>
    <s v="Life Sciences"/>
    <n v="1324"/>
    <n v="4"/>
    <s v="Female"/>
    <n v="57"/>
    <n v="3"/>
    <n v="3"/>
    <s v="Sales Executive"/>
    <n v="3"/>
    <s v="Divorced"/>
    <n v="9852"/>
    <n v="8935"/>
    <n v="1"/>
    <s v="Yes"/>
    <n v="19"/>
    <n v="3"/>
    <n v="1"/>
    <n v="80"/>
    <n v="1"/>
    <n v="10"/>
    <n v="5"/>
    <n v="2"/>
    <n v="10"/>
    <n v="8"/>
    <n v="9"/>
    <n v="6"/>
    <n v="0"/>
    <n v="1"/>
    <s v="25-34"/>
    <s v="Medium"/>
    <s v="6-10 Years"/>
  </r>
  <r>
    <n v="952"/>
    <n v="41"/>
    <x v="1"/>
    <s v="Non-Travel"/>
    <n v="256"/>
    <s v="Sales"/>
    <n v="10"/>
    <n v="2"/>
    <s v="Medical"/>
    <n v="1329"/>
    <n v="3"/>
    <s v="Male"/>
    <n v="40"/>
    <n v="1"/>
    <n v="2"/>
    <s v="Sales Executive"/>
    <n v="2"/>
    <s v="Single"/>
    <n v="6151"/>
    <n v="22074"/>
    <n v="1"/>
    <s v="No"/>
    <n v="13"/>
    <n v="3"/>
    <n v="1"/>
    <n v="80"/>
    <n v="0"/>
    <n v="19"/>
    <n v="4"/>
    <n v="3"/>
    <n v="19"/>
    <n v="2"/>
    <n v="11"/>
    <n v="9"/>
    <n v="0"/>
    <n v="1"/>
    <s v="35-44"/>
    <s v="Medium"/>
    <s v="11-20 Years"/>
  </r>
  <r>
    <n v="953"/>
    <n v="31"/>
    <x v="0"/>
    <s v="Travel_Frequently"/>
    <n v="1060"/>
    <s v="Sales"/>
    <n v="1"/>
    <n v="3"/>
    <s v="Life Sciences"/>
    <n v="1331"/>
    <n v="4"/>
    <s v="Female"/>
    <n v="54"/>
    <n v="3"/>
    <n v="1"/>
    <s v="Sales Representative"/>
    <n v="2"/>
    <s v="Single"/>
    <n v="2302"/>
    <n v="8319"/>
    <n v="1"/>
    <s v="Yes"/>
    <n v="11"/>
    <n v="3"/>
    <n v="1"/>
    <n v="80"/>
    <n v="0"/>
    <n v="3"/>
    <n v="2"/>
    <n v="4"/>
    <n v="3"/>
    <n v="2"/>
    <n v="2"/>
    <n v="2"/>
    <n v="1"/>
    <n v="0"/>
    <s v="25-34"/>
    <s v="Low"/>
    <s v="0-5 Years"/>
  </r>
  <r>
    <n v="954"/>
    <n v="44"/>
    <x v="0"/>
    <s v="Travel_Rarely"/>
    <n v="935"/>
    <s v="Research &amp; Development"/>
    <n v="3"/>
    <n v="3"/>
    <s v="Life Sciences"/>
    <n v="1333"/>
    <n v="1"/>
    <s v="Male"/>
    <n v="89"/>
    <n v="3"/>
    <n v="1"/>
    <s v="Laboratory Technician"/>
    <n v="1"/>
    <s v="Married"/>
    <n v="2362"/>
    <n v="14669"/>
    <n v="4"/>
    <s v="No"/>
    <n v="12"/>
    <n v="3"/>
    <n v="3"/>
    <n v="80"/>
    <n v="0"/>
    <n v="10"/>
    <n v="4"/>
    <n v="4"/>
    <n v="3"/>
    <n v="2"/>
    <n v="1"/>
    <n v="2"/>
    <n v="1"/>
    <n v="0"/>
    <s v="35-44"/>
    <s v="Low"/>
    <s v="0-5 Years"/>
  </r>
  <r>
    <n v="955"/>
    <n v="42"/>
    <x v="1"/>
    <s v="Non-Travel"/>
    <n v="495"/>
    <s v="Research &amp; Development"/>
    <n v="2"/>
    <n v="1"/>
    <s v="Life Sciences"/>
    <n v="1334"/>
    <n v="3"/>
    <s v="Male"/>
    <n v="37"/>
    <n v="3"/>
    <n v="4"/>
    <s v="Manager"/>
    <n v="3"/>
    <s v="Married"/>
    <n v="17861"/>
    <n v="26582"/>
    <n v="0"/>
    <s v="Yes"/>
    <n v="13"/>
    <n v="3"/>
    <n v="4"/>
    <n v="80"/>
    <n v="0"/>
    <n v="21"/>
    <n v="3"/>
    <n v="2"/>
    <n v="20"/>
    <n v="8"/>
    <n v="2"/>
    <n v="10"/>
    <n v="0"/>
    <n v="1"/>
    <s v="35-44"/>
    <s v="High"/>
    <s v="11-20 Years"/>
  </r>
  <r>
    <n v="956"/>
    <n v="55"/>
    <x v="1"/>
    <s v="Travel_Rarely"/>
    <n v="282"/>
    <s v="Research &amp; Development"/>
    <n v="2"/>
    <n v="2"/>
    <s v="Medical"/>
    <n v="1336"/>
    <n v="4"/>
    <s v="Female"/>
    <n v="58"/>
    <n v="1"/>
    <n v="5"/>
    <s v="Manager"/>
    <n v="3"/>
    <s v="Married"/>
    <n v="19187"/>
    <n v="6992"/>
    <n v="4"/>
    <s v="No"/>
    <n v="14"/>
    <n v="3"/>
    <n v="4"/>
    <n v="80"/>
    <n v="1"/>
    <n v="23"/>
    <n v="5"/>
    <n v="3"/>
    <n v="19"/>
    <n v="9"/>
    <n v="9"/>
    <n v="11"/>
    <n v="0"/>
    <n v="1"/>
    <s v="55+"/>
    <s v="High"/>
    <s v="11-20 Years"/>
  </r>
  <r>
    <n v="957"/>
    <n v="56"/>
    <x v="1"/>
    <s v="Travel_Rarely"/>
    <n v="206"/>
    <s v="Human Resources"/>
    <n v="8"/>
    <n v="4"/>
    <s v="Life Sciences"/>
    <n v="1338"/>
    <n v="4"/>
    <s v="Male"/>
    <n v="99"/>
    <n v="3"/>
    <n v="5"/>
    <s v="Manager"/>
    <n v="2"/>
    <s v="Single"/>
    <n v="19717"/>
    <n v="4022"/>
    <n v="6"/>
    <s v="No"/>
    <n v="14"/>
    <n v="3"/>
    <n v="1"/>
    <n v="80"/>
    <n v="0"/>
    <n v="36"/>
    <n v="4"/>
    <n v="3"/>
    <n v="7"/>
    <n v="3"/>
    <n v="7"/>
    <n v="7"/>
    <n v="0"/>
    <n v="1"/>
    <s v="55+"/>
    <s v="High"/>
    <s v="6-10 Years"/>
  </r>
  <r>
    <n v="958"/>
    <n v="40"/>
    <x v="1"/>
    <s v="Non-Travel"/>
    <n v="458"/>
    <s v="Research &amp; Development"/>
    <n v="16"/>
    <n v="2"/>
    <s v="Life Sciences"/>
    <n v="1340"/>
    <n v="3"/>
    <s v="Male"/>
    <n v="74"/>
    <n v="3"/>
    <n v="1"/>
    <s v="Research Scientist"/>
    <n v="3"/>
    <s v="Divorced"/>
    <n v="3544"/>
    <n v="8532"/>
    <n v="9"/>
    <s v="No"/>
    <n v="16"/>
    <n v="3"/>
    <n v="2"/>
    <n v="80"/>
    <n v="1"/>
    <n v="6"/>
    <n v="0"/>
    <n v="3"/>
    <n v="4"/>
    <n v="2"/>
    <n v="0"/>
    <n v="0"/>
    <n v="0"/>
    <n v="1"/>
    <s v="35-44"/>
    <s v="Low"/>
    <s v="0-5 Years"/>
  </r>
  <r>
    <n v="959"/>
    <n v="34"/>
    <x v="1"/>
    <s v="Travel_Rarely"/>
    <n v="943"/>
    <s v="Research &amp; Development"/>
    <n v="9"/>
    <n v="3"/>
    <s v="Life Sciences"/>
    <n v="1344"/>
    <n v="4"/>
    <s v="Male"/>
    <n v="86"/>
    <n v="3"/>
    <n v="3"/>
    <s v="Healthcare Representative"/>
    <n v="4"/>
    <s v="Divorced"/>
    <n v="8500"/>
    <n v="5494"/>
    <n v="0"/>
    <s v="No"/>
    <n v="11"/>
    <n v="3"/>
    <n v="4"/>
    <n v="80"/>
    <n v="1"/>
    <n v="10"/>
    <n v="0"/>
    <n v="2"/>
    <n v="9"/>
    <n v="7"/>
    <n v="1"/>
    <n v="6"/>
    <n v="0"/>
    <n v="1"/>
    <s v="25-34"/>
    <s v="Medium"/>
    <s v="6-10 Years"/>
  </r>
  <r>
    <n v="960"/>
    <n v="40"/>
    <x v="1"/>
    <s v="Travel_Rarely"/>
    <n v="523"/>
    <s v="Research &amp; Development"/>
    <n v="2"/>
    <n v="3"/>
    <s v="Life Sciences"/>
    <n v="1346"/>
    <n v="3"/>
    <s v="Male"/>
    <n v="98"/>
    <n v="3"/>
    <n v="2"/>
    <s v="Research Scientist"/>
    <n v="4"/>
    <s v="Single"/>
    <n v="4661"/>
    <n v="22455"/>
    <n v="1"/>
    <s v="No"/>
    <n v="13"/>
    <n v="3"/>
    <n v="3"/>
    <n v="80"/>
    <n v="0"/>
    <n v="9"/>
    <n v="4"/>
    <n v="3"/>
    <n v="9"/>
    <n v="8"/>
    <n v="8"/>
    <n v="8"/>
    <n v="0"/>
    <n v="1"/>
    <s v="35-44"/>
    <s v="Low"/>
    <s v="6-10 Years"/>
  </r>
  <r>
    <n v="961"/>
    <n v="41"/>
    <x v="1"/>
    <s v="Travel_Frequently"/>
    <n v="1018"/>
    <s v="Sales"/>
    <n v="1"/>
    <n v="3"/>
    <s v="Marketing"/>
    <n v="1349"/>
    <n v="3"/>
    <s v="Female"/>
    <n v="66"/>
    <n v="3"/>
    <n v="2"/>
    <s v="Sales Executive"/>
    <n v="1"/>
    <s v="Divorced"/>
    <n v="4103"/>
    <n v="4297"/>
    <n v="0"/>
    <s v="No"/>
    <n v="17"/>
    <n v="3"/>
    <n v="4"/>
    <n v="80"/>
    <n v="1"/>
    <n v="10"/>
    <n v="2"/>
    <n v="3"/>
    <n v="9"/>
    <n v="3"/>
    <n v="1"/>
    <n v="7"/>
    <n v="0"/>
    <n v="1"/>
    <s v="35-44"/>
    <s v="Low"/>
    <s v="6-10 Years"/>
  </r>
  <r>
    <n v="962"/>
    <n v="35"/>
    <x v="1"/>
    <s v="Travel_Frequently"/>
    <n v="482"/>
    <s v="Research &amp; Development"/>
    <n v="4"/>
    <n v="4"/>
    <s v="Life Sciences"/>
    <n v="1350"/>
    <n v="3"/>
    <s v="Male"/>
    <n v="87"/>
    <n v="3"/>
    <n v="2"/>
    <s v="Research Scientist"/>
    <n v="3"/>
    <s v="Single"/>
    <n v="4249"/>
    <n v="2690"/>
    <n v="1"/>
    <s v="Yes"/>
    <n v="11"/>
    <n v="3"/>
    <n v="2"/>
    <n v="80"/>
    <n v="0"/>
    <n v="9"/>
    <n v="3"/>
    <n v="3"/>
    <n v="9"/>
    <n v="6"/>
    <n v="1"/>
    <n v="1"/>
    <n v="0"/>
    <n v="1"/>
    <s v="35-44"/>
    <s v="Low"/>
    <s v="6-10 Years"/>
  </r>
  <r>
    <n v="963"/>
    <n v="51"/>
    <x v="1"/>
    <s v="Travel_Rarely"/>
    <n v="770"/>
    <s v="Human Resources"/>
    <n v="5"/>
    <n v="3"/>
    <s v="Life Sciences"/>
    <n v="1352"/>
    <n v="3"/>
    <s v="Male"/>
    <n v="84"/>
    <n v="3"/>
    <n v="4"/>
    <s v="Manager"/>
    <n v="2"/>
    <s v="Divorced"/>
    <n v="14026"/>
    <n v="17588"/>
    <n v="1"/>
    <s v="Yes"/>
    <n v="11"/>
    <n v="3"/>
    <n v="2"/>
    <n v="80"/>
    <n v="1"/>
    <n v="33"/>
    <n v="2"/>
    <n v="3"/>
    <n v="33"/>
    <n v="9"/>
    <n v="0"/>
    <n v="10"/>
    <n v="0"/>
    <n v="1"/>
    <s v="45-54"/>
    <s v="Upper Medium"/>
    <s v="21+ Years"/>
  </r>
  <r>
    <n v="964"/>
    <n v="38"/>
    <x v="1"/>
    <s v="Travel_Rarely"/>
    <n v="1009"/>
    <s v="Sales"/>
    <n v="2"/>
    <n v="2"/>
    <s v="Life Sciences"/>
    <n v="1355"/>
    <n v="2"/>
    <s v="Female"/>
    <n v="31"/>
    <n v="3"/>
    <n v="2"/>
    <s v="Sales Executive"/>
    <n v="1"/>
    <s v="Divorced"/>
    <n v="6893"/>
    <n v="19461"/>
    <n v="3"/>
    <s v="No"/>
    <n v="15"/>
    <n v="3"/>
    <n v="4"/>
    <n v="80"/>
    <n v="1"/>
    <n v="11"/>
    <n v="3"/>
    <n v="3"/>
    <n v="7"/>
    <n v="7"/>
    <n v="1"/>
    <n v="7"/>
    <n v="0"/>
    <n v="1"/>
    <s v="35-44"/>
    <s v="Medium"/>
    <s v="6-10 Years"/>
  </r>
  <r>
    <n v="965"/>
    <n v="34"/>
    <x v="1"/>
    <s v="Travel_Rarely"/>
    <n v="507"/>
    <s v="Sales"/>
    <n v="15"/>
    <n v="2"/>
    <s v="Medical"/>
    <n v="1356"/>
    <n v="3"/>
    <s v="Female"/>
    <n v="66"/>
    <n v="3"/>
    <n v="2"/>
    <s v="Sales Executive"/>
    <n v="1"/>
    <s v="Single"/>
    <n v="6125"/>
    <n v="23553"/>
    <n v="1"/>
    <s v="No"/>
    <n v="12"/>
    <n v="3"/>
    <n v="4"/>
    <n v="80"/>
    <n v="0"/>
    <n v="10"/>
    <n v="6"/>
    <n v="4"/>
    <n v="10"/>
    <n v="8"/>
    <n v="9"/>
    <n v="6"/>
    <n v="0"/>
    <n v="1"/>
    <s v="25-34"/>
    <s v="Medium"/>
    <s v="6-10 Years"/>
  </r>
  <r>
    <n v="966"/>
    <n v="25"/>
    <x v="1"/>
    <s v="Travel_Rarely"/>
    <n v="882"/>
    <s v="Research &amp; Development"/>
    <n v="19"/>
    <n v="1"/>
    <s v="Medical"/>
    <n v="1358"/>
    <n v="4"/>
    <s v="Male"/>
    <n v="67"/>
    <n v="3"/>
    <n v="1"/>
    <s v="Laboratory Technician"/>
    <n v="4"/>
    <s v="Married"/>
    <n v="3669"/>
    <n v="9075"/>
    <n v="3"/>
    <s v="No"/>
    <n v="11"/>
    <n v="3"/>
    <n v="3"/>
    <n v="80"/>
    <n v="3"/>
    <n v="7"/>
    <n v="6"/>
    <n v="2"/>
    <n v="3"/>
    <n v="2"/>
    <n v="1"/>
    <n v="2"/>
    <n v="0"/>
    <n v="1"/>
    <s v="25-34"/>
    <s v="Low"/>
    <s v="0-5 Years"/>
  </r>
  <r>
    <n v="967"/>
    <n v="58"/>
    <x v="0"/>
    <s v="Travel_Rarely"/>
    <n v="601"/>
    <s v="Research &amp; Development"/>
    <n v="7"/>
    <n v="4"/>
    <s v="Medical"/>
    <n v="1360"/>
    <n v="3"/>
    <s v="Female"/>
    <n v="53"/>
    <n v="2"/>
    <n v="3"/>
    <s v="Manufacturing Director"/>
    <n v="1"/>
    <s v="Married"/>
    <n v="10008"/>
    <n v="12023"/>
    <n v="7"/>
    <s v="Yes"/>
    <n v="14"/>
    <n v="3"/>
    <n v="4"/>
    <n v="80"/>
    <n v="0"/>
    <n v="31"/>
    <n v="0"/>
    <n v="2"/>
    <n v="10"/>
    <n v="9"/>
    <n v="5"/>
    <n v="9"/>
    <n v="1"/>
    <n v="0"/>
    <s v="55+"/>
    <s v="Upper Medium"/>
    <s v="6-10 Years"/>
  </r>
  <r>
    <n v="968"/>
    <n v="40"/>
    <x v="1"/>
    <s v="Travel_Rarely"/>
    <n v="329"/>
    <s v="Research &amp; Development"/>
    <n v="1"/>
    <n v="4"/>
    <s v="Life Sciences"/>
    <n v="1361"/>
    <n v="2"/>
    <s v="Male"/>
    <n v="88"/>
    <n v="3"/>
    <n v="1"/>
    <s v="Laboratory Technician"/>
    <n v="2"/>
    <s v="Married"/>
    <n v="2387"/>
    <n v="6762"/>
    <n v="3"/>
    <s v="No"/>
    <n v="22"/>
    <n v="4"/>
    <n v="3"/>
    <n v="80"/>
    <n v="1"/>
    <n v="7"/>
    <n v="3"/>
    <n v="3"/>
    <n v="4"/>
    <n v="2"/>
    <n v="0"/>
    <n v="3"/>
    <n v="0"/>
    <n v="1"/>
    <s v="35-44"/>
    <s v="Low"/>
    <s v="0-5 Years"/>
  </r>
  <r>
    <n v="969"/>
    <n v="36"/>
    <x v="1"/>
    <s v="Travel_Frequently"/>
    <n v="607"/>
    <s v="Sales"/>
    <n v="7"/>
    <n v="3"/>
    <s v="Marketing"/>
    <n v="1362"/>
    <n v="1"/>
    <s v="Female"/>
    <n v="83"/>
    <n v="4"/>
    <n v="2"/>
    <s v="Sales Executive"/>
    <n v="1"/>
    <s v="Married"/>
    <n v="4639"/>
    <n v="2261"/>
    <n v="2"/>
    <s v="No"/>
    <n v="16"/>
    <n v="3"/>
    <n v="4"/>
    <n v="80"/>
    <n v="1"/>
    <n v="17"/>
    <n v="2"/>
    <n v="2"/>
    <n v="15"/>
    <n v="7"/>
    <n v="6"/>
    <n v="13"/>
    <n v="0"/>
    <n v="1"/>
    <s v="35-44"/>
    <s v="Low"/>
    <s v="11-20 Years"/>
  </r>
  <r>
    <n v="970"/>
    <n v="48"/>
    <x v="1"/>
    <s v="Travel_Rarely"/>
    <n v="855"/>
    <s v="Research &amp; Development"/>
    <n v="4"/>
    <n v="3"/>
    <s v="Life Sciences"/>
    <n v="1363"/>
    <n v="4"/>
    <s v="Male"/>
    <n v="54"/>
    <n v="3"/>
    <n v="3"/>
    <s v="Manufacturing Director"/>
    <n v="4"/>
    <s v="Single"/>
    <n v="7898"/>
    <n v="18706"/>
    <n v="1"/>
    <s v="No"/>
    <n v="11"/>
    <n v="3"/>
    <n v="3"/>
    <n v="80"/>
    <n v="0"/>
    <n v="11"/>
    <n v="2"/>
    <n v="3"/>
    <n v="10"/>
    <n v="9"/>
    <n v="0"/>
    <n v="8"/>
    <n v="0"/>
    <n v="1"/>
    <s v="45-54"/>
    <s v="Medium"/>
    <s v="6-10 Years"/>
  </r>
  <r>
    <n v="971"/>
    <n v="27"/>
    <x v="1"/>
    <s v="Travel_Rarely"/>
    <n v="1291"/>
    <s v="Sales"/>
    <n v="11"/>
    <n v="3"/>
    <s v="Medical"/>
    <n v="1364"/>
    <n v="3"/>
    <s v="Female"/>
    <n v="98"/>
    <n v="4"/>
    <n v="1"/>
    <s v="Sales Representative"/>
    <n v="4"/>
    <s v="Married"/>
    <n v="2534"/>
    <n v="6527"/>
    <n v="8"/>
    <s v="No"/>
    <n v="14"/>
    <n v="3"/>
    <n v="2"/>
    <n v="80"/>
    <n v="1"/>
    <n v="5"/>
    <n v="4"/>
    <n v="3"/>
    <n v="1"/>
    <n v="0"/>
    <n v="0"/>
    <n v="0"/>
    <n v="0"/>
    <n v="1"/>
    <s v="25-34"/>
    <s v="Low"/>
    <s v="0-5 Years"/>
  </r>
  <r>
    <n v="972"/>
    <n v="51"/>
    <x v="1"/>
    <s v="Travel_Rarely"/>
    <n v="1405"/>
    <s v="Research &amp; Development"/>
    <n v="11"/>
    <n v="2"/>
    <s v="Technical Degree"/>
    <n v="1367"/>
    <n v="4"/>
    <s v="Female"/>
    <n v="82"/>
    <n v="2"/>
    <n v="4"/>
    <s v="Manufacturing Director"/>
    <n v="2"/>
    <s v="Single"/>
    <n v="13142"/>
    <n v="24439"/>
    <n v="3"/>
    <s v="No"/>
    <n v="16"/>
    <n v="3"/>
    <n v="2"/>
    <n v="80"/>
    <n v="0"/>
    <n v="29"/>
    <n v="1"/>
    <n v="2"/>
    <n v="5"/>
    <n v="2"/>
    <n v="0"/>
    <n v="3"/>
    <n v="0"/>
    <n v="1"/>
    <s v="45-54"/>
    <s v="Upper Medium"/>
    <s v="0-5 Years"/>
  </r>
  <r>
    <n v="973"/>
    <n v="18"/>
    <x v="1"/>
    <s v="Non-Travel"/>
    <n v="1124"/>
    <s v="Research &amp; Development"/>
    <n v="1"/>
    <n v="3"/>
    <s v="Life Sciences"/>
    <n v="1368"/>
    <n v="4"/>
    <s v="Female"/>
    <n v="97"/>
    <n v="3"/>
    <n v="1"/>
    <s v="Laboratory Technician"/>
    <n v="4"/>
    <s v="Single"/>
    <n v="1611"/>
    <n v="19305"/>
    <n v="1"/>
    <s v="No"/>
    <n v="15"/>
    <n v="3"/>
    <n v="3"/>
    <n v="80"/>
    <n v="0"/>
    <n v="0"/>
    <n v="5"/>
    <n v="4"/>
    <n v="0"/>
    <n v="0"/>
    <n v="0"/>
    <n v="0"/>
    <n v="0"/>
    <n v="1"/>
    <s v="Under 25"/>
    <s v="Low"/>
    <s v="0-5 Years"/>
  </r>
  <r>
    <n v="974"/>
    <n v="35"/>
    <x v="1"/>
    <s v="Travel_Rarely"/>
    <n v="817"/>
    <s v="Research &amp; Development"/>
    <n v="1"/>
    <n v="3"/>
    <s v="Medical"/>
    <n v="1369"/>
    <n v="4"/>
    <s v="Female"/>
    <n v="60"/>
    <n v="2"/>
    <n v="2"/>
    <s v="Laboratory Technician"/>
    <n v="4"/>
    <s v="Married"/>
    <n v="5363"/>
    <n v="10846"/>
    <n v="0"/>
    <s v="No"/>
    <n v="12"/>
    <n v="3"/>
    <n v="2"/>
    <n v="80"/>
    <n v="1"/>
    <n v="10"/>
    <n v="0"/>
    <n v="3"/>
    <n v="9"/>
    <n v="7"/>
    <n v="0"/>
    <n v="0"/>
    <n v="0"/>
    <n v="1"/>
    <s v="35-44"/>
    <s v="Medium"/>
    <s v="6-10 Years"/>
  </r>
  <r>
    <n v="975"/>
    <n v="27"/>
    <x v="1"/>
    <s v="Travel_Frequently"/>
    <n v="793"/>
    <s v="Sales"/>
    <n v="2"/>
    <n v="1"/>
    <s v="Life Sciences"/>
    <n v="1371"/>
    <n v="4"/>
    <s v="Male"/>
    <n v="43"/>
    <n v="1"/>
    <n v="2"/>
    <s v="Sales Executive"/>
    <n v="4"/>
    <s v="Single"/>
    <n v="5071"/>
    <n v="20392"/>
    <n v="3"/>
    <s v="No"/>
    <n v="20"/>
    <n v="4"/>
    <n v="2"/>
    <n v="80"/>
    <n v="0"/>
    <n v="8"/>
    <n v="3"/>
    <n v="3"/>
    <n v="6"/>
    <n v="2"/>
    <n v="0"/>
    <n v="0"/>
    <n v="0"/>
    <n v="1"/>
    <s v="25-34"/>
    <s v="Medium"/>
    <s v="6-10 Years"/>
  </r>
  <r>
    <n v="976"/>
    <n v="55"/>
    <x v="0"/>
    <s v="Travel_Rarely"/>
    <n v="267"/>
    <s v="Sales"/>
    <n v="13"/>
    <n v="4"/>
    <s v="Marketing"/>
    <n v="1372"/>
    <n v="1"/>
    <s v="Male"/>
    <n v="85"/>
    <n v="4"/>
    <n v="4"/>
    <s v="Sales Executive"/>
    <n v="3"/>
    <s v="Single"/>
    <n v="13695"/>
    <n v="9277"/>
    <n v="6"/>
    <s v="Yes"/>
    <n v="17"/>
    <n v="3"/>
    <n v="3"/>
    <n v="80"/>
    <n v="0"/>
    <n v="24"/>
    <n v="2"/>
    <n v="2"/>
    <n v="19"/>
    <n v="7"/>
    <n v="3"/>
    <n v="8"/>
    <n v="1"/>
    <n v="0"/>
    <s v="55+"/>
    <s v="Upper Medium"/>
    <s v="11-20 Years"/>
  </r>
  <r>
    <n v="977"/>
    <n v="56"/>
    <x v="1"/>
    <s v="Travel_Rarely"/>
    <n v="1369"/>
    <s v="Research &amp; Development"/>
    <n v="23"/>
    <n v="3"/>
    <s v="Life Sciences"/>
    <n v="1373"/>
    <n v="4"/>
    <s v="Male"/>
    <n v="68"/>
    <n v="3"/>
    <n v="4"/>
    <s v="Manufacturing Director"/>
    <n v="2"/>
    <s v="Married"/>
    <n v="13402"/>
    <n v="18235"/>
    <n v="4"/>
    <s v="Yes"/>
    <n v="12"/>
    <n v="3"/>
    <n v="1"/>
    <n v="80"/>
    <n v="1"/>
    <n v="33"/>
    <n v="0"/>
    <n v="3"/>
    <n v="19"/>
    <n v="16"/>
    <n v="15"/>
    <n v="9"/>
    <n v="0"/>
    <n v="1"/>
    <s v="55+"/>
    <s v="Upper Medium"/>
    <s v="11-20 Years"/>
  </r>
  <r>
    <n v="978"/>
    <n v="34"/>
    <x v="1"/>
    <s v="Non-Travel"/>
    <n v="999"/>
    <s v="Research &amp; Development"/>
    <n v="26"/>
    <n v="1"/>
    <s v="Technical Degree"/>
    <n v="1374"/>
    <n v="1"/>
    <s v="Female"/>
    <n v="92"/>
    <n v="2"/>
    <n v="1"/>
    <s v="Research Scientist"/>
    <n v="3"/>
    <s v="Divorced"/>
    <n v="2029"/>
    <n v="15891"/>
    <n v="1"/>
    <s v="No"/>
    <n v="20"/>
    <n v="4"/>
    <n v="3"/>
    <n v="80"/>
    <n v="3"/>
    <n v="5"/>
    <n v="2"/>
    <n v="3"/>
    <n v="5"/>
    <n v="4"/>
    <n v="0"/>
    <n v="0"/>
    <n v="0"/>
    <n v="1"/>
    <s v="25-34"/>
    <s v="Low"/>
    <s v="0-5 Years"/>
  </r>
  <r>
    <n v="979"/>
    <n v="40"/>
    <x v="1"/>
    <s v="Travel_Rarely"/>
    <n v="1202"/>
    <s v="Research &amp; Development"/>
    <n v="2"/>
    <n v="1"/>
    <s v="Medical"/>
    <n v="1375"/>
    <n v="2"/>
    <s v="Female"/>
    <n v="89"/>
    <n v="4"/>
    <n v="2"/>
    <s v="Healthcare Representative"/>
    <n v="3"/>
    <s v="Divorced"/>
    <n v="6377"/>
    <n v="13888"/>
    <n v="5"/>
    <s v="No"/>
    <n v="20"/>
    <n v="4"/>
    <n v="2"/>
    <n v="80"/>
    <n v="3"/>
    <n v="15"/>
    <n v="0"/>
    <n v="3"/>
    <n v="12"/>
    <n v="11"/>
    <n v="11"/>
    <n v="8"/>
    <n v="0"/>
    <n v="1"/>
    <s v="35-44"/>
    <s v="Medium"/>
    <s v="11-20 Years"/>
  </r>
  <r>
    <n v="980"/>
    <n v="34"/>
    <x v="1"/>
    <s v="Travel_Rarely"/>
    <n v="285"/>
    <s v="Research &amp; Development"/>
    <n v="29"/>
    <n v="3"/>
    <s v="Medical"/>
    <n v="1377"/>
    <n v="2"/>
    <s v="Male"/>
    <n v="86"/>
    <n v="3"/>
    <n v="2"/>
    <s v="Laboratory Technician"/>
    <n v="3"/>
    <s v="Married"/>
    <n v="5429"/>
    <n v="17491"/>
    <n v="4"/>
    <s v="No"/>
    <n v="13"/>
    <n v="3"/>
    <n v="1"/>
    <n v="80"/>
    <n v="2"/>
    <n v="10"/>
    <n v="1"/>
    <n v="3"/>
    <n v="8"/>
    <n v="7"/>
    <n v="7"/>
    <n v="7"/>
    <n v="0"/>
    <n v="1"/>
    <s v="25-34"/>
    <s v="Medium"/>
    <s v="6-10 Years"/>
  </r>
  <r>
    <n v="981"/>
    <n v="31"/>
    <x v="0"/>
    <s v="Travel_Frequently"/>
    <n v="703"/>
    <s v="Sales"/>
    <n v="2"/>
    <n v="3"/>
    <s v="Life Sciences"/>
    <n v="1379"/>
    <n v="3"/>
    <s v="Female"/>
    <n v="90"/>
    <n v="2"/>
    <n v="1"/>
    <s v="Sales Representative"/>
    <n v="4"/>
    <s v="Single"/>
    <n v="2785"/>
    <n v="11882"/>
    <n v="7"/>
    <s v="No"/>
    <n v="14"/>
    <n v="3"/>
    <n v="3"/>
    <n v="80"/>
    <n v="0"/>
    <n v="3"/>
    <n v="3"/>
    <n v="4"/>
    <n v="1"/>
    <n v="0"/>
    <n v="0"/>
    <n v="0"/>
    <n v="1"/>
    <n v="0"/>
    <s v="25-34"/>
    <s v="Low"/>
    <s v="0-5 Years"/>
  </r>
  <r>
    <n v="982"/>
    <n v="35"/>
    <x v="0"/>
    <s v="Travel_Frequently"/>
    <n v="662"/>
    <s v="Sales"/>
    <n v="18"/>
    <n v="4"/>
    <s v="Marketing"/>
    <n v="1380"/>
    <n v="4"/>
    <s v="Female"/>
    <n v="67"/>
    <n v="3"/>
    <n v="2"/>
    <s v="Sales Executive"/>
    <n v="3"/>
    <s v="Married"/>
    <n v="4614"/>
    <n v="23288"/>
    <n v="0"/>
    <s v="Yes"/>
    <n v="18"/>
    <n v="3"/>
    <n v="3"/>
    <n v="80"/>
    <n v="1"/>
    <n v="5"/>
    <n v="0"/>
    <n v="2"/>
    <n v="4"/>
    <n v="2"/>
    <n v="3"/>
    <n v="2"/>
    <n v="1"/>
    <n v="0"/>
    <s v="35-44"/>
    <s v="Low"/>
    <s v="0-5 Years"/>
  </r>
  <r>
    <n v="983"/>
    <n v="38"/>
    <x v="1"/>
    <s v="Travel_Frequently"/>
    <n v="693"/>
    <s v="Research &amp; Development"/>
    <n v="7"/>
    <n v="3"/>
    <s v="Life Sciences"/>
    <n v="1382"/>
    <n v="4"/>
    <s v="Male"/>
    <n v="57"/>
    <n v="4"/>
    <n v="1"/>
    <s v="Research Scientist"/>
    <n v="3"/>
    <s v="Divorced"/>
    <n v="2610"/>
    <n v="15748"/>
    <n v="1"/>
    <s v="No"/>
    <n v="11"/>
    <n v="3"/>
    <n v="4"/>
    <n v="80"/>
    <n v="3"/>
    <n v="4"/>
    <n v="2"/>
    <n v="3"/>
    <n v="4"/>
    <n v="2"/>
    <n v="0"/>
    <n v="3"/>
    <n v="0"/>
    <n v="1"/>
    <s v="35-44"/>
    <s v="Low"/>
    <s v="0-5 Years"/>
  </r>
  <r>
    <n v="984"/>
    <n v="34"/>
    <x v="1"/>
    <s v="Travel_Rarely"/>
    <n v="404"/>
    <s v="Research &amp; Development"/>
    <n v="2"/>
    <n v="4"/>
    <s v="Technical Degree"/>
    <n v="1383"/>
    <n v="3"/>
    <s v="Female"/>
    <n v="98"/>
    <n v="3"/>
    <n v="2"/>
    <s v="Healthcare Representative"/>
    <n v="4"/>
    <s v="Single"/>
    <n v="6687"/>
    <n v="6163"/>
    <n v="1"/>
    <s v="No"/>
    <n v="11"/>
    <n v="3"/>
    <n v="4"/>
    <n v="80"/>
    <n v="0"/>
    <n v="14"/>
    <n v="2"/>
    <n v="4"/>
    <n v="14"/>
    <n v="11"/>
    <n v="4"/>
    <n v="11"/>
    <n v="0"/>
    <n v="1"/>
    <s v="25-34"/>
    <s v="Medium"/>
    <s v="11-20 Years"/>
  </r>
  <r>
    <n v="985"/>
    <n v="28"/>
    <x v="1"/>
    <s v="Travel_Rarely"/>
    <n v="736"/>
    <s v="Sales"/>
    <n v="26"/>
    <n v="3"/>
    <s v="Life Sciences"/>
    <n v="1387"/>
    <n v="3"/>
    <s v="Male"/>
    <n v="48"/>
    <n v="2"/>
    <n v="2"/>
    <s v="Sales Executive"/>
    <n v="1"/>
    <s v="Married"/>
    <n v="4724"/>
    <n v="24232"/>
    <n v="1"/>
    <s v="No"/>
    <n v="11"/>
    <n v="3"/>
    <n v="3"/>
    <n v="80"/>
    <n v="1"/>
    <n v="5"/>
    <n v="0"/>
    <n v="3"/>
    <n v="5"/>
    <n v="3"/>
    <n v="0"/>
    <n v="4"/>
    <n v="0"/>
    <n v="1"/>
    <s v="25-34"/>
    <s v="Low"/>
    <s v="0-5 Years"/>
  </r>
  <r>
    <n v="986"/>
    <n v="31"/>
    <x v="0"/>
    <s v="Travel_Rarely"/>
    <n v="330"/>
    <s v="Research &amp; Development"/>
    <n v="22"/>
    <n v="4"/>
    <s v="Medical"/>
    <n v="1389"/>
    <n v="4"/>
    <s v="Male"/>
    <n v="98"/>
    <n v="3"/>
    <n v="2"/>
    <s v="Manufacturing Director"/>
    <n v="3"/>
    <s v="Married"/>
    <n v="6179"/>
    <n v="21057"/>
    <n v="1"/>
    <s v="Yes"/>
    <n v="15"/>
    <n v="3"/>
    <n v="4"/>
    <n v="80"/>
    <n v="2"/>
    <n v="10"/>
    <n v="3"/>
    <n v="2"/>
    <n v="10"/>
    <n v="2"/>
    <n v="6"/>
    <n v="7"/>
    <n v="1"/>
    <n v="0"/>
    <s v="25-34"/>
    <s v="Medium"/>
    <s v="6-10 Years"/>
  </r>
  <r>
    <n v="987"/>
    <n v="39"/>
    <x v="1"/>
    <s v="Travel_Rarely"/>
    <n v="1498"/>
    <s v="Sales"/>
    <n v="21"/>
    <n v="4"/>
    <s v="Life Sciences"/>
    <n v="1390"/>
    <n v="1"/>
    <s v="Male"/>
    <n v="44"/>
    <n v="2"/>
    <n v="2"/>
    <s v="Sales Executive"/>
    <n v="4"/>
    <s v="Married"/>
    <n v="6120"/>
    <n v="3567"/>
    <n v="3"/>
    <s v="Yes"/>
    <n v="12"/>
    <n v="3"/>
    <n v="4"/>
    <n v="80"/>
    <n v="2"/>
    <n v="8"/>
    <n v="2"/>
    <n v="4"/>
    <n v="5"/>
    <n v="4"/>
    <n v="1"/>
    <n v="4"/>
    <n v="0"/>
    <n v="1"/>
    <s v="35-44"/>
    <s v="Medium"/>
    <s v="0-5 Years"/>
  </r>
  <r>
    <n v="988"/>
    <n v="51"/>
    <x v="1"/>
    <s v="Travel_Frequently"/>
    <n v="541"/>
    <s v="Sales"/>
    <n v="2"/>
    <n v="3"/>
    <s v="Marketing"/>
    <n v="1391"/>
    <n v="2"/>
    <s v="Male"/>
    <n v="52"/>
    <n v="3"/>
    <n v="3"/>
    <s v="Sales Executive"/>
    <n v="2"/>
    <s v="Married"/>
    <n v="10596"/>
    <n v="15395"/>
    <n v="2"/>
    <s v="No"/>
    <n v="11"/>
    <n v="3"/>
    <n v="2"/>
    <n v="80"/>
    <n v="0"/>
    <n v="14"/>
    <n v="5"/>
    <n v="3"/>
    <n v="4"/>
    <n v="2"/>
    <n v="3"/>
    <n v="2"/>
    <n v="0"/>
    <n v="1"/>
    <s v="45-54"/>
    <s v="Upper Medium"/>
    <s v="0-5 Years"/>
  </r>
  <r>
    <n v="989"/>
    <n v="41"/>
    <x v="1"/>
    <s v="Travel_Frequently"/>
    <n v="1200"/>
    <s v="Research &amp; Development"/>
    <n v="22"/>
    <n v="3"/>
    <s v="Life Sciences"/>
    <n v="1392"/>
    <n v="4"/>
    <s v="Female"/>
    <n v="75"/>
    <n v="3"/>
    <n v="2"/>
    <s v="Research Scientist"/>
    <n v="4"/>
    <s v="Divorced"/>
    <n v="5467"/>
    <n v="13953"/>
    <n v="3"/>
    <s v="Yes"/>
    <n v="14"/>
    <n v="3"/>
    <n v="1"/>
    <n v="80"/>
    <n v="2"/>
    <n v="12"/>
    <n v="4"/>
    <n v="2"/>
    <n v="6"/>
    <n v="2"/>
    <n v="3"/>
    <n v="3"/>
    <n v="0"/>
    <n v="1"/>
    <s v="35-44"/>
    <s v="Medium"/>
    <s v="6-10 Years"/>
  </r>
  <r>
    <n v="990"/>
    <n v="37"/>
    <x v="1"/>
    <s v="Travel_Rarely"/>
    <n v="1439"/>
    <s v="Research &amp; Development"/>
    <n v="4"/>
    <n v="1"/>
    <s v="Life Sciences"/>
    <n v="1394"/>
    <n v="3"/>
    <s v="Male"/>
    <n v="54"/>
    <n v="3"/>
    <n v="1"/>
    <s v="Research Scientist"/>
    <n v="3"/>
    <s v="Married"/>
    <n v="2996"/>
    <n v="5182"/>
    <n v="7"/>
    <s v="Yes"/>
    <n v="15"/>
    <n v="3"/>
    <n v="4"/>
    <n v="80"/>
    <n v="0"/>
    <n v="8"/>
    <n v="2"/>
    <n v="3"/>
    <n v="6"/>
    <n v="4"/>
    <n v="1"/>
    <n v="3"/>
    <n v="0"/>
    <n v="1"/>
    <s v="35-44"/>
    <s v="Low"/>
    <s v="6-10 Years"/>
  </r>
  <r>
    <n v="991"/>
    <n v="33"/>
    <x v="1"/>
    <s v="Travel_Frequently"/>
    <n v="1111"/>
    <s v="Sales"/>
    <n v="5"/>
    <n v="1"/>
    <s v="Life Sciences"/>
    <n v="1395"/>
    <n v="2"/>
    <s v="Male"/>
    <n v="61"/>
    <n v="3"/>
    <n v="2"/>
    <s v="Sales Executive"/>
    <n v="4"/>
    <s v="Married"/>
    <n v="9998"/>
    <n v="19293"/>
    <n v="6"/>
    <s v="No"/>
    <n v="13"/>
    <n v="3"/>
    <n v="1"/>
    <n v="80"/>
    <n v="0"/>
    <n v="8"/>
    <n v="2"/>
    <n v="4"/>
    <n v="5"/>
    <n v="4"/>
    <n v="1"/>
    <n v="2"/>
    <n v="0"/>
    <n v="1"/>
    <s v="25-34"/>
    <s v="Medium"/>
    <s v="0-5 Years"/>
  </r>
  <r>
    <n v="992"/>
    <n v="32"/>
    <x v="1"/>
    <s v="Travel_Rarely"/>
    <n v="499"/>
    <s v="Sales"/>
    <n v="2"/>
    <n v="1"/>
    <s v="Marketing"/>
    <n v="1396"/>
    <n v="3"/>
    <s v="Male"/>
    <n v="36"/>
    <n v="3"/>
    <n v="2"/>
    <s v="Sales Executive"/>
    <n v="2"/>
    <s v="Married"/>
    <n v="4078"/>
    <n v="20497"/>
    <n v="0"/>
    <s v="Yes"/>
    <n v="13"/>
    <n v="3"/>
    <n v="1"/>
    <n v="80"/>
    <n v="3"/>
    <n v="4"/>
    <n v="3"/>
    <n v="2"/>
    <n v="3"/>
    <n v="2"/>
    <n v="1"/>
    <n v="2"/>
    <n v="0"/>
    <n v="1"/>
    <s v="25-34"/>
    <s v="Low"/>
    <s v="0-5 Years"/>
  </r>
  <r>
    <n v="993"/>
    <n v="39"/>
    <x v="1"/>
    <s v="Non-Travel"/>
    <n v="1485"/>
    <s v="Research &amp; Development"/>
    <n v="25"/>
    <n v="2"/>
    <s v="Life Sciences"/>
    <n v="1397"/>
    <n v="3"/>
    <s v="Male"/>
    <n v="71"/>
    <n v="3"/>
    <n v="3"/>
    <s v="Healthcare Representative"/>
    <n v="3"/>
    <s v="Married"/>
    <n v="10920"/>
    <n v="3449"/>
    <n v="3"/>
    <s v="No"/>
    <n v="21"/>
    <n v="4"/>
    <n v="2"/>
    <n v="80"/>
    <n v="1"/>
    <n v="13"/>
    <n v="2"/>
    <n v="3"/>
    <n v="6"/>
    <n v="4"/>
    <n v="0"/>
    <n v="5"/>
    <n v="0"/>
    <n v="1"/>
    <s v="35-44"/>
    <s v="Upper Medium"/>
    <s v="6-10 Years"/>
  </r>
  <r>
    <n v="994"/>
    <n v="25"/>
    <x v="1"/>
    <s v="Travel_Rarely"/>
    <n v="1372"/>
    <s v="Sales"/>
    <n v="18"/>
    <n v="1"/>
    <s v="Life Sciences"/>
    <n v="1399"/>
    <n v="1"/>
    <s v="Male"/>
    <n v="93"/>
    <n v="4"/>
    <n v="2"/>
    <s v="Sales Executive"/>
    <n v="3"/>
    <s v="Married"/>
    <n v="6232"/>
    <n v="12477"/>
    <n v="2"/>
    <s v="No"/>
    <n v="11"/>
    <n v="3"/>
    <n v="2"/>
    <n v="80"/>
    <n v="0"/>
    <n v="6"/>
    <n v="3"/>
    <n v="2"/>
    <n v="3"/>
    <n v="2"/>
    <n v="1"/>
    <n v="2"/>
    <n v="0"/>
    <n v="1"/>
    <s v="25-34"/>
    <s v="Medium"/>
    <s v="0-5 Years"/>
  </r>
  <r>
    <n v="995"/>
    <n v="52"/>
    <x v="1"/>
    <s v="Travel_Frequently"/>
    <n v="322"/>
    <s v="Research &amp; Development"/>
    <n v="28"/>
    <n v="2"/>
    <s v="Medical"/>
    <n v="1401"/>
    <n v="4"/>
    <s v="Female"/>
    <n v="59"/>
    <n v="4"/>
    <n v="4"/>
    <s v="Manufacturing Director"/>
    <n v="3"/>
    <s v="Married"/>
    <n v="13247"/>
    <n v="9731"/>
    <n v="2"/>
    <s v="Yes"/>
    <n v="11"/>
    <n v="3"/>
    <n v="2"/>
    <n v="80"/>
    <n v="1"/>
    <n v="24"/>
    <n v="3"/>
    <n v="2"/>
    <n v="5"/>
    <n v="3"/>
    <n v="0"/>
    <n v="2"/>
    <n v="0"/>
    <n v="1"/>
    <s v="45-54"/>
    <s v="Upper Medium"/>
    <s v="0-5 Years"/>
  </r>
  <r>
    <n v="996"/>
    <n v="43"/>
    <x v="1"/>
    <s v="Travel_Rarely"/>
    <n v="930"/>
    <s v="Research &amp; Development"/>
    <n v="6"/>
    <n v="3"/>
    <s v="Medical"/>
    <n v="1402"/>
    <n v="1"/>
    <s v="Female"/>
    <n v="73"/>
    <n v="2"/>
    <n v="2"/>
    <s v="Research Scientist"/>
    <n v="3"/>
    <s v="Single"/>
    <n v="4081"/>
    <n v="20003"/>
    <n v="1"/>
    <s v="Yes"/>
    <n v="14"/>
    <n v="3"/>
    <n v="1"/>
    <n v="80"/>
    <n v="0"/>
    <n v="20"/>
    <n v="3"/>
    <n v="1"/>
    <n v="20"/>
    <n v="7"/>
    <n v="1"/>
    <n v="8"/>
    <n v="0"/>
    <n v="1"/>
    <s v="35-44"/>
    <s v="Low"/>
    <s v="11-20 Years"/>
  </r>
  <r>
    <n v="997"/>
    <n v="27"/>
    <x v="1"/>
    <s v="Travel_Rarely"/>
    <n v="205"/>
    <s v="Sales"/>
    <n v="10"/>
    <n v="3"/>
    <s v="Marketing"/>
    <n v="1403"/>
    <n v="4"/>
    <s v="Female"/>
    <n v="98"/>
    <n v="2"/>
    <n v="2"/>
    <s v="Sales Executive"/>
    <n v="4"/>
    <s v="Married"/>
    <n v="5769"/>
    <n v="7100"/>
    <n v="1"/>
    <s v="Yes"/>
    <n v="11"/>
    <n v="3"/>
    <n v="4"/>
    <n v="80"/>
    <n v="0"/>
    <n v="6"/>
    <n v="3"/>
    <n v="3"/>
    <n v="6"/>
    <n v="2"/>
    <n v="4"/>
    <n v="4"/>
    <n v="0"/>
    <n v="1"/>
    <s v="25-34"/>
    <s v="Medium"/>
    <s v="6-10 Years"/>
  </r>
  <r>
    <n v="998"/>
    <n v="27"/>
    <x v="0"/>
    <s v="Travel_Rarely"/>
    <n v="135"/>
    <s v="Research &amp; Development"/>
    <n v="17"/>
    <n v="4"/>
    <s v="Life Sciences"/>
    <n v="1405"/>
    <n v="4"/>
    <s v="Female"/>
    <n v="51"/>
    <n v="3"/>
    <n v="1"/>
    <s v="Research Scientist"/>
    <n v="3"/>
    <s v="Single"/>
    <n v="2394"/>
    <n v="25681"/>
    <n v="1"/>
    <s v="Yes"/>
    <n v="13"/>
    <n v="3"/>
    <n v="4"/>
    <n v="80"/>
    <n v="0"/>
    <n v="8"/>
    <n v="2"/>
    <n v="3"/>
    <n v="8"/>
    <n v="2"/>
    <n v="7"/>
    <n v="7"/>
    <n v="1"/>
    <n v="0"/>
    <s v="25-34"/>
    <s v="Low"/>
    <s v="6-10 Years"/>
  </r>
  <r>
    <n v="999"/>
    <n v="26"/>
    <x v="1"/>
    <s v="Travel_Rarely"/>
    <n v="683"/>
    <s v="Research &amp; Development"/>
    <n v="2"/>
    <n v="1"/>
    <s v="Medical"/>
    <n v="1407"/>
    <n v="1"/>
    <s v="Male"/>
    <n v="36"/>
    <n v="2"/>
    <n v="1"/>
    <s v="Research Scientist"/>
    <n v="4"/>
    <s v="Single"/>
    <n v="3904"/>
    <n v="4050"/>
    <n v="0"/>
    <s v="No"/>
    <n v="12"/>
    <n v="3"/>
    <n v="4"/>
    <n v="80"/>
    <n v="0"/>
    <n v="5"/>
    <n v="2"/>
    <n v="3"/>
    <n v="4"/>
    <n v="3"/>
    <n v="1"/>
    <n v="1"/>
    <n v="0"/>
    <n v="1"/>
    <s v="25-34"/>
    <s v="Low"/>
    <s v="0-5 Years"/>
  </r>
  <r>
    <n v="1000"/>
    <n v="42"/>
    <x v="1"/>
    <s v="Travel_Rarely"/>
    <n v="1147"/>
    <s v="Human Resources"/>
    <n v="10"/>
    <n v="3"/>
    <s v="Human Resources"/>
    <n v="1408"/>
    <n v="3"/>
    <s v="Female"/>
    <n v="31"/>
    <n v="3"/>
    <n v="4"/>
    <s v="Manager"/>
    <n v="1"/>
    <s v="Married"/>
    <n v="16799"/>
    <n v="16616"/>
    <n v="0"/>
    <s v="No"/>
    <n v="14"/>
    <n v="3"/>
    <n v="3"/>
    <n v="80"/>
    <n v="1"/>
    <n v="21"/>
    <n v="5"/>
    <n v="3"/>
    <n v="20"/>
    <n v="7"/>
    <n v="0"/>
    <n v="9"/>
    <n v="0"/>
    <n v="1"/>
    <s v="35-44"/>
    <s v="High"/>
    <s v="11-20 Years"/>
  </r>
  <r>
    <n v="1001"/>
    <n v="52"/>
    <x v="1"/>
    <s v="Travel_Rarely"/>
    <n v="258"/>
    <s v="Research &amp; Development"/>
    <n v="8"/>
    <n v="4"/>
    <s v="Other"/>
    <n v="1409"/>
    <n v="3"/>
    <s v="Female"/>
    <n v="54"/>
    <n v="3"/>
    <n v="1"/>
    <s v="Laboratory Technician"/>
    <n v="1"/>
    <s v="Married"/>
    <n v="2950"/>
    <n v="17363"/>
    <n v="9"/>
    <s v="No"/>
    <n v="13"/>
    <n v="3"/>
    <n v="3"/>
    <n v="80"/>
    <n v="0"/>
    <n v="12"/>
    <n v="2"/>
    <n v="1"/>
    <n v="5"/>
    <n v="4"/>
    <n v="0"/>
    <n v="4"/>
    <n v="0"/>
    <n v="1"/>
    <s v="45-54"/>
    <s v="Low"/>
    <s v="0-5 Years"/>
  </r>
  <r>
    <n v="1002"/>
    <n v="37"/>
    <x v="1"/>
    <s v="Travel_Rarely"/>
    <n v="1462"/>
    <s v="Research &amp; Development"/>
    <n v="11"/>
    <n v="3"/>
    <s v="Medical"/>
    <n v="1411"/>
    <n v="1"/>
    <s v="Female"/>
    <n v="94"/>
    <n v="3"/>
    <n v="1"/>
    <s v="Laboratory Technician"/>
    <n v="3"/>
    <s v="Single"/>
    <n v="3629"/>
    <n v="19106"/>
    <n v="4"/>
    <s v="No"/>
    <n v="18"/>
    <n v="3"/>
    <n v="1"/>
    <n v="80"/>
    <n v="0"/>
    <n v="8"/>
    <n v="6"/>
    <n v="3"/>
    <n v="3"/>
    <n v="2"/>
    <n v="0"/>
    <n v="2"/>
    <n v="0"/>
    <n v="1"/>
    <s v="35-44"/>
    <s v="Low"/>
    <s v="0-5 Years"/>
  </r>
  <r>
    <n v="1003"/>
    <n v="35"/>
    <x v="1"/>
    <s v="Travel_Frequently"/>
    <n v="200"/>
    <s v="Research &amp; Development"/>
    <n v="18"/>
    <n v="2"/>
    <s v="Life Sciences"/>
    <n v="1412"/>
    <n v="3"/>
    <s v="Male"/>
    <n v="60"/>
    <n v="3"/>
    <n v="3"/>
    <s v="Manufacturing Director"/>
    <n v="4"/>
    <s v="Single"/>
    <n v="9362"/>
    <n v="19944"/>
    <n v="2"/>
    <s v="No"/>
    <n v="11"/>
    <n v="3"/>
    <n v="3"/>
    <n v="80"/>
    <n v="0"/>
    <n v="10"/>
    <n v="2"/>
    <n v="3"/>
    <n v="2"/>
    <n v="2"/>
    <n v="2"/>
    <n v="2"/>
    <n v="0"/>
    <n v="1"/>
    <s v="35-44"/>
    <s v="Medium"/>
    <s v="0-5 Years"/>
  </r>
  <r>
    <n v="1004"/>
    <n v="25"/>
    <x v="1"/>
    <s v="Travel_Rarely"/>
    <n v="949"/>
    <s v="Research &amp; Development"/>
    <n v="1"/>
    <n v="3"/>
    <s v="Technical Degree"/>
    <n v="1415"/>
    <n v="1"/>
    <s v="Male"/>
    <n v="81"/>
    <n v="3"/>
    <n v="1"/>
    <s v="Laboratory Technician"/>
    <n v="4"/>
    <s v="Married"/>
    <n v="3229"/>
    <n v="4910"/>
    <n v="4"/>
    <s v="No"/>
    <n v="11"/>
    <n v="3"/>
    <n v="2"/>
    <n v="80"/>
    <n v="1"/>
    <n v="7"/>
    <n v="2"/>
    <n v="2"/>
    <n v="3"/>
    <n v="2"/>
    <n v="0"/>
    <n v="2"/>
    <n v="0"/>
    <n v="1"/>
    <s v="25-34"/>
    <s v="Low"/>
    <s v="0-5 Years"/>
  </r>
  <r>
    <n v="1005"/>
    <n v="26"/>
    <x v="1"/>
    <s v="Travel_Rarely"/>
    <n v="652"/>
    <s v="Research &amp; Development"/>
    <n v="7"/>
    <n v="3"/>
    <s v="Other"/>
    <n v="1417"/>
    <n v="3"/>
    <s v="Male"/>
    <n v="100"/>
    <n v="4"/>
    <n v="1"/>
    <s v="Laboratory Technician"/>
    <n v="1"/>
    <s v="Single"/>
    <n v="3578"/>
    <n v="23577"/>
    <n v="0"/>
    <s v="No"/>
    <n v="12"/>
    <n v="3"/>
    <n v="4"/>
    <n v="80"/>
    <n v="0"/>
    <n v="8"/>
    <n v="2"/>
    <n v="3"/>
    <n v="7"/>
    <n v="7"/>
    <n v="0"/>
    <n v="7"/>
    <n v="0"/>
    <n v="1"/>
    <s v="25-34"/>
    <s v="Low"/>
    <s v="6-10 Years"/>
  </r>
  <r>
    <n v="1006"/>
    <n v="29"/>
    <x v="1"/>
    <s v="Travel_Rarely"/>
    <n v="332"/>
    <s v="Human Resources"/>
    <n v="17"/>
    <n v="3"/>
    <s v="Other"/>
    <n v="1419"/>
    <n v="2"/>
    <s v="Male"/>
    <n v="51"/>
    <n v="2"/>
    <n v="3"/>
    <s v="Human Resources"/>
    <n v="1"/>
    <s v="Single"/>
    <n v="7988"/>
    <n v="9769"/>
    <n v="1"/>
    <s v="No"/>
    <n v="13"/>
    <n v="3"/>
    <n v="1"/>
    <n v="80"/>
    <n v="0"/>
    <n v="10"/>
    <n v="3"/>
    <n v="2"/>
    <n v="10"/>
    <n v="9"/>
    <n v="0"/>
    <n v="9"/>
    <n v="0"/>
    <n v="1"/>
    <s v="25-34"/>
    <s v="Medium"/>
    <s v="6-10 Years"/>
  </r>
  <r>
    <n v="1007"/>
    <n v="49"/>
    <x v="0"/>
    <s v="Travel_Frequently"/>
    <n v="1475"/>
    <s v="Research &amp; Development"/>
    <n v="28"/>
    <n v="2"/>
    <s v="Life Sciences"/>
    <n v="1420"/>
    <n v="1"/>
    <s v="Male"/>
    <n v="97"/>
    <n v="2"/>
    <n v="2"/>
    <s v="Laboratory Technician"/>
    <n v="1"/>
    <s v="Single"/>
    <n v="4284"/>
    <n v="22710"/>
    <n v="3"/>
    <s v="No"/>
    <n v="20"/>
    <n v="4"/>
    <n v="1"/>
    <n v="80"/>
    <n v="0"/>
    <n v="20"/>
    <n v="2"/>
    <n v="3"/>
    <n v="4"/>
    <n v="3"/>
    <n v="1"/>
    <n v="3"/>
    <n v="1"/>
    <n v="0"/>
    <s v="45-54"/>
    <s v="Low"/>
    <s v="0-5 Years"/>
  </r>
  <r>
    <n v="1008"/>
    <n v="29"/>
    <x v="0"/>
    <s v="Travel_Frequently"/>
    <n v="337"/>
    <s v="Research &amp; Development"/>
    <n v="14"/>
    <n v="1"/>
    <s v="Other"/>
    <n v="1421"/>
    <n v="3"/>
    <s v="Female"/>
    <n v="84"/>
    <n v="3"/>
    <n v="3"/>
    <s v="Healthcare Representative"/>
    <n v="4"/>
    <s v="Single"/>
    <n v="7553"/>
    <n v="22930"/>
    <n v="0"/>
    <s v="Yes"/>
    <n v="12"/>
    <n v="3"/>
    <n v="1"/>
    <n v="80"/>
    <n v="0"/>
    <n v="9"/>
    <n v="1"/>
    <n v="3"/>
    <n v="8"/>
    <n v="7"/>
    <n v="7"/>
    <n v="7"/>
    <n v="1"/>
    <n v="0"/>
    <s v="25-34"/>
    <s v="Medium"/>
    <s v="6-10 Years"/>
  </r>
  <r>
    <n v="1009"/>
    <n v="54"/>
    <x v="1"/>
    <s v="Travel_Rarely"/>
    <n v="971"/>
    <s v="Research &amp; Development"/>
    <n v="1"/>
    <n v="3"/>
    <s v="Medical"/>
    <n v="1422"/>
    <n v="4"/>
    <s v="Female"/>
    <n v="54"/>
    <n v="3"/>
    <n v="4"/>
    <s v="Research Director"/>
    <n v="4"/>
    <s v="Single"/>
    <n v="17328"/>
    <n v="5652"/>
    <n v="6"/>
    <s v="No"/>
    <n v="19"/>
    <n v="3"/>
    <n v="4"/>
    <n v="80"/>
    <n v="0"/>
    <n v="29"/>
    <n v="3"/>
    <n v="2"/>
    <n v="20"/>
    <n v="7"/>
    <n v="12"/>
    <n v="7"/>
    <n v="0"/>
    <n v="1"/>
    <s v="45-54"/>
    <s v="High"/>
    <s v="11-20 Years"/>
  </r>
  <r>
    <n v="1010"/>
    <n v="58"/>
    <x v="1"/>
    <s v="Travel_Rarely"/>
    <n v="1055"/>
    <s v="Research &amp; Development"/>
    <n v="1"/>
    <n v="3"/>
    <s v="Medical"/>
    <n v="1423"/>
    <n v="4"/>
    <s v="Female"/>
    <n v="76"/>
    <n v="3"/>
    <n v="5"/>
    <s v="Research Director"/>
    <n v="1"/>
    <s v="Married"/>
    <n v="19701"/>
    <n v="22456"/>
    <n v="3"/>
    <s v="Yes"/>
    <n v="21"/>
    <n v="4"/>
    <n v="3"/>
    <n v="80"/>
    <n v="1"/>
    <n v="32"/>
    <n v="3"/>
    <n v="3"/>
    <n v="9"/>
    <n v="8"/>
    <n v="1"/>
    <n v="5"/>
    <n v="0"/>
    <n v="1"/>
    <s v="55+"/>
    <s v="High"/>
    <s v="6-10 Years"/>
  </r>
  <r>
    <n v="1011"/>
    <n v="55"/>
    <x v="1"/>
    <s v="Travel_Rarely"/>
    <n v="1136"/>
    <s v="Research &amp; Development"/>
    <n v="1"/>
    <n v="4"/>
    <s v="Medical"/>
    <n v="1424"/>
    <n v="2"/>
    <s v="Male"/>
    <n v="81"/>
    <n v="4"/>
    <n v="4"/>
    <s v="Research Director"/>
    <n v="4"/>
    <s v="Divorced"/>
    <n v="14732"/>
    <n v="12414"/>
    <n v="2"/>
    <s v="No"/>
    <n v="13"/>
    <n v="3"/>
    <n v="4"/>
    <n v="80"/>
    <n v="2"/>
    <n v="31"/>
    <n v="4"/>
    <n v="4"/>
    <n v="7"/>
    <n v="7"/>
    <n v="0"/>
    <n v="0"/>
    <n v="0"/>
    <n v="1"/>
    <s v="55+"/>
    <s v="Upper Medium"/>
    <s v="6-10 Years"/>
  </r>
  <r>
    <n v="1012"/>
    <n v="36"/>
    <x v="1"/>
    <s v="Travel_Rarely"/>
    <n v="1174"/>
    <s v="Sales"/>
    <n v="3"/>
    <n v="4"/>
    <s v="Marketing"/>
    <n v="1425"/>
    <n v="1"/>
    <s v="Female"/>
    <n v="99"/>
    <n v="3"/>
    <n v="2"/>
    <s v="Sales Executive"/>
    <n v="2"/>
    <s v="Single"/>
    <n v="9278"/>
    <n v="20763"/>
    <n v="3"/>
    <s v="Yes"/>
    <n v="16"/>
    <n v="3"/>
    <n v="4"/>
    <n v="80"/>
    <n v="0"/>
    <n v="15"/>
    <n v="3"/>
    <n v="3"/>
    <n v="5"/>
    <n v="4"/>
    <n v="0"/>
    <n v="1"/>
    <n v="0"/>
    <n v="1"/>
    <s v="35-44"/>
    <s v="Medium"/>
    <s v="0-5 Years"/>
  </r>
  <r>
    <n v="1013"/>
    <n v="31"/>
    <x v="0"/>
    <s v="Travel_Frequently"/>
    <n v="667"/>
    <s v="Sales"/>
    <n v="1"/>
    <n v="4"/>
    <s v="Life Sciences"/>
    <n v="1427"/>
    <n v="2"/>
    <s v="Female"/>
    <n v="50"/>
    <n v="1"/>
    <n v="1"/>
    <s v="Sales Representative"/>
    <n v="3"/>
    <s v="Single"/>
    <n v="1359"/>
    <n v="16154"/>
    <n v="1"/>
    <s v="No"/>
    <n v="12"/>
    <n v="3"/>
    <n v="2"/>
    <n v="80"/>
    <n v="0"/>
    <n v="1"/>
    <n v="3"/>
    <n v="3"/>
    <n v="1"/>
    <n v="0"/>
    <n v="0"/>
    <n v="0"/>
    <n v="1"/>
    <n v="0"/>
    <s v="25-34"/>
    <s v="Low"/>
    <s v="0-5 Years"/>
  </r>
  <r>
    <n v="1014"/>
    <n v="30"/>
    <x v="1"/>
    <s v="Travel_Rarely"/>
    <n v="855"/>
    <s v="Sales"/>
    <n v="7"/>
    <n v="4"/>
    <s v="Marketing"/>
    <n v="1428"/>
    <n v="4"/>
    <s v="Female"/>
    <n v="73"/>
    <n v="3"/>
    <n v="2"/>
    <s v="Sales Executive"/>
    <n v="1"/>
    <s v="Divorced"/>
    <n v="4779"/>
    <n v="12761"/>
    <n v="7"/>
    <s v="No"/>
    <n v="14"/>
    <n v="3"/>
    <n v="2"/>
    <n v="80"/>
    <n v="2"/>
    <n v="8"/>
    <n v="3"/>
    <n v="3"/>
    <n v="3"/>
    <n v="2"/>
    <n v="0"/>
    <n v="2"/>
    <n v="0"/>
    <n v="1"/>
    <s v="25-34"/>
    <s v="Low"/>
    <s v="0-5 Years"/>
  </r>
  <r>
    <n v="1015"/>
    <n v="31"/>
    <x v="1"/>
    <s v="Travel_Rarely"/>
    <n v="182"/>
    <s v="Research &amp; Development"/>
    <n v="8"/>
    <n v="5"/>
    <s v="Life Sciences"/>
    <n v="1430"/>
    <n v="1"/>
    <s v="Female"/>
    <n v="93"/>
    <n v="3"/>
    <n v="4"/>
    <s v="Research Director"/>
    <n v="2"/>
    <s v="Single"/>
    <n v="16422"/>
    <n v="8847"/>
    <n v="3"/>
    <s v="No"/>
    <n v="11"/>
    <n v="3"/>
    <n v="3"/>
    <n v="80"/>
    <n v="0"/>
    <n v="9"/>
    <n v="3"/>
    <n v="4"/>
    <n v="3"/>
    <n v="2"/>
    <n v="1"/>
    <n v="0"/>
    <n v="0"/>
    <n v="1"/>
    <s v="25-34"/>
    <s v="High"/>
    <s v="0-5 Years"/>
  </r>
  <r>
    <n v="1016"/>
    <n v="34"/>
    <x v="1"/>
    <s v="Travel_Frequently"/>
    <n v="560"/>
    <s v="Research &amp; Development"/>
    <n v="1"/>
    <n v="4"/>
    <s v="Other"/>
    <n v="1431"/>
    <n v="4"/>
    <s v="Male"/>
    <n v="91"/>
    <n v="3"/>
    <n v="1"/>
    <s v="Research Scientist"/>
    <n v="1"/>
    <s v="Divorced"/>
    <n v="2996"/>
    <n v="20284"/>
    <n v="5"/>
    <s v="No"/>
    <n v="14"/>
    <n v="3"/>
    <n v="3"/>
    <n v="80"/>
    <n v="2"/>
    <n v="10"/>
    <n v="2"/>
    <n v="3"/>
    <n v="4"/>
    <n v="3"/>
    <n v="1"/>
    <n v="3"/>
    <n v="0"/>
    <n v="1"/>
    <s v="25-34"/>
    <s v="Low"/>
    <s v="0-5 Years"/>
  </r>
  <r>
    <n v="1017"/>
    <n v="31"/>
    <x v="0"/>
    <s v="Travel_Rarely"/>
    <n v="202"/>
    <s v="Research &amp; Development"/>
    <n v="8"/>
    <n v="3"/>
    <s v="Life Sciences"/>
    <n v="1433"/>
    <n v="1"/>
    <s v="Female"/>
    <n v="34"/>
    <n v="2"/>
    <n v="1"/>
    <s v="Research Scientist"/>
    <n v="2"/>
    <s v="Single"/>
    <n v="1261"/>
    <n v="22262"/>
    <n v="1"/>
    <s v="No"/>
    <n v="12"/>
    <n v="3"/>
    <n v="3"/>
    <n v="80"/>
    <n v="0"/>
    <n v="1"/>
    <n v="3"/>
    <n v="4"/>
    <n v="1"/>
    <n v="0"/>
    <n v="0"/>
    <n v="0"/>
    <n v="1"/>
    <n v="0"/>
    <s v="25-34"/>
    <s v="Low"/>
    <s v="0-5 Years"/>
  </r>
  <r>
    <n v="1018"/>
    <n v="27"/>
    <x v="1"/>
    <s v="Travel_Rarely"/>
    <n v="1377"/>
    <s v="Research &amp; Development"/>
    <n v="11"/>
    <n v="1"/>
    <s v="Life Sciences"/>
    <n v="1434"/>
    <n v="2"/>
    <s v="Male"/>
    <n v="91"/>
    <n v="3"/>
    <n v="1"/>
    <s v="Laboratory Technician"/>
    <n v="1"/>
    <s v="Married"/>
    <n v="2099"/>
    <n v="7679"/>
    <n v="0"/>
    <s v="No"/>
    <n v="14"/>
    <n v="3"/>
    <n v="2"/>
    <n v="80"/>
    <n v="0"/>
    <n v="6"/>
    <n v="3"/>
    <n v="4"/>
    <n v="5"/>
    <n v="0"/>
    <n v="1"/>
    <n v="4"/>
    <n v="0"/>
    <n v="1"/>
    <s v="25-34"/>
    <s v="Low"/>
    <s v="0-5 Years"/>
  </r>
  <r>
    <n v="1019"/>
    <n v="36"/>
    <x v="1"/>
    <s v="Travel_Rarely"/>
    <n v="172"/>
    <s v="Research &amp; Development"/>
    <n v="4"/>
    <n v="4"/>
    <s v="Life Sciences"/>
    <n v="1435"/>
    <n v="1"/>
    <s v="Male"/>
    <n v="37"/>
    <n v="2"/>
    <n v="2"/>
    <s v="Laboratory Technician"/>
    <n v="4"/>
    <s v="Single"/>
    <n v="5810"/>
    <n v="22604"/>
    <n v="1"/>
    <s v="No"/>
    <n v="16"/>
    <n v="3"/>
    <n v="3"/>
    <n v="80"/>
    <n v="0"/>
    <n v="10"/>
    <n v="2"/>
    <n v="2"/>
    <n v="10"/>
    <n v="4"/>
    <n v="1"/>
    <n v="8"/>
    <n v="0"/>
    <n v="1"/>
    <s v="35-44"/>
    <s v="Medium"/>
    <s v="6-10 Years"/>
  </r>
  <r>
    <n v="1020"/>
    <n v="36"/>
    <x v="1"/>
    <s v="Travel_Rarely"/>
    <n v="329"/>
    <s v="Sales"/>
    <n v="16"/>
    <n v="4"/>
    <s v="Marketing"/>
    <n v="1436"/>
    <n v="3"/>
    <s v="Female"/>
    <n v="98"/>
    <n v="2"/>
    <n v="2"/>
    <s v="Sales Executive"/>
    <n v="1"/>
    <s v="Married"/>
    <n v="5647"/>
    <n v="13494"/>
    <n v="4"/>
    <s v="No"/>
    <n v="13"/>
    <n v="3"/>
    <n v="1"/>
    <n v="80"/>
    <n v="2"/>
    <n v="11"/>
    <n v="3"/>
    <n v="2"/>
    <n v="3"/>
    <n v="2"/>
    <n v="0"/>
    <n v="2"/>
    <n v="0"/>
    <n v="1"/>
    <s v="35-44"/>
    <s v="Medium"/>
    <s v="0-5 Years"/>
  </r>
  <r>
    <n v="1021"/>
    <n v="47"/>
    <x v="1"/>
    <s v="Travel_Rarely"/>
    <n v="465"/>
    <s v="Research &amp; Development"/>
    <n v="1"/>
    <n v="3"/>
    <s v="Technical Degree"/>
    <n v="1438"/>
    <n v="1"/>
    <s v="Male"/>
    <n v="74"/>
    <n v="3"/>
    <n v="1"/>
    <s v="Research Scientist"/>
    <n v="4"/>
    <s v="Married"/>
    <n v="3420"/>
    <n v="10205"/>
    <n v="7"/>
    <s v="No"/>
    <n v="12"/>
    <n v="3"/>
    <n v="3"/>
    <n v="80"/>
    <n v="1"/>
    <n v="17"/>
    <n v="2"/>
    <n v="2"/>
    <n v="6"/>
    <n v="5"/>
    <n v="1"/>
    <n v="2"/>
    <n v="0"/>
    <n v="1"/>
    <s v="45-54"/>
    <s v="Low"/>
    <s v="6-10 Years"/>
  </r>
  <r>
    <n v="1022"/>
    <n v="25"/>
    <x v="0"/>
    <s v="Travel_Rarely"/>
    <n v="383"/>
    <s v="Sales"/>
    <n v="9"/>
    <n v="2"/>
    <s v="Life Sciences"/>
    <n v="1439"/>
    <n v="1"/>
    <s v="Male"/>
    <n v="68"/>
    <n v="2"/>
    <n v="1"/>
    <s v="Sales Representative"/>
    <n v="1"/>
    <s v="Married"/>
    <n v="4400"/>
    <n v="15182"/>
    <n v="3"/>
    <s v="No"/>
    <n v="12"/>
    <n v="3"/>
    <n v="1"/>
    <n v="80"/>
    <n v="0"/>
    <n v="6"/>
    <n v="2"/>
    <n v="3"/>
    <n v="3"/>
    <n v="2"/>
    <n v="2"/>
    <n v="2"/>
    <n v="1"/>
    <n v="0"/>
    <s v="25-34"/>
    <s v="Low"/>
    <s v="0-5 Years"/>
  </r>
  <r>
    <n v="1023"/>
    <n v="37"/>
    <x v="1"/>
    <s v="Non-Travel"/>
    <n v="1413"/>
    <s v="Research &amp; Development"/>
    <n v="5"/>
    <n v="2"/>
    <s v="Technical Degree"/>
    <n v="1440"/>
    <n v="3"/>
    <s v="Male"/>
    <n v="84"/>
    <n v="4"/>
    <n v="1"/>
    <s v="Laboratory Technician"/>
    <n v="3"/>
    <s v="Single"/>
    <n v="3500"/>
    <n v="25470"/>
    <n v="0"/>
    <s v="No"/>
    <n v="14"/>
    <n v="3"/>
    <n v="1"/>
    <n v="80"/>
    <n v="0"/>
    <n v="7"/>
    <n v="2"/>
    <n v="1"/>
    <n v="6"/>
    <n v="5"/>
    <n v="1"/>
    <n v="3"/>
    <n v="0"/>
    <n v="1"/>
    <s v="35-44"/>
    <s v="Low"/>
    <s v="6-10 Years"/>
  </r>
  <r>
    <n v="1024"/>
    <n v="56"/>
    <x v="1"/>
    <s v="Travel_Rarely"/>
    <n v="1255"/>
    <s v="Research &amp; Development"/>
    <n v="1"/>
    <n v="2"/>
    <s v="Life Sciences"/>
    <n v="1441"/>
    <n v="1"/>
    <s v="Female"/>
    <n v="90"/>
    <n v="3"/>
    <n v="1"/>
    <s v="Research Scientist"/>
    <n v="1"/>
    <s v="Married"/>
    <n v="2066"/>
    <n v="10494"/>
    <n v="2"/>
    <s v="No"/>
    <n v="22"/>
    <n v="4"/>
    <n v="4"/>
    <n v="80"/>
    <n v="1"/>
    <n v="5"/>
    <n v="3"/>
    <n v="4"/>
    <n v="3"/>
    <n v="2"/>
    <n v="1"/>
    <n v="0"/>
    <n v="0"/>
    <n v="1"/>
    <s v="55+"/>
    <s v="Low"/>
    <s v="0-5 Years"/>
  </r>
  <r>
    <n v="1025"/>
    <n v="47"/>
    <x v="1"/>
    <s v="Travel_Rarely"/>
    <n v="359"/>
    <s v="Research &amp; Development"/>
    <n v="2"/>
    <n v="4"/>
    <s v="Medical"/>
    <n v="1443"/>
    <n v="1"/>
    <s v="Female"/>
    <n v="82"/>
    <n v="3"/>
    <n v="4"/>
    <s v="Research Director"/>
    <n v="3"/>
    <s v="Married"/>
    <n v="17169"/>
    <n v="26703"/>
    <n v="3"/>
    <s v="No"/>
    <n v="19"/>
    <n v="3"/>
    <n v="2"/>
    <n v="80"/>
    <n v="2"/>
    <n v="26"/>
    <n v="2"/>
    <n v="4"/>
    <n v="20"/>
    <n v="17"/>
    <n v="5"/>
    <n v="6"/>
    <n v="0"/>
    <n v="1"/>
    <s v="45-54"/>
    <s v="High"/>
    <s v="11-20 Years"/>
  </r>
  <r>
    <n v="1026"/>
    <n v="24"/>
    <x v="1"/>
    <s v="Travel_Rarely"/>
    <n v="1476"/>
    <s v="Sales"/>
    <n v="4"/>
    <n v="1"/>
    <s v="Medical"/>
    <n v="1445"/>
    <n v="4"/>
    <s v="Female"/>
    <n v="42"/>
    <n v="3"/>
    <n v="2"/>
    <s v="Sales Executive"/>
    <n v="3"/>
    <s v="Married"/>
    <n v="4162"/>
    <n v="15211"/>
    <n v="1"/>
    <s v="Yes"/>
    <n v="12"/>
    <n v="3"/>
    <n v="3"/>
    <n v="80"/>
    <n v="2"/>
    <n v="5"/>
    <n v="3"/>
    <n v="3"/>
    <n v="5"/>
    <n v="4"/>
    <n v="0"/>
    <n v="3"/>
    <n v="0"/>
    <n v="1"/>
    <s v="Under 25"/>
    <s v="Low"/>
    <s v="0-5 Years"/>
  </r>
  <r>
    <n v="1027"/>
    <n v="32"/>
    <x v="1"/>
    <s v="Travel_Rarely"/>
    <n v="601"/>
    <s v="Sales"/>
    <n v="7"/>
    <n v="5"/>
    <s v="Marketing"/>
    <n v="1446"/>
    <n v="4"/>
    <s v="Male"/>
    <n v="97"/>
    <n v="3"/>
    <n v="2"/>
    <s v="Sales Executive"/>
    <n v="4"/>
    <s v="Married"/>
    <n v="9204"/>
    <n v="23343"/>
    <n v="4"/>
    <s v="No"/>
    <n v="12"/>
    <n v="3"/>
    <n v="3"/>
    <n v="80"/>
    <n v="1"/>
    <n v="7"/>
    <n v="3"/>
    <n v="2"/>
    <n v="4"/>
    <n v="3"/>
    <n v="0"/>
    <n v="3"/>
    <n v="0"/>
    <n v="1"/>
    <s v="25-34"/>
    <s v="Medium"/>
    <s v="0-5 Years"/>
  </r>
  <r>
    <n v="1028"/>
    <n v="34"/>
    <x v="1"/>
    <s v="Travel_Rarely"/>
    <n v="401"/>
    <s v="Research &amp; Development"/>
    <n v="1"/>
    <n v="3"/>
    <s v="Life Sciences"/>
    <n v="1447"/>
    <n v="4"/>
    <s v="Female"/>
    <n v="86"/>
    <n v="2"/>
    <n v="1"/>
    <s v="Laboratory Technician"/>
    <n v="2"/>
    <s v="Married"/>
    <n v="3294"/>
    <n v="3708"/>
    <n v="5"/>
    <s v="No"/>
    <n v="17"/>
    <n v="3"/>
    <n v="1"/>
    <n v="80"/>
    <n v="1"/>
    <n v="7"/>
    <n v="2"/>
    <n v="2"/>
    <n v="5"/>
    <n v="4"/>
    <n v="0"/>
    <n v="2"/>
    <n v="0"/>
    <n v="1"/>
    <s v="25-34"/>
    <s v="Low"/>
    <s v="0-5 Years"/>
  </r>
  <r>
    <n v="1029"/>
    <n v="41"/>
    <x v="1"/>
    <s v="Travel_Rarely"/>
    <n v="1283"/>
    <s v="Research &amp; Development"/>
    <n v="5"/>
    <n v="5"/>
    <s v="Medical"/>
    <n v="1448"/>
    <n v="2"/>
    <s v="Male"/>
    <n v="90"/>
    <n v="4"/>
    <n v="1"/>
    <s v="Research Scientist"/>
    <n v="3"/>
    <s v="Married"/>
    <n v="2127"/>
    <n v="5561"/>
    <n v="2"/>
    <s v="Yes"/>
    <n v="12"/>
    <n v="3"/>
    <n v="1"/>
    <n v="80"/>
    <n v="0"/>
    <n v="7"/>
    <n v="5"/>
    <n v="2"/>
    <n v="4"/>
    <n v="2"/>
    <n v="0"/>
    <n v="3"/>
    <n v="0"/>
    <n v="1"/>
    <s v="35-44"/>
    <s v="Low"/>
    <s v="0-5 Years"/>
  </r>
  <r>
    <n v="1030"/>
    <n v="40"/>
    <x v="1"/>
    <s v="Non-Travel"/>
    <n v="663"/>
    <s v="Research &amp; Development"/>
    <n v="9"/>
    <n v="4"/>
    <s v="Other"/>
    <n v="1449"/>
    <n v="3"/>
    <s v="Male"/>
    <n v="81"/>
    <n v="3"/>
    <n v="2"/>
    <s v="Laboratory Technician"/>
    <n v="3"/>
    <s v="Divorced"/>
    <n v="3975"/>
    <n v="23099"/>
    <n v="3"/>
    <s v="No"/>
    <n v="11"/>
    <n v="3"/>
    <n v="3"/>
    <n v="80"/>
    <n v="2"/>
    <n v="11"/>
    <n v="2"/>
    <n v="4"/>
    <n v="8"/>
    <n v="7"/>
    <n v="0"/>
    <n v="7"/>
    <n v="0"/>
    <n v="1"/>
    <s v="35-44"/>
    <s v="Low"/>
    <s v="6-10 Years"/>
  </r>
  <r>
    <n v="1031"/>
    <n v="31"/>
    <x v="1"/>
    <s v="Travel_Rarely"/>
    <n v="326"/>
    <s v="Sales"/>
    <n v="8"/>
    <n v="2"/>
    <s v="Life Sciences"/>
    <n v="1453"/>
    <n v="1"/>
    <s v="Male"/>
    <n v="31"/>
    <n v="3"/>
    <n v="3"/>
    <s v="Sales Executive"/>
    <n v="4"/>
    <s v="Divorced"/>
    <n v="10793"/>
    <n v="8386"/>
    <n v="1"/>
    <s v="No"/>
    <n v="18"/>
    <n v="3"/>
    <n v="1"/>
    <n v="80"/>
    <n v="1"/>
    <n v="13"/>
    <n v="5"/>
    <n v="3"/>
    <n v="13"/>
    <n v="7"/>
    <n v="9"/>
    <n v="9"/>
    <n v="0"/>
    <n v="1"/>
    <s v="25-34"/>
    <s v="Upper Medium"/>
    <s v="11-20 Years"/>
  </r>
  <r>
    <n v="1032"/>
    <n v="46"/>
    <x v="0"/>
    <s v="Travel_Rarely"/>
    <n v="377"/>
    <s v="Sales"/>
    <n v="9"/>
    <n v="3"/>
    <s v="Marketing"/>
    <n v="1457"/>
    <n v="1"/>
    <s v="Male"/>
    <n v="52"/>
    <n v="3"/>
    <n v="3"/>
    <s v="Sales Executive"/>
    <n v="4"/>
    <s v="Divorced"/>
    <n v="10096"/>
    <n v="15986"/>
    <n v="4"/>
    <s v="No"/>
    <n v="11"/>
    <n v="3"/>
    <n v="1"/>
    <n v="80"/>
    <n v="1"/>
    <n v="28"/>
    <n v="1"/>
    <n v="4"/>
    <n v="7"/>
    <n v="7"/>
    <n v="4"/>
    <n v="3"/>
    <n v="1"/>
    <n v="0"/>
    <s v="45-54"/>
    <s v="Upper Medium"/>
    <s v="6-10 Years"/>
  </r>
  <r>
    <n v="1033"/>
    <n v="39"/>
    <x v="0"/>
    <s v="Non-Travel"/>
    <n v="592"/>
    <s v="Research &amp; Development"/>
    <n v="2"/>
    <n v="3"/>
    <s v="Life Sciences"/>
    <n v="1458"/>
    <n v="1"/>
    <s v="Female"/>
    <n v="54"/>
    <n v="2"/>
    <n v="1"/>
    <s v="Laboratory Technician"/>
    <n v="1"/>
    <s v="Single"/>
    <n v="3646"/>
    <n v="17181"/>
    <n v="2"/>
    <s v="Yes"/>
    <n v="23"/>
    <n v="4"/>
    <n v="2"/>
    <n v="80"/>
    <n v="0"/>
    <n v="11"/>
    <n v="2"/>
    <n v="4"/>
    <n v="1"/>
    <n v="0"/>
    <n v="0"/>
    <n v="0"/>
    <n v="1"/>
    <n v="0"/>
    <s v="35-44"/>
    <s v="Low"/>
    <s v="0-5 Years"/>
  </r>
  <r>
    <n v="1034"/>
    <n v="31"/>
    <x v="0"/>
    <s v="Travel_Frequently"/>
    <n v="1445"/>
    <s v="Research &amp; Development"/>
    <n v="1"/>
    <n v="5"/>
    <s v="Life Sciences"/>
    <n v="1459"/>
    <n v="3"/>
    <s v="Female"/>
    <n v="100"/>
    <n v="4"/>
    <n v="3"/>
    <s v="Manufacturing Director"/>
    <n v="2"/>
    <s v="Single"/>
    <n v="7446"/>
    <n v="8931"/>
    <n v="1"/>
    <s v="No"/>
    <n v="11"/>
    <n v="3"/>
    <n v="1"/>
    <n v="80"/>
    <n v="0"/>
    <n v="10"/>
    <n v="2"/>
    <n v="3"/>
    <n v="10"/>
    <n v="8"/>
    <n v="4"/>
    <n v="7"/>
    <n v="1"/>
    <n v="0"/>
    <s v="25-34"/>
    <s v="Medium"/>
    <s v="6-10 Years"/>
  </r>
  <r>
    <n v="1035"/>
    <n v="45"/>
    <x v="1"/>
    <s v="Travel_Rarely"/>
    <n v="1038"/>
    <s v="Research &amp; Development"/>
    <n v="20"/>
    <n v="3"/>
    <s v="Medical"/>
    <n v="1460"/>
    <n v="2"/>
    <s v="Male"/>
    <n v="95"/>
    <n v="1"/>
    <n v="3"/>
    <s v="Healthcare Representative"/>
    <n v="1"/>
    <s v="Divorced"/>
    <n v="10851"/>
    <n v="19863"/>
    <n v="2"/>
    <s v="Yes"/>
    <n v="18"/>
    <n v="3"/>
    <n v="2"/>
    <n v="80"/>
    <n v="1"/>
    <n v="24"/>
    <n v="2"/>
    <n v="3"/>
    <n v="7"/>
    <n v="7"/>
    <n v="0"/>
    <n v="7"/>
    <n v="0"/>
    <n v="1"/>
    <s v="45-54"/>
    <s v="Upper Medium"/>
    <s v="6-10 Years"/>
  </r>
  <r>
    <n v="1036"/>
    <n v="31"/>
    <x v="1"/>
    <s v="Travel_Rarely"/>
    <n v="1398"/>
    <s v="Human Resources"/>
    <n v="8"/>
    <n v="2"/>
    <s v="Medical"/>
    <n v="1461"/>
    <n v="4"/>
    <s v="Female"/>
    <n v="96"/>
    <n v="4"/>
    <n v="1"/>
    <s v="Human Resources"/>
    <n v="2"/>
    <s v="Single"/>
    <n v="2109"/>
    <n v="24609"/>
    <n v="9"/>
    <s v="No"/>
    <n v="18"/>
    <n v="3"/>
    <n v="4"/>
    <n v="80"/>
    <n v="0"/>
    <n v="8"/>
    <n v="3"/>
    <n v="3"/>
    <n v="3"/>
    <n v="2"/>
    <n v="0"/>
    <n v="2"/>
    <n v="0"/>
    <n v="1"/>
    <s v="25-34"/>
    <s v="Low"/>
    <s v="0-5 Years"/>
  </r>
  <r>
    <n v="1037"/>
    <n v="31"/>
    <x v="0"/>
    <s v="Travel_Frequently"/>
    <n v="523"/>
    <s v="Research &amp; Development"/>
    <n v="2"/>
    <n v="3"/>
    <s v="Life Sciences"/>
    <n v="1464"/>
    <n v="2"/>
    <s v="Male"/>
    <n v="94"/>
    <n v="3"/>
    <n v="1"/>
    <s v="Laboratory Technician"/>
    <n v="4"/>
    <s v="Married"/>
    <n v="3722"/>
    <n v="21081"/>
    <n v="6"/>
    <s v="Yes"/>
    <n v="13"/>
    <n v="3"/>
    <n v="3"/>
    <n v="80"/>
    <n v="1"/>
    <n v="7"/>
    <n v="2"/>
    <n v="1"/>
    <n v="2"/>
    <n v="2"/>
    <n v="2"/>
    <n v="2"/>
    <n v="1"/>
    <n v="0"/>
    <s v="25-34"/>
    <s v="Low"/>
    <s v="0-5 Years"/>
  </r>
  <r>
    <n v="1038"/>
    <n v="45"/>
    <x v="1"/>
    <s v="Travel_Rarely"/>
    <n v="1448"/>
    <s v="Research &amp; Development"/>
    <n v="29"/>
    <n v="3"/>
    <s v="Technical Degree"/>
    <n v="1465"/>
    <n v="2"/>
    <s v="Male"/>
    <n v="55"/>
    <n v="3"/>
    <n v="3"/>
    <s v="Manufacturing Director"/>
    <n v="4"/>
    <s v="Married"/>
    <n v="9380"/>
    <n v="14720"/>
    <n v="4"/>
    <s v="Yes"/>
    <n v="18"/>
    <n v="3"/>
    <n v="4"/>
    <n v="80"/>
    <n v="2"/>
    <n v="10"/>
    <n v="4"/>
    <n v="4"/>
    <n v="3"/>
    <n v="1"/>
    <n v="1"/>
    <n v="2"/>
    <n v="0"/>
    <n v="1"/>
    <s v="45-54"/>
    <s v="Medium"/>
    <s v="0-5 Years"/>
  </r>
  <r>
    <n v="1039"/>
    <n v="48"/>
    <x v="1"/>
    <s v="Travel_Rarely"/>
    <n v="1221"/>
    <s v="Sales"/>
    <n v="7"/>
    <n v="3"/>
    <s v="Marketing"/>
    <n v="1466"/>
    <n v="3"/>
    <s v="Male"/>
    <n v="96"/>
    <n v="3"/>
    <n v="2"/>
    <s v="Sales Executive"/>
    <n v="1"/>
    <s v="Divorced"/>
    <n v="5486"/>
    <n v="24795"/>
    <n v="4"/>
    <s v="No"/>
    <n v="11"/>
    <n v="3"/>
    <n v="1"/>
    <n v="80"/>
    <n v="3"/>
    <n v="15"/>
    <n v="3"/>
    <n v="3"/>
    <n v="2"/>
    <n v="2"/>
    <n v="2"/>
    <n v="2"/>
    <n v="0"/>
    <n v="1"/>
    <s v="45-54"/>
    <s v="Medium"/>
    <s v="0-5 Years"/>
  </r>
  <r>
    <n v="1040"/>
    <n v="34"/>
    <x v="0"/>
    <s v="Travel_Rarely"/>
    <n v="1107"/>
    <s v="Human Resources"/>
    <n v="9"/>
    <n v="4"/>
    <s v="Technical Degree"/>
    <n v="1467"/>
    <n v="1"/>
    <s v="Female"/>
    <n v="52"/>
    <n v="3"/>
    <n v="1"/>
    <s v="Human Resources"/>
    <n v="3"/>
    <s v="Married"/>
    <n v="2742"/>
    <n v="3072"/>
    <n v="1"/>
    <s v="No"/>
    <n v="15"/>
    <n v="3"/>
    <n v="4"/>
    <n v="80"/>
    <n v="0"/>
    <n v="2"/>
    <n v="0"/>
    <n v="3"/>
    <n v="2"/>
    <n v="2"/>
    <n v="2"/>
    <n v="2"/>
    <n v="1"/>
    <n v="0"/>
    <s v="25-34"/>
    <s v="Low"/>
    <s v="0-5 Years"/>
  </r>
  <r>
    <n v="1041"/>
    <n v="40"/>
    <x v="1"/>
    <s v="Non-Travel"/>
    <n v="218"/>
    <s v="Research &amp; Development"/>
    <n v="8"/>
    <n v="1"/>
    <s v="Medical"/>
    <n v="1468"/>
    <n v="4"/>
    <s v="Male"/>
    <n v="55"/>
    <n v="2"/>
    <n v="3"/>
    <s v="Research Director"/>
    <n v="2"/>
    <s v="Divorced"/>
    <n v="13757"/>
    <n v="25178"/>
    <n v="2"/>
    <s v="No"/>
    <n v="11"/>
    <n v="3"/>
    <n v="3"/>
    <n v="80"/>
    <n v="1"/>
    <n v="16"/>
    <n v="5"/>
    <n v="3"/>
    <n v="9"/>
    <n v="8"/>
    <n v="4"/>
    <n v="8"/>
    <n v="0"/>
    <n v="1"/>
    <s v="35-44"/>
    <s v="Upper Medium"/>
    <s v="6-10 Years"/>
  </r>
  <r>
    <n v="1042"/>
    <n v="28"/>
    <x v="1"/>
    <s v="Travel_Rarely"/>
    <n v="866"/>
    <s v="Sales"/>
    <n v="5"/>
    <n v="3"/>
    <s v="Medical"/>
    <n v="1469"/>
    <n v="4"/>
    <s v="Male"/>
    <n v="84"/>
    <n v="3"/>
    <n v="2"/>
    <s v="Sales Executive"/>
    <n v="1"/>
    <s v="Single"/>
    <n v="8463"/>
    <n v="23490"/>
    <n v="0"/>
    <s v="No"/>
    <n v="18"/>
    <n v="3"/>
    <n v="4"/>
    <n v="80"/>
    <n v="0"/>
    <n v="6"/>
    <n v="4"/>
    <n v="3"/>
    <n v="5"/>
    <n v="4"/>
    <n v="1"/>
    <n v="3"/>
    <n v="0"/>
    <n v="1"/>
    <s v="25-34"/>
    <s v="Medium"/>
    <s v="0-5 Years"/>
  </r>
  <r>
    <n v="1043"/>
    <n v="44"/>
    <x v="1"/>
    <s v="Non-Travel"/>
    <n v="981"/>
    <s v="Research &amp; Development"/>
    <n v="5"/>
    <n v="3"/>
    <s v="Life Sciences"/>
    <n v="1471"/>
    <n v="3"/>
    <s v="Male"/>
    <n v="90"/>
    <n v="2"/>
    <n v="1"/>
    <s v="Laboratory Technician"/>
    <n v="3"/>
    <s v="Single"/>
    <n v="3162"/>
    <n v="7973"/>
    <n v="3"/>
    <s v="No"/>
    <n v="14"/>
    <n v="3"/>
    <n v="4"/>
    <n v="80"/>
    <n v="0"/>
    <n v="7"/>
    <n v="5"/>
    <n v="3"/>
    <n v="5"/>
    <n v="2"/>
    <n v="0"/>
    <n v="3"/>
    <n v="0"/>
    <n v="1"/>
    <s v="35-44"/>
    <s v="Low"/>
    <s v="0-5 Years"/>
  </r>
  <r>
    <n v="1044"/>
    <n v="53"/>
    <x v="1"/>
    <s v="Travel_Rarely"/>
    <n v="447"/>
    <s v="Research &amp; Development"/>
    <n v="2"/>
    <n v="3"/>
    <s v="Medical"/>
    <n v="1472"/>
    <n v="4"/>
    <s v="Male"/>
    <n v="39"/>
    <n v="4"/>
    <n v="4"/>
    <s v="Research Director"/>
    <n v="2"/>
    <s v="Single"/>
    <n v="16598"/>
    <n v="19764"/>
    <n v="4"/>
    <s v="No"/>
    <n v="12"/>
    <n v="3"/>
    <n v="2"/>
    <n v="80"/>
    <n v="0"/>
    <n v="35"/>
    <n v="2"/>
    <n v="2"/>
    <n v="9"/>
    <n v="8"/>
    <n v="8"/>
    <n v="8"/>
    <n v="0"/>
    <n v="1"/>
    <s v="45-54"/>
    <s v="High"/>
    <s v="6-10 Years"/>
  </r>
  <r>
    <n v="1045"/>
    <n v="49"/>
    <x v="1"/>
    <s v="Travel_Rarely"/>
    <n v="1495"/>
    <s v="Research &amp; Development"/>
    <n v="5"/>
    <n v="4"/>
    <s v="Technical Degree"/>
    <n v="1473"/>
    <n v="1"/>
    <s v="Male"/>
    <n v="96"/>
    <n v="3"/>
    <n v="2"/>
    <s v="Healthcare Representative"/>
    <n v="3"/>
    <s v="Married"/>
    <n v="6651"/>
    <n v="21534"/>
    <n v="2"/>
    <s v="No"/>
    <n v="14"/>
    <n v="3"/>
    <n v="2"/>
    <n v="80"/>
    <n v="1"/>
    <n v="20"/>
    <n v="0"/>
    <n v="2"/>
    <n v="3"/>
    <n v="2"/>
    <n v="1"/>
    <n v="2"/>
    <n v="0"/>
    <n v="1"/>
    <s v="45-54"/>
    <s v="Medium"/>
    <s v="0-5 Years"/>
  </r>
  <r>
    <n v="1046"/>
    <n v="40"/>
    <x v="1"/>
    <s v="Travel_Rarely"/>
    <n v="896"/>
    <s v="Research &amp; Development"/>
    <n v="2"/>
    <n v="3"/>
    <s v="Medical"/>
    <n v="1474"/>
    <n v="3"/>
    <s v="Male"/>
    <n v="68"/>
    <n v="3"/>
    <n v="1"/>
    <s v="Research Scientist"/>
    <n v="3"/>
    <s v="Divorced"/>
    <n v="2345"/>
    <n v="8045"/>
    <n v="2"/>
    <s v="No"/>
    <n v="14"/>
    <n v="3"/>
    <n v="3"/>
    <n v="80"/>
    <n v="1"/>
    <n v="8"/>
    <n v="3"/>
    <n v="4"/>
    <n v="3"/>
    <n v="1"/>
    <n v="1"/>
    <n v="2"/>
    <n v="0"/>
    <n v="1"/>
    <s v="35-44"/>
    <s v="Low"/>
    <s v="0-5 Years"/>
  </r>
  <r>
    <n v="1047"/>
    <n v="44"/>
    <x v="1"/>
    <s v="Travel_Rarely"/>
    <n v="1467"/>
    <s v="Research &amp; Development"/>
    <n v="20"/>
    <n v="3"/>
    <s v="Life Sciences"/>
    <n v="1475"/>
    <n v="4"/>
    <s v="Male"/>
    <n v="49"/>
    <n v="3"/>
    <n v="1"/>
    <s v="Research Scientist"/>
    <n v="2"/>
    <s v="Single"/>
    <n v="3420"/>
    <n v="21158"/>
    <n v="1"/>
    <s v="No"/>
    <n v="13"/>
    <n v="3"/>
    <n v="3"/>
    <n v="80"/>
    <n v="0"/>
    <n v="6"/>
    <n v="3"/>
    <n v="2"/>
    <n v="5"/>
    <n v="2"/>
    <n v="1"/>
    <n v="3"/>
    <n v="0"/>
    <n v="1"/>
    <s v="35-44"/>
    <s v="Low"/>
    <s v="0-5 Years"/>
  </r>
  <r>
    <n v="1048"/>
    <n v="33"/>
    <x v="1"/>
    <s v="Travel_Frequently"/>
    <n v="430"/>
    <s v="Sales"/>
    <n v="7"/>
    <n v="3"/>
    <s v="Medical"/>
    <n v="1477"/>
    <n v="4"/>
    <s v="Male"/>
    <n v="54"/>
    <n v="3"/>
    <n v="2"/>
    <s v="Sales Executive"/>
    <n v="1"/>
    <s v="Married"/>
    <n v="4373"/>
    <n v="17456"/>
    <n v="0"/>
    <s v="No"/>
    <n v="14"/>
    <n v="3"/>
    <n v="1"/>
    <n v="80"/>
    <n v="2"/>
    <n v="5"/>
    <n v="2"/>
    <n v="3"/>
    <n v="4"/>
    <n v="3"/>
    <n v="0"/>
    <n v="3"/>
    <n v="0"/>
    <n v="1"/>
    <s v="25-34"/>
    <s v="Low"/>
    <s v="0-5 Years"/>
  </r>
  <r>
    <n v="1049"/>
    <n v="34"/>
    <x v="1"/>
    <s v="Travel_Rarely"/>
    <n v="1326"/>
    <s v="Sales"/>
    <n v="3"/>
    <n v="3"/>
    <s v="Other"/>
    <n v="1478"/>
    <n v="4"/>
    <s v="Male"/>
    <n v="81"/>
    <n v="1"/>
    <n v="2"/>
    <s v="Sales Executive"/>
    <n v="1"/>
    <s v="Single"/>
    <n v="4759"/>
    <n v="15891"/>
    <n v="3"/>
    <s v="No"/>
    <n v="18"/>
    <n v="3"/>
    <n v="4"/>
    <n v="80"/>
    <n v="0"/>
    <n v="15"/>
    <n v="2"/>
    <n v="3"/>
    <n v="13"/>
    <n v="9"/>
    <n v="3"/>
    <n v="12"/>
    <n v="0"/>
    <n v="1"/>
    <s v="25-34"/>
    <s v="Low"/>
    <s v="11-20 Years"/>
  </r>
  <r>
    <n v="1050"/>
    <n v="30"/>
    <x v="1"/>
    <s v="Travel_Rarely"/>
    <n v="1358"/>
    <s v="Sales"/>
    <n v="16"/>
    <n v="1"/>
    <s v="Life Sciences"/>
    <n v="1479"/>
    <n v="4"/>
    <s v="Male"/>
    <n v="96"/>
    <n v="3"/>
    <n v="2"/>
    <s v="Sales Executive"/>
    <n v="3"/>
    <s v="Married"/>
    <n v="5301"/>
    <n v="2939"/>
    <n v="8"/>
    <s v="No"/>
    <n v="15"/>
    <n v="3"/>
    <n v="3"/>
    <n v="80"/>
    <n v="2"/>
    <n v="4"/>
    <n v="2"/>
    <n v="2"/>
    <n v="2"/>
    <n v="1"/>
    <n v="2"/>
    <n v="2"/>
    <n v="0"/>
    <n v="1"/>
    <s v="25-34"/>
    <s v="Medium"/>
    <s v="0-5 Years"/>
  </r>
  <r>
    <n v="1051"/>
    <n v="42"/>
    <x v="1"/>
    <s v="Travel_Frequently"/>
    <n v="748"/>
    <s v="Research &amp; Development"/>
    <n v="9"/>
    <n v="2"/>
    <s v="Medical"/>
    <n v="1480"/>
    <n v="1"/>
    <s v="Female"/>
    <n v="74"/>
    <n v="3"/>
    <n v="1"/>
    <s v="Laboratory Technician"/>
    <n v="4"/>
    <s v="Single"/>
    <n v="3673"/>
    <n v="16458"/>
    <n v="1"/>
    <s v="No"/>
    <n v="13"/>
    <n v="3"/>
    <n v="3"/>
    <n v="80"/>
    <n v="0"/>
    <n v="12"/>
    <n v="3"/>
    <n v="3"/>
    <n v="12"/>
    <n v="9"/>
    <n v="5"/>
    <n v="8"/>
    <n v="0"/>
    <n v="1"/>
    <s v="35-44"/>
    <s v="Low"/>
    <s v="11-20 Years"/>
  </r>
  <r>
    <n v="1052"/>
    <n v="44"/>
    <x v="1"/>
    <s v="Travel_Frequently"/>
    <n v="383"/>
    <s v="Sales"/>
    <n v="1"/>
    <n v="5"/>
    <s v="Marketing"/>
    <n v="1481"/>
    <n v="1"/>
    <s v="Female"/>
    <n v="79"/>
    <n v="3"/>
    <n v="2"/>
    <s v="Sales Executive"/>
    <n v="3"/>
    <s v="Married"/>
    <n v="4768"/>
    <n v="9282"/>
    <n v="7"/>
    <s v="No"/>
    <n v="12"/>
    <n v="3"/>
    <n v="3"/>
    <n v="80"/>
    <n v="1"/>
    <n v="11"/>
    <n v="4"/>
    <n v="2"/>
    <n v="1"/>
    <n v="0"/>
    <n v="0"/>
    <n v="0"/>
    <n v="0"/>
    <n v="1"/>
    <s v="35-44"/>
    <s v="Low"/>
    <s v="0-5 Years"/>
  </r>
  <r>
    <n v="1053"/>
    <n v="30"/>
    <x v="1"/>
    <s v="Non-Travel"/>
    <n v="990"/>
    <s v="Research &amp; Development"/>
    <n v="7"/>
    <n v="3"/>
    <s v="Technical Degree"/>
    <n v="1482"/>
    <n v="3"/>
    <s v="Male"/>
    <n v="64"/>
    <n v="3"/>
    <n v="1"/>
    <s v="Research Scientist"/>
    <n v="3"/>
    <s v="Divorced"/>
    <n v="1274"/>
    <n v="7152"/>
    <n v="1"/>
    <s v="No"/>
    <n v="13"/>
    <n v="3"/>
    <n v="2"/>
    <n v="80"/>
    <n v="2"/>
    <n v="1"/>
    <n v="2"/>
    <n v="2"/>
    <n v="1"/>
    <n v="0"/>
    <n v="0"/>
    <n v="0"/>
    <n v="0"/>
    <n v="1"/>
    <s v="25-34"/>
    <s v="Low"/>
    <s v="0-5 Years"/>
  </r>
  <r>
    <n v="1054"/>
    <n v="57"/>
    <x v="1"/>
    <s v="Travel_Rarely"/>
    <n v="405"/>
    <s v="Research &amp; Development"/>
    <n v="1"/>
    <n v="2"/>
    <s v="Life Sciences"/>
    <n v="1483"/>
    <n v="2"/>
    <s v="Male"/>
    <n v="93"/>
    <n v="4"/>
    <n v="2"/>
    <s v="Research Scientist"/>
    <n v="3"/>
    <s v="Married"/>
    <n v="4900"/>
    <n v="2721"/>
    <n v="0"/>
    <s v="No"/>
    <n v="24"/>
    <n v="4"/>
    <n v="1"/>
    <n v="80"/>
    <n v="1"/>
    <n v="13"/>
    <n v="2"/>
    <n v="2"/>
    <n v="12"/>
    <n v="9"/>
    <n v="2"/>
    <n v="8"/>
    <n v="0"/>
    <n v="1"/>
    <s v="55+"/>
    <s v="Low"/>
    <s v="11-20 Years"/>
  </r>
  <r>
    <n v="1055"/>
    <n v="49"/>
    <x v="1"/>
    <s v="Travel_Rarely"/>
    <n v="1490"/>
    <s v="Research &amp; Development"/>
    <n v="7"/>
    <n v="4"/>
    <s v="Life Sciences"/>
    <n v="1484"/>
    <n v="3"/>
    <s v="Male"/>
    <n v="35"/>
    <n v="3"/>
    <n v="3"/>
    <s v="Healthcare Representative"/>
    <n v="2"/>
    <s v="Divorced"/>
    <n v="10466"/>
    <n v="20948"/>
    <n v="3"/>
    <s v="No"/>
    <n v="14"/>
    <n v="3"/>
    <n v="2"/>
    <n v="80"/>
    <n v="2"/>
    <n v="29"/>
    <n v="3"/>
    <n v="3"/>
    <n v="8"/>
    <n v="7"/>
    <n v="0"/>
    <n v="7"/>
    <n v="0"/>
    <n v="1"/>
    <s v="45-54"/>
    <s v="Upper Medium"/>
    <s v="6-10 Years"/>
  </r>
  <r>
    <n v="1056"/>
    <n v="34"/>
    <x v="1"/>
    <s v="Travel_Frequently"/>
    <n v="829"/>
    <s v="Research &amp; Development"/>
    <n v="15"/>
    <n v="3"/>
    <s v="Medical"/>
    <n v="1485"/>
    <n v="2"/>
    <s v="Male"/>
    <n v="71"/>
    <n v="3"/>
    <n v="4"/>
    <s v="Research Director"/>
    <n v="1"/>
    <s v="Divorced"/>
    <n v="17007"/>
    <n v="11929"/>
    <n v="7"/>
    <s v="No"/>
    <n v="14"/>
    <n v="3"/>
    <n v="4"/>
    <n v="80"/>
    <n v="2"/>
    <n v="16"/>
    <n v="3"/>
    <n v="2"/>
    <n v="14"/>
    <n v="8"/>
    <n v="6"/>
    <n v="9"/>
    <n v="0"/>
    <n v="1"/>
    <s v="25-34"/>
    <s v="High"/>
    <s v="11-20 Years"/>
  </r>
  <r>
    <n v="1057"/>
    <n v="28"/>
    <x v="0"/>
    <s v="Travel_Frequently"/>
    <n v="1496"/>
    <s v="Sales"/>
    <n v="1"/>
    <n v="3"/>
    <s v="Technical Degree"/>
    <n v="1486"/>
    <n v="1"/>
    <s v="Male"/>
    <n v="92"/>
    <n v="3"/>
    <n v="1"/>
    <s v="Sales Representative"/>
    <n v="3"/>
    <s v="Married"/>
    <n v="2909"/>
    <n v="15747"/>
    <n v="3"/>
    <s v="No"/>
    <n v="15"/>
    <n v="3"/>
    <n v="4"/>
    <n v="80"/>
    <n v="1"/>
    <n v="5"/>
    <n v="3"/>
    <n v="4"/>
    <n v="3"/>
    <n v="2"/>
    <n v="1"/>
    <n v="2"/>
    <n v="1"/>
    <n v="0"/>
    <s v="25-34"/>
    <s v="Low"/>
    <s v="0-5 Years"/>
  </r>
  <r>
    <n v="1058"/>
    <n v="29"/>
    <x v="0"/>
    <s v="Travel_Frequently"/>
    <n v="115"/>
    <s v="Sales"/>
    <n v="13"/>
    <n v="3"/>
    <s v="Technical Degree"/>
    <n v="1487"/>
    <n v="1"/>
    <s v="Female"/>
    <n v="51"/>
    <n v="3"/>
    <n v="2"/>
    <s v="Sales Executive"/>
    <n v="2"/>
    <s v="Single"/>
    <n v="5765"/>
    <n v="17485"/>
    <n v="5"/>
    <s v="No"/>
    <n v="11"/>
    <n v="3"/>
    <n v="1"/>
    <n v="80"/>
    <n v="0"/>
    <n v="7"/>
    <n v="4"/>
    <n v="1"/>
    <n v="5"/>
    <n v="3"/>
    <n v="0"/>
    <n v="0"/>
    <n v="1"/>
    <n v="0"/>
    <s v="25-34"/>
    <s v="Medium"/>
    <s v="0-5 Years"/>
  </r>
  <r>
    <n v="1059"/>
    <n v="34"/>
    <x v="0"/>
    <s v="Travel_Rarely"/>
    <n v="790"/>
    <s v="Sales"/>
    <n v="24"/>
    <n v="4"/>
    <s v="Medical"/>
    <n v="1489"/>
    <n v="1"/>
    <s v="Female"/>
    <n v="40"/>
    <n v="2"/>
    <n v="2"/>
    <s v="Sales Executive"/>
    <n v="2"/>
    <s v="Single"/>
    <n v="4599"/>
    <n v="7815"/>
    <n v="0"/>
    <s v="Yes"/>
    <n v="23"/>
    <n v="4"/>
    <n v="3"/>
    <n v="80"/>
    <n v="0"/>
    <n v="16"/>
    <n v="2"/>
    <n v="4"/>
    <n v="15"/>
    <n v="9"/>
    <n v="10"/>
    <n v="10"/>
    <n v="1"/>
    <n v="0"/>
    <s v="25-34"/>
    <s v="Low"/>
    <s v="11-20 Years"/>
  </r>
  <r>
    <n v="1060"/>
    <n v="35"/>
    <x v="1"/>
    <s v="Travel_Rarely"/>
    <n v="660"/>
    <s v="Sales"/>
    <n v="7"/>
    <n v="1"/>
    <s v="Life Sciences"/>
    <n v="1492"/>
    <n v="4"/>
    <s v="Male"/>
    <n v="76"/>
    <n v="3"/>
    <n v="1"/>
    <s v="Sales Representative"/>
    <n v="3"/>
    <s v="Married"/>
    <n v="2404"/>
    <n v="16192"/>
    <n v="1"/>
    <s v="No"/>
    <n v="13"/>
    <n v="3"/>
    <n v="1"/>
    <n v="80"/>
    <n v="1"/>
    <n v="1"/>
    <n v="3"/>
    <n v="3"/>
    <n v="1"/>
    <n v="0"/>
    <n v="0"/>
    <n v="0"/>
    <n v="0"/>
    <n v="1"/>
    <s v="35-44"/>
    <s v="Low"/>
    <s v="0-5 Years"/>
  </r>
  <r>
    <n v="1061"/>
    <n v="24"/>
    <x v="0"/>
    <s v="Travel_Frequently"/>
    <n v="381"/>
    <s v="Research &amp; Development"/>
    <n v="9"/>
    <n v="3"/>
    <s v="Medical"/>
    <n v="1494"/>
    <n v="2"/>
    <s v="Male"/>
    <n v="89"/>
    <n v="3"/>
    <n v="1"/>
    <s v="Laboratory Technician"/>
    <n v="1"/>
    <s v="Single"/>
    <n v="3172"/>
    <n v="16998"/>
    <n v="2"/>
    <s v="Yes"/>
    <n v="11"/>
    <n v="3"/>
    <n v="3"/>
    <n v="80"/>
    <n v="0"/>
    <n v="4"/>
    <n v="2"/>
    <n v="2"/>
    <n v="0"/>
    <n v="0"/>
    <n v="0"/>
    <n v="0"/>
    <n v="1"/>
    <n v="0"/>
    <s v="Under 25"/>
    <s v="Low"/>
    <s v="0-5 Years"/>
  </r>
  <r>
    <n v="1062"/>
    <n v="24"/>
    <x v="1"/>
    <s v="Non-Travel"/>
    <n v="830"/>
    <s v="Sales"/>
    <n v="13"/>
    <n v="2"/>
    <s v="Life Sciences"/>
    <n v="1495"/>
    <n v="4"/>
    <s v="Female"/>
    <n v="78"/>
    <n v="3"/>
    <n v="1"/>
    <s v="Sales Representative"/>
    <n v="2"/>
    <s v="Married"/>
    <n v="2033"/>
    <n v="7103"/>
    <n v="1"/>
    <s v="No"/>
    <n v="13"/>
    <n v="3"/>
    <n v="3"/>
    <n v="80"/>
    <n v="1"/>
    <n v="1"/>
    <n v="2"/>
    <n v="3"/>
    <n v="1"/>
    <n v="0"/>
    <n v="0"/>
    <n v="0"/>
    <n v="0"/>
    <n v="1"/>
    <s v="Under 25"/>
    <s v="Low"/>
    <s v="0-5 Years"/>
  </r>
  <r>
    <n v="1063"/>
    <n v="44"/>
    <x v="1"/>
    <s v="Travel_Frequently"/>
    <n v="1193"/>
    <s v="Research &amp; Development"/>
    <n v="2"/>
    <n v="1"/>
    <s v="Medical"/>
    <n v="1496"/>
    <n v="2"/>
    <s v="Male"/>
    <n v="86"/>
    <n v="3"/>
    <n v="3"/>
    <s v="Manufacturing Director"/>
    <n v="3"/>
    <s v="Single"/>
    <n v="10209"/>
    <n v="19719"/>
    <n v="5"/>
    <s v="Yes"/>
    <n v="18"/>
    <n v="3"/>
    <n v="2"/>
    <n v="80"/>
    <n v="0"/>
    <n v="16"/>
    <n v="2"/>
    <n v="2"/>
    <n v="2"/>
    <n v="2"/>
    <n v="2"/>
    <n v="2"/>
    <n v="0"/>
    <n v="1"/>
    <s v="35-44"/>
    <s v="Upper Medium"/>
    <s v="0-5 Years"/>
  </r>
  <r>
    <n v="1064"/>
    <n v="29"/>
    <x v="1"/>
    <s v="Travel_Rarely"/>
    <n v="1246"/>
    <s v="Sales"/>
    <n v="19"/>
    <n v="3"/>
    <s v="Life Sciences"/>
    <n v="1497"/>
    <n v="3"/>
    <s v="Male"/>
    <n v="77"/>
    <n v="2"/>
    <n v="2"/>
    <s v="Sales Executive"/>
    <n v="3"/>
    <s v="Divorced"/>
    <n v="8620"/>
    <n v="23757"/>
    <n v="1"/>
    <s v="No"/>
    <n v="14"/>
    <n v="3"/>
    <n v="3"/>
    <n v="80"/>
    <n v="2"/>
    <n v="10"/>
    <n v="3"/>
    <n v="3"/>
    <n v="10"/>
    <n v="7"/>
    <n v="0"/>
    <n v="4"/>
    <n v="0"/>
    <n v="1"/>
    <s v="25-34"/>
    <s v="Medium"/>
    <s v="6-10 Years"/>
  </r>
  <r>
    <n v="1065"/>
    <n v="30"/>
    <x v="1"/>
    <s v="Travel_Rarely"/>
    <n v="330"/>
    <s v="Human Resources"/>
    <n v="1"/>
    <n v="3"/>
    <s v="Life Sciences"/>
    <n v="1499"/>
    <n v="3"/>
    <s v="Male"/>
    <n v="46"/>
    <n v="3"/>
    <n v="1"/>
    <s v="Human Resources"/>
    <n v="3"/>
    <s v="Divorced"/>
    <n v="2064"/>
    <n v="15428"/>
    <n v="0"/>
    <s v="No"/>
    <n v="21"/>
    <n v="4"/>
    <n v="1"/>
    <n v="80"/>
    <n v="1"/>
    <n v="6"/>
    <n v="3"/>
    <n v="4"/>
    <n v="5"/>
    <n v="3"/>
    <n v="1"/>
    <n v="3"/>
    <n v="0"/>
    <n v="1"/>
    <s v="25-34"/>
    <s v="Low"/>
    <s v="0-5 Years"/>
  </r>
  <r>
    <n v="1066"/>
    <n v="55"/>
    <x v="1"/>
    <s v="Travel_Rarely"/>
    <n v="1229"/>
    <s v="Research &amp; Development"/>
    <n v="4"/>
    <n v="4"/>
    <s v="Life Sciences"/>
    <n v="1501"/>
    <n v="4"/>
    <s v="Male"/>
    <n v="30"/>
    <n v="3"/>
    <n v="2"/>
    <s v="Healthcare Representative"/>
    <n v="3"/>
    <s v="Married"/>
    <n v="4035"/>
    <n v="16143"/>
    <n v="0"/>
    <s v="Yes"/>
    <n v="16"/>
    <n v="3"/>
    <n v="2"/>
    <n v="80"/>
    <n v="0"/>
    <n v="4"/>
    <n v="2"/>
    <n v="3"/>
    <n v="3"/>
    <n v="2"/>
    <n v="1"/>
    <n v="2"/>
    <n v="0"/>
    <n v="1"/>
    <s v="55+"/>
    <s v="Low"/>
    <s v="0-5 Years"/>
  </r>
  <r>
    <n v="1067"/>
    <n v="33"/>
    <x v="1"/>
    <s v="Travel_Rarely"/>
    <n v="1099"/>
    <s v="Research &amp; Development"/>
    <n v="4"/>
    <n v="4"/>
    <s v="Medical"/>
    <n v="1502"/>
    <n v="1"/>
    <s v="Female"/>
    <n v="82"/>
    <n v="2"/>
    <n v="1"/>
    <s v="Laboratory Technician"/>
    <n v="2"/>
    <s v="Married"/>
    <n v="3838"/>
    <n v="8192"/>
    <n v="8"/>
    <s v="No"/>
    <n v="11"/>
    <n v="3"/>
    <n v="4"/>
    <n v="80"/>
    <n v="0"/>
    <n v="8"/>
    <n v="5"/>
    <n v="3"/>
    <n v="5"/>
    <n v="4"/>
    <n v="0"/>
    <n v="2"/>
    <n v="0"/>
    <n v="1"/>
    <s v="25-34"/>
    <s v="Low"/>
    <s v="0-5 Years"/>
  </r>
  <r>
    <n v="1068"/>
    <n v="47"/>
    <x v="1"/>
    <s v="Travel_Rarely"/>
    <n v="571"/>
    <s v="Sales"/>
    <n v="14"/>
    <n v="3"/>
    <s v="Medical"/>
    <n v="1503"/>
    <n v="3"/>
    <s v="Female"/>
    <n v="78"/>
    <n v="3"/>
    <n v="2"/>
    <s v="Sales Executive"/>
    <n v="3"/>
    <s v="Married"/>
    <n v="4591"/>
    <n v="24200"/>
    <n v="3"/>
    <s v="Yes"/>
    <n v="17"/>
    <n v="3"/>
    <n v="3"/>
    <n v="80"/>
    <n v="1"/>
    <n v="11"/>
    <n v="4"/>
    <n v="2"/>
    <n v="5"/>
    <n v="4"/>
    <n v="1"/>
    <n v="2"/>
    <n v="0"/>
    <n v="1"/>
    <s v="45-54"/>
    <s v="Low"/>
    <s v="0-5 Years"/>
  </r>
  <r>
    <n v="1069"/>
    <n v="28"/>
    <x v="0"/>
    <s v="Travel_Frequently"/>
    <n v="289"/>
    <s v="Research &amp; Development"/>
    <n v="2"/>
    <n v="2"/>
    <s v="Medical"/>
    <n v="1504"/>
    <n v="3"/>
    <s v="Male"/>
    <n v="38"/>
    <n v="2"/>
    <n v="1"/>
    <s v="Laboratory Technician"/>
    <n v="1"/>
    <s v="Single"/>
    <n v="2561"/>
    <n v="5355"/>
    <n v="7"/>
    <s v="No"/>
    <n v="11"/>
    <n v="3"/>
    <n v="3"/>
    <n v="80"/>
    <n v="0"/>
    <n v="8"/>
    <n v="2"/>
    <n v="2"/>
    <n v="0"/>
    <n v="0"/>
    <n v="0"/>
    <n v="0"/>
    <n v="1"/>
    <n v="0"/>
    <s v="25-34"/>
    <s v="Low"/>
    <s v="0-5 Years"/>
  </r>
  <r>
    <n v="1070"/>
    <n v="28"/>
    <x v="1"/>
    <s v="Travel_Rarely"/>
    <n v="1423"/>
    <s v="Research &amp; Development"/>
    <n v="1"/>
    <n v="3"/>
    <s v="Life Sciences"/>
    <n v="1506"/>
    <n v="1"/>
    <s v="Male"/>
    <n v="72"/>
    <n v="2"/>
    <n v="1"/>
    <s v="Research Scientist"/>
    <n v="3"/>
    <s v="Divorced"/>
    <n v="1563"/>
    <n v="12530"/>
    <n v="1"/>
    <s v="No"/>
    <n v="14"/>
    <n v="3"/>
    <n v="4"/>
    <n v="80"/>
    <n v="1"/>
    <n v="1"/>
    <n v="2"/>
    <n v="1"/>
    <n v="1"/>
    <n v="0"/>
    <n v="0"/>
    <n v="0"/>
    <n v="0"/>
    <n v="1"/>
    <s v="25-34"/>
    <s v="Low"/>
    <s v="0-5 Years"/>
  </r>
  <r>
    <n v="1071"/>
    <n v="28"/>
    <x v="1"/>
    <s v="Travel_Frequently"/>
    <n v="467"/>
    <s v="Sales"/>
    <n v="7"/>
    <n v="3"/>
    <s v="Life Sciences"/>
    <n v="1507"/>
    <n v="3"/>
    <s v="Male"/>
    <n v="55"/>
    <n v="3"/>
    <n v="2"/>
    <s v="Sales Executive"/>
    <n v="1"/>
    <s v="Single"/>
    <n v="4898"/>
    <n v="11827"/>
    <n v="0"/>
    <s v="No"/>
    <n v="14"/>
    <n v="3"/>
    <n v="4"/>
    <n v="80"/>
    <n v="0"/>
    <n v="5"/>
    <n v="5"/>
    <n v="3"/>
    <n v="4"/>
    <n v="2"/>
    <n v="1"/>
    <n v="3"/>
    <n v="0"/>
    <n v="1"/>
    <s v="25-34"/>
    <s v="Low"/>
    <s v="0-5 Years"/>
  </r>
  <r>
    <n v="1072"/>
    <n v="49"/>
    <x v="1"/>
    <s v="Travel_Rarely"/>
    <n v="271"/>
    <s v="Research &amp; Development"/>
    <n v="3"/>
    <n v="2"/>
    <s v="Medical"/>
    <n v="1509"/>
    <n v="3"/>
    <s v="Female"/>
    <n v="43"/>
    <n v="2"/>
    <n v="2"/>
    <s v="Laboratory Technician"/>
    <n v="1"/>
    <s v="Married"/>
    <n v="4789"/>
    <n v="23070"/>
    <n v="4"/>
    <s v="No"/>
    <n v="25"/>
    <n v="4"/>
    <n v="1"/>
    <n v="80"/>
    <n v="1"/>
    <n v="10"/>
    <n v="3"/>
    <n v="3"/>
    <n v="3"/>
    <n v="2"/>
    <n v="1"/>
    <n v="2"/>
    <n v="0"/>
    <n v="1"/>
    <s v="45-54"/>
    <s v="Low"/>
    <s v="0-5 Years"/>
  </r>
  <r>
    <n v="1073"/>
    <n v="29"/>
    <x v="1"/>
    <s v="Travel_Frequently"/>
    <n v="410"/>
    <s v="Research &amp; Development"/>
    <n v="2"/>
    <n v="1"/>
    <s v="Life Sciences"/>
    <n v="1513"/>
    <n v="4"/>
    <s v="Female"/>
    <n v="97"/>
    <n v="3"/>
    <n v="1"/>
    <s v="Laboratory Technician"/>
    <n v="2"/>
    <s v="Married"/>
    <n v="3180"/>
    <n v="4668"/>
    <n v="0"/>
    <s v="No"/>
    <n v="13"/>
    <n v="3"/>
    <n v="3"/>
    <n v="80"/>
    <n v="3"/>
    <n v="4"/>
    <n v="3"/>
    <n v="3"/>
    <n v="3"/>
    <n v="2"/>
    <n v="0"/>
    <n v="2"/>
    <n v="0"/>
    <n v="1"/>
    <s v="25-34"/>
    <s v="Low"/>
    <s v="0-5 Years"/>
  </r>
  <r>
    <n v="1074"/>
    <n v="28"/>
    <x v="1"/>
    <s v="Travel_Rarely"/>
    <n v="1083"/>
    <s v="Research &amp; Development"/>
    <n v="29"/>
    <n v="1"/>
    <s v="Life Sciences"/>
    <n v="1514"/>
    <n v="3"/>
    <s v="Male"/>
    <n v="96"/>
    <n v="1"/>
    <n v="2"/>
    <s v="Manufacturing Director"/>
    <n v="2"/>
    <s v="Married"/>
    <n v="6549"/>
    <n v="3173"/>
    <n v="1"/>
    <s v="No"/>
    <n v="14"/>
    <n v="3"/>
    <n v="2"/>
    <n v="80"/>
    <n v="2"/>
    <n v="8"/>
    <n v="2"/>
    <n v="2"/>
    <n v="8"/>
    <n v="6"/>
    <n v="1"/>
    <n v="7"/>
    <n v="0"/>
    <n v="1"/>
    <s v="25-34"/>
    <s v="Medium"/>
    <s v="6-10 Years"/>
  </r>
  <r>
    <n v="1075"/>
    <n v="33"/>
    <x v="1"/>
    <s v="Travel_Rarely"/>
    <n v="516"/>
    <s v="Research &amp; Development"/>
    <n v="8"/>
    <n v="5"/>
    <s v="Life Sciences"/>
    <n v="1515"/>
    <n v="4"/>
    <s v="Male"/>
    <n v="69"/>
    <n v="3"/>
    <n v="2"/>
    <s v="Healthcare Representative"/>
    <n v="3"/>
    <s v="Single"/>
    <n v="6388"/>
    <n v="22049"/>
    <n v="2"/>
    <s v="Yes"/>
    <n v="17"/>
    <n v="3"/>
    <n v="1"/>
    <n v="80"/>
    <n v="0"/>
    <n v="14"/>
    <n v="6"/>
    <n v="3"/>
    <n v="0"/>
    <n v="0"/>
    <n v="0"/>
    <n v="0"/>
    <n v="0"/>
    <n v="1"/>
    <s v="25-34"/>
    <s v="Medium"/>
    <s v="0-5 Years"/>
  </r>
  <r>
    <n v="1076"/>
    <n v="32"/>
    <x v="1"/>
    <s v="Travel_Rarely"/>
    <n v="495"/>
    <s v="Research &amp; Development"/>
    <n v="10"/>
    <n v="3"/>
    <s v="Medical"/>
    <n v="1516"/>
    <n v="3"/>
    <s v="Male"/>
    <n v="64"/>
    <n v="3"/>
    <n v="3"/>
    <s v="Manager"/>
    <n v="4"/>
    <s v="Single"/>
    <n v="11244"/>
    <n v="21072"/>
    <n v="2"/>
    <s v="No"/>
    <n v="25"/>
    <n v="4"/>
    <n v="2"/>
    <n v="80"/>
    <n v="0"/>
    <n v="10"/>
    <n v="5"/>
    <n v="4"/>
    <n v="5"/>
    <n v="2"/>
    <n v="0"/>
    <n v="0"/>
    <n v="0"/>
    <n v="1"/>
    <s v="25-34"/>
    <s v="Upper Medium"/>
    <s v="0-5 Years"/>
  </r>
  <r>
    <n v="1077"/>
    <n v="54"/>
    <x v="1"/>
    <s v="Travel_Frequently"/>
    <n v="1050"/>
    <s v="Research &amp; Development"/>
    <n v="11"/>
    <n v="4"/>
    <s v="Medical"/>
    <n v="1520"/>
    <n v="2"/>
    <s v="Female"/>
    <n v="87"/>
    <n v="3"/>
    <n v="4"/>
    <s v="Manager"/>
    <n v="4"/>
    <s v="Divorced"/>
    <n v="16032"/>
    <n v="24456"/>
    <n v="3"/>
    <s v="No"/>
    <n v="20"/>
    <n v="4"/>
    <n v="1"/>
    <n v="80"/>
    <n v="1"/>
    <n v="26"/>
    <n v="2"/>
    <n v="3"/>
    <n v="14"/>
    <n v="9"/>
    <n v="1"/>
    <n v="12"/>
    <n v="0"/>
    <n v="1"/>
    <s v="45-54"/>
    <s v="High"/>
    <s v="11-20 Years"/>
  </r>
  <r>
    <n v="1078"/>
    <n v="29"/>
    <x v="0"/>
    <s v="Travel_Rarely"/>
    <n v="224"/>
    <s v="Research &amp; Development"/>
    <n v="1"/>
    <n v="4"/>
    <s v="Technical Degree"/>
    <n v="1522"/>
    <n v="1"/>
    <s v="Male"/>
    <n v="100"/>
    <n v="2"/>
    <n v="1"/>
    <s v="Research Scientist"/>
    <n v="1"/>
    <s v="Single"/>
    <n v="2362"/>
    <n v="7568"/>
    <n v="6"/>
    <s v="No"/>
    <n v="13"/>
    <n v="3"/>
    <n v="3"/>
    <n v="80"/>
    <n v="0"/>
    <n v="11"/>
    <n v="2"/>
    <n v="1"/>
    <n v="9"/>
    <n v="7"/>
    <n v="0"/>
    <n v="7"/>
    <n v="1"/>
    <n v="0"/>
    <s v="25-34"/>
    <s v="Low"/>
    <s v="6-10 Years"/>
  </r>
  <r>
    <n v="1079"/>
    <n v="44"/>
    <x v="1"/>
    <s v="Travel_Rarely"/>
    <n v="136"/>
    <s v="Research &amp; Development"/>
    <n v="28"/>
    <n v="3"/>
    <s v="Life Sciences"/>
    <n v="1523"/>
    <n v="4"/>
    <s v="Male"/>
    <n v="32"/>
    <n v="3"/>
    <n v="4"/>
    <s v="Research Director"/>
    <n v="1"/>
    <s v="Married"/>
    <n v="16328"/>
    <n v="22074"/>
    <n v="3"/>
    <s v="No"/>
    <n v="13"/>
    <n v="3"/>
    <n v="3"/>
    <n v="80"/>
    <n v="1"/>
    <n v="24"/>
    <n v="1"/>
    <n v="4"/>
    <n v="20"/>
    <n v="6"/>
    <n v="14"/>
    <n v="17"/>
    <n v="0"/>
    <n v="1"/>
    <s v="35-44"/>
    <s v="High"/>
    <s v="11-20 Years"/>
  </r>
  <r>
    <n v="1080"/>
    <n v="39"/>
    <x v="1"/>
    <s v="Travel_Rarely"/>
    <n v="1089"/>
    <s v="Research &amp; Development"/>
    <n v="6"/>
    <n v="3"/>
    <s v="Life Sciences"/>
    <n v="1525"/>
    <n v="2"/>
    <s v="Female"/>
    <n v="32"/>
    <n v="3"/>
    <n v="3"/>
    <s v="Manufacturing Director"/>
    <n v="2"/>
    <s v="Single"/>
    <n v="8376"/>
    <n v="9150"/>
    <n v="4"/>
    <s v="No"/>
    <n v="18"/>
    <n v="3"/>
    <n v="4"/>
    <n v="80"/>
    <n v="0"/>
    <n v="9"/>
    <n v="3"/>
    <n v="3"/>
    <n v="2"/>
    <n v="0"/>
    <n v="2"/>
    <n v="2"/>
    <n v="0"/>
    <n v="1"/>
    <s v="35-44"/>
    <s v="Medium"/>
    <s v="0-5 Years"/>
  </r>
  <r>
    <n v="1081"/>
    <n v="46"/>
    <x v="1"/>
    <s v="Travel_Rarely"/>
    <n v="228"/>
    <s v="Sales"/>
    <n v="3"/>
    <n v="3"/>
    <s v="Life Sciences"/>
    <n v="1527"/>
    <n v="3"/>
    <s v="Female"/>
    <n v="51"/>
    <n v="3"/>
    <n v="4"/>
    <s v="Manager"/>
    <n v="2"/>
    <s v="Married"/>
    <n v="16606"/>
    <n v="11380"/>
    <n v="8"/>
    <s v="No"/>
    <n v="12"/>
    <n v="3"/>
    <n v="4"/>
    <n v="80"/>
    <n v="1"/>
    <n v="23"/>
    <n v="2"/>
    <n v="4"/>
    <n v="13"/>
    <n v="12"/>
    <n v="5"/>
    <n v="1"/>
    <n v="0"/>
    <n v="1"/>
    <s v="45-54"/>
    <s v="High"/>
    <s v="11-20 Years"/>
  </r>
  <r>
    <n v="1082"/>
    <n v="35"/>
    <x v="1"/>
    <s v="Travel_Rarely"/>
    <n v="1029"/>
    <s v="Research &amp; Development"/>
    <n v="16"/>
    <n v="3"/>
    <s v="Life Sciences"/>
    <n v="1529"/>
    <n v="4"/>
    <s v="Female"/>
    <n v="91"/>
    <n v="2"/>
    <n v="3"/>
    <s v="Healthcare Representative"/>
    <n v="2"/>
    <s v="Single"/>
    <n v="8606"/>
    <n v="21195"/>
    <n v="1"/>
    <s v="No"/>
    <n v="19"/>
    <n v="3"/>
    <n v="4"/>
    <n v="80"/>
    <n v="0"/>
    <n v="11"/>
    <n v="3"/>
    <n v="1"/>
    <n v="11"/>
    <n v="8"/>
    <n v="3"/>
    <n v="3"/>
    <n v="0"/>
    <n v="1"/>
    <s v="35-44"/>
    <s v="Medium"/>
    <s v="11-20 Years"/>
  </r>
  <r>
    <n v="1083"/>
    <n v="23"/>
    <x v="1"/>
    <s v="Travel_Rarely"/>
    <n v="507"/>
    <s v="Research &amp; Development"/>
    <n v="20"/>
    <n v="1"/>
    <s v="Life Sciences"/>
    <n v="1533"/>
    <n v="1"/>
    <s v="Male"/>
    <n v="97"/>
    <n v="3"/>
    <n v="2"/>
    <s v="Laboratory Technician"/>
    <n v="3"/>
    <s v="Single"/>
    <n v="2272"/>
    <n v="24812"/>
    <n v="0"/>
    <s v="No"/>
    <n v="14"/>
    <n v="3"/>
    <n v="2"/>
    <n v="80"/>
    <n v="0"/>
    <n v="5"/>
    <n v="2"/>
    <n v="3"/>
    <n v="4"/>
    <n v="3"/>
    <n v="1"/>
    <n v="2"/>
    <n v="0"/>
    <n v="1"/>
    <s v="Under 25"/>
    <s v="Low"/>
    <s v="0-5 Years"/>
  </r>
  <r>
    <n v="1084"/>
    <n v="40"/>
    <x v="0"/>
    <s v="Travel_Rarely"/>
    <n v="676"/>
    <s v="Research &amp; Development"/>
    <n v="9"/>
    <n v="4"/>
    <s v="Life Sciences"/>
    <n v="1534"/>
    <n v="4"/>
    <s v="Male"/>
    <n v="86"/>
    <n v="3"/>
    <n v="1"/>
    <s v="Laboratory Technician"/>
    <n v="1"/>
    <s v="Single"/>
    <n v="2018"/>
    <n v="21831"/>
    <n v="3"/>
    <s v="No"/>
    <n v="14"/>
    <n v="3"/>
    <n v="2"/>
    <n v="80"/>
    <n v="0"/>
    <n v="15"/>
    <n v="3"/>
    <n v="1"/>
    <n v="5"/>
    <n v="4"/>
    <n v="1"/>
    <n v="0"/>
    <n v="1"/>
    <n v="0"/>
    <s v="35-44"/>
    <s v="Low"/>
    <s v="0-5 Years"/>
  </r>
  <r>
    <n v="1085"/>
    <n v="34"/>
    <x v="1"/>
    <s v="Travel_Rarely"/>
    <n v="971"/>
    <s v="Sales"/>
    <n v="1"/>
    <n v="3"/>
    <s v="Technical Degree"/>
    <n v="1535"/>
    <n v="4"/>
    <s v="Male"/>
    <n v="64"/>
    <n v="2"/>
    <n v="3"/>
    <s v="Sales Executive"/>
    <n v="3"/>
    <s v="Married"/>
    <n v="7083"/>
    <n v="12288"/>
    <n v="1"/>
    <s v="Yes"/>
    <n v="14"/>
    <n v="3"/>
    <n v="4"/>
    <n v="80"/>
    <n v="0"/>
    <n v="10"/>
    <n v="3"/>
    <n v="3"/>
    <n v="10"/>
    <n v="9"/>
    <n v="8"/>
    <n v="6"/>
    <n v="0"/>
    <n v="1"/>
    <s v="25-34"/>
    <s v="Medium"/>
    <s v="6-10 Years"/>
  </r>
  <r>
    <n v="1086"/>
    <n v="31"/>
    <x v="0"/>
    <s v="Travel_Frequently"/>
    <n v="561"/>
    <s v="Research &amp; Development"/>
    <n v="3"/>
    <n v="3"/>
    <s v="Life Sciences"/>
    <n v="1537"/>
    <n v="4"/>
    <s v="Female"/>
    <n v="33"/>
    <n v="3"/>
    <n v="1"/>
    <s v="Research Scientist"/>
    <n v="3"/>
    <s v="Single"/>
    <n v="4084"/>
    <n v="4156"/>
    <n v="1"/>
    <s v="No"/>
    <n v="12"/>
    <n v="3"/>
    <n v="1"/>
    <n v="80"/>
    <n v="0"/>
    <n v="7"/>
    <n v="2"/>
    <n v="1"/>
    <n v="7"/>
    <n v="2"/>
    <n v="7"/>
    <n v="7"/>
    <n v="1"/>
    <n v="0"/>
    <s v="25-34"/>
    <s v="Low"/>
    <s v="6-10 Years"/>
  </r>
  <r>
    <n v="1087"/>
    <n v="50"/>
    <x v="1"/>
    <s v="Travel_Frequently"/>
    <n v="333"/>
    <s v="Research &amp; Development"/>
    <n v="22"/>
    <n v="5"/>
    <s v="Medical"/>
    <n v="1539"/>
    <n v="3"/>
    <s v="Male"/>
    <n v="88"/>
    <n v="1"/>
    <n v="4"/>
    <s v="Research Director"/>
    <n v="4"/>
    <s v="Single"/>
    <n v="14411"/>
    <n v="24450"/>
    <n v="1"/>
    <s v="Yes"/>
    <n v="13"/>
    <n v="3"/>
    <n v="4"/>
    <n v="80"/>
    <n v="0"/>
    <n v="32"/>
    <n v="2"/>
    <n v="3"/>
    <n v="32"/>
    <n v="6"/>
    <n v="13"/>
    <n v="9"/>
    <n v="0"/>
    <n v="1"/>
    <s v="45-54"/>
    <s v="Upper Medium"/>
    <s v="21+ Years"/>
  </r>
  <r>
    <n v="1088"/>
    <n v="34"/>
    <x v="1"/>
    <s v="Travel_Rarely"/>
    <n v="1440"/>
    <s v="Sales"/>
    <n v="7"/>
    <n v="2"/>
    <s v="Technical Degree"/>
    <n v="1541"/>
    <n v="2"/>
    <s v="Male"/>
    <n v="55"/>
    <n v="3"/>
    <n v="1"/>
    <s v="Sales Representative"/>
    <n v="3"/>
    <s v="Married"/>
    <n v="2308"/>
    <n v="4944"/>
    <n v="0"/>
    <s v="Yes"/>
    <n v="25"/>
    <n v="4"/>
    <n v="2"/>
    <n v="80"/>
    <n v="1"/>
    <n v="12"/>
    <n v="4"/>
    <n v="3"/>
    <n v="11"/>
    <n v="10"/>
    <n v="5"/>
    <n v="7"/>
    <n v="0"/>
    <n v="1"/>
    <s v="25-34"/>
    <s v="Low"/>
    <s v="11-20 Years"/>
  </r>
  <r>
    <n v="1089"/>
    <n v="42"/>
    <x v="1"/>
    <s v="Travel_Rarely"/>
    <n v="1210"/>
    <s v="Research &amp; Development"/>
    <n v="2"/>
    <n v="3"/>
    <s v="Medical"/>
    <n v="1542"/>
    <n v="3"/>
    <s v="Male"/>
    <n v="68"/>
    <n v="2"/>
    <n v="1"/>
    <s v="Laboratory Technician"/>
    <n v="2"/>
    <s v="Married"/>
    <n v="4841"/>
    <n v="24052"/>
    <n v="4"/>
    <s v="No"/>
    <n v="14"/>
    <n v="3"/>
    <n v="2"/>
    <n v="80"/>
    <n v="1"/>
    <n v="4"/>
    <n v="3"/>
    <n v="3"/>
    <n v="1"/>
    <n v="0"/>
    <n v="0"/>
    <n v="0"/>
    <n v="0"/>
    <n v="1"/>
    <s v="35-44"/>
    <s v="Low"/>
    <s v="0-5 Years"/>
  </r>
  <r>
    <n v="1090"/>
    <n v="37"/>
    <x v="1"/>
    <s v="Travel_Rarely"/>
    <n v="674"/>
    <s v="Research &amp; Development"/>
    <n v="13"/>
    <n v="3"/>
    <s v="Medical"/>
    <n v="1543"/>
    <n v="1"/>
    <s v="Male"/>
    <n v="47"/>
    <n v="3"/>
    <n v="2"/>
    <s v="Research Scientist"/>
    <n v="4"/>
    <s v="Married"/>
    <n v="4285"/>
    <n v="3031"/>
    <n v="1"/>
    <s v="No"/>
    <n v="17"/>
    <n v="3"/>
    <n v="1"/>
    <n v="80"/>
    <n v="0"/>
    <n v="10"/>
    <n v="2"/>
    <n v="3"/>
    <n v="10"/>
    <n v="8"/>
    <n v="3"/>
    <n v="7"/>
    <n v="0"/>
    <n v="1"/>
    <s v="35-44"/>
    <s v="Low"/>
    <s v="6-10 Years"/>
  </r>
  <r>
    <n v="1091"/>
    <n v="29"/>
    <x v="1"/>
    <s v="Travel_Rarely"/>
    <n v="441"/>
    <s v="Research &amp; Development"/>
    <n v="8"/>
    <n v="1"/>
    <s v="Other"/>
    <n v="1544"/>
    <n v="3"/>
    <s v="Female"/>
    <n v="39"/>
    <n v="1"/>
    <n v="2"/>
    <s v="Healthcare Representative"/>
    <n v="1"/>
    <s v="Married"/>
    <n v="9715"/>
    <n v="7288"/>
    <n v="3"/>
    <s v="No"/>
    <n v="13"/>
    <n v="3"/>
    <n v="3"/>
    <n v="80"/>
    <n v="1"/>
    <n v="9"/>
    <n v="3"/>
    <n v="3"/>
    <n v="7"/>
    <n v="7"/>
    <n v="0"/>
    <n v="7"/>
    <n v="0"/>
    <n v="1"/>
    <s v="25-34"/>
    <s v="Medium"/>
    <s v="6-10 Years"/>
  </r>
  <r>
    <n v="1092"/>
    <n v="33"/>
    <x v="1"/>
    <s v="Travel_Rarely"/>
    <n v="575"/>
    <s v="Research &amp; Development"/>
    <n v="25"/>
    <n v="3"/>
    <s v="Life Sciences"/>
    <n v="1545"/>
    <n v="4"/>
    <s v="Male"/>
    <n v="44"/>
    <n v="2"/>
    <n v="2"/>
    <s v="Manufacturing Director"/>
    <n v="2"/>
    <s v="Single"/>
    <n v="4320"/>
    <n v="24152"/>
    <n v="1"/>
    <s v="No"/>
    <n v="13"/>
    <n v="3"/>
    <n v="4"/>
    <n v="80"/>
    <n v="0"/>
    <n v="5"/>
    <n v="2"/>
    <n v="3"/>
    <n v="5"/>
    <n v="3"/>
    <n v="0"/>
    <n v="2"/>
    <n v="0"/>
    <n v="1"/>
    <s v="25-34"/>
    <s v="Low"/>
    <s v="0-5 Years"/>
  </r>
  <r>
    <n v="1093"/>
    <n v="45"/>
    <x v="1"/>
    <s v="Travel_Rarely"/>
    <n v="950"/>
    <s v="Research &amp; Development"/>
    <n v="28"/>
    <n v="3"/>
    <s v="Technical Degree"/>
    <n v="1546"/>
    <n v="4"/>
    <s v="Male"/>
    <n v="97"/>
    <n v="3"/>
    <n v="1"/>
    <s v="Research Scientist"/>
    <n v="4"/>
    <s v="Married"/>
    <n v="2132"/>
    <n v="4585"/>
    <n v="4"/>
    <s v="No"/>
    <n v="20"/>
    <n v="4"/>
    <n v="4"/>
    <n v="80"/>
    <n v="1"/>
    <n v="8"/>
    <n v="3"/>
    <n v="3"/>
    <n v="5"/>
    <n v="4"/>
    <n v="0"/>
    <n v="3"/>
    <n v="0"/>
    <n v="1"/>
    <s v="45-54"/>
    <s v="Low"/>
    <s v="0-5 Years"/>
  </r>
  <r>
    <n v="1094"/>
    <n v="42"/>
    <x v="1"/>
    <s v="Travel_Frequently"/>
    <n v="288"/>
    <s v="Research &amp; Development"/>
    <n v="2"/>
    <n v="3"/>
    <s v="Life Sciences"/>
    <n v="1547"/>
    <n v="4"/>
    <s v="Male"/>
    <n v="40"/>
    <n v="3"/>
    <n v="3"/>
    <s v="Healthcare Representative"/>
    <n v="4"/>
    <s v="Married"/>
    <n v="10124"/>
    <n v="18611"/>
    <n v="2"/>
    <s v="Yes"/>
    <n v="14"/>
    <n v="3"/>
    <n v="3"/>
    <n v="80"/>
    <n v="1"/>
    <n v="24"/>
    <n v="3"/>
    <n v="1"/>
    <n v="20"/>
    <n v="8"/>
    <n v="13"/>
    <n v="9"/>
    <n v="0"/>
    <n v="1"/>
    <s v="35-44"/>
    <s v="Upper Medium"/>
    <s v="11-20 Years"/>
  </r>
  <r>
    <n v="1095"/>
    <n v="40"/>
    <x v="1"/>
    <s v="Travel_Rarely"/>
    <n v="1342"/>
    <s v="Sales"/>
    <n v="9"/>
    <n v="2"/>
    <s v="Medical"/>
    <n v="1548"/>
    <n v="1"/>
    <s v="Male"/>
    <n v="47"/>
    <n v="3"/>
    <n v="2"/>
    <s v="Sales Executive"/>
    <n v="1"/>
    <s v="Married"/>
    <n v="5473"/>
    <n v="19345"/>
    <n v="0"/>
    <s v="No"/>
    <n v="12"/>
    <n v="3"/>
    <n v="4"/>
    <n v="80"/>
    <n v="0"/>
    <n v="9"/>
    <n v="5"/>
    <n v="4"/>
    <n v="8"/>
    <n v="4"/>
    <n v="7"/>
    <n v="1"/>
    <n v="0"/>
    <n v="1"/>
    <s v="35-44"/>
    <s v="Medium"/>
    <s v="6-10 Years"/>
  </r>
  <r>
    <n v="1096"/>
    <n v="33"/>
    <x v="1"/>
    <s v="Travel_Rarely"/>
    <n v="589"/>
    <s v="Research &amp; Development"/>
    <n v="28"/>
    <n v="4"/>
    <s v="Life Sciences"/>
    <n v="1549"/>
    <n v="2"/>
    <s v="Male"/>
    <n v="79"/>
    <n v="3"/>
    <n v="2"/>
    <s v="Laboratory Technician"/>
    <n v="3"/>
    <s v="Married"/>
    <n v="5207"/>
    <n v="22949"/>
    <n v="1"/>
    <s v="Yes"/>
    <n v="12"/>
    <n v="3"/>
    <n v="2"/>
    <n v="80"/>
    <n v="1"/>
    <n v="15"/>
    <n v="3"/>
    <n v="3"/>
    <n v="15"/>
    <n v="14"/>
    <n v="5"/>
    <n v="7"/>
    <n v="0"/>
    <n v="1"/>
    <s v="25-34"/>
    <s v="Medium"/>
    <s v="11-20 Years"/>
  </r>
  <r>
    <n v="1097"/>
    <n v="40"/>
    <x v="1"/>
    <s v="Travel_Rarely"/>
    <n v="898"/>
    <s v="Human Resources"/>
    <n v="6"/>
    <n v="2"/>
    <s v="Medical"/>
    <n v="1550"/>
    <n v="3"/>
    <s v="Male"/>
    <n v="38"/>
    <n v="3"/>
    <n v="4"/>
    <s v="Manager"/>
    <n v="4"/>
    <s v="Single"/>
    <n v="16437"/>
    <n v="17381"/>
    <n v="1"/>
    <s v="Yes"/>
    <n v="21"/>
    <n v="4"/>
    <n v="4"/>
    <n v="80"/>
    <n v="0"/>
    <n v="21"/>
    <n v="2"/>
    <n v="3"/>
    <n v="21"/>
    <n v="7"/>
    <n v="7"/>
    <n v="7"/>
    <n v="0"/>
    <n v="1"/>
    <s v="35-44"/>
    <s v="High"/>
    <s v="21+ Years"/>
  </r>
  <r>
    <n v="1098"/>
    <n v="24"/>
    <x v="1"/>
    <s v="Travel_Rarely"/>
    <n v="350"/>
    <s v="Research &amp; Development"/>
    <n v="21"/>
    <n v="2"/>
    <s v="Technical Degree"/>
    <n v="1551"/>
    <n v="3"/>
    <s v="Male"/>
    <n v="57"/>
    <n v="2"/>
    <n v="1"/>
    <s v="Laboratory Technician"/>
    <n v="1"/>
    <s v="Divorced"/>
    <n v="2296"/>
    <n v="10036"/>
    <n v="0"/>
    <s v="No"/>
    <n v="14"/>
    <n v="3"/>
    <n v="2"/>
    <n v="80"/>
    <n v="3"/>
    <n v="2"/>
    <n v="3"/>
    <n v="3"/>
    <n v="1"/>
    <n v="1"/>
    <n v="0"/>
    <n v="0"/>
    <n v="0"/>
    <n v="1"/>
    <s v="Under 25"/>
    <s v="Low"/>
    <s v="0-5 Years"/>
  </r>
  <r>
    <n v="1099"/>
    <n v="40"/>
    <x v="1"/>
    <s v="Non-Travel"/>
    <n v="1142"/>
    <s v="Research &amp; Development"/>
    <n v="8"/>
    <n v="2"/>
    <s v="Life Sciences"/>
    <n v="1552"/>
    <n v="4"/>
    <s v="Male"/>
    <n v="72"/>
    <n v="3"/>
    <n v="2"/>
    <s v="Healthcare Representative"/>
    <n v="4"/>
    <s v="Divorced"/>
    <n v="4069"/>
    <n v="8841"/>
    <n v="3"/>
    <s v="Yes"/>
    <n v="18"/>
    <n v="3"/>
    <n v="3"/>
    <n v="80"/>
    <n v="0"/>
    <n v="8"/>
    <n v="2"/>
    <n v="3"/>
    <n v="2"/>
    <n v="2"/>
    <n v="2"/>
    <n v="2"/>
    <n v="0"/>
    <n v="1"/>
    <s v="35-44"/>
    <s v="Low"/>
    <s v="0-5 Years"/>
  </r>
  <r>
    <n v="1100"/>
    <n v="45"/>
    <x v="1"/>
    <s v="Travel_Rarely"/>
    <n v="538"/>
    <s v="Research &amp; Development"/>
    <n v="1"/>
    <n v="4"/>
    <s v="Technical Degree"/>
    <n v="1553"/>
    <n v="1"/>
    <s v="Male"/>
    <n v="66"/>
    <n v="3"/>
    <n v="3"/>
    <s v="Healthcare Representative"/>
    <n v="2"/>
    <s v="Divorced"/>
    <n v="7441"/>
    <n v="20933"/>
    <n v="1"/>
    <s v="No"/>
    <n v="12"/>
    <n v="3"/>
    <n v="1"/>
    <n v="80"/>
    <n v="3"/>
    <n v="10"/>
    <n v="4"/>
    <n v="3"/>
    <n v="10"/>
    <n v="8"/>
    <n v="7"/>
    <n v="7"/>
    <n v="0"/>
    <n v="1"/>
    <s v="45-54"/>
    <s v="Medium"/>
    <s v="6-10 Years"/>
  </r>
  <r>
    <n v="1101"/>
    <n v="35"/>
    <x v="1"/>
    <s v="Travel_Rarely"/>
    <n v="1402"/>
    <s v="Sales"/>
    <n v="28"/>
    <n v="4"/>
    <s v="Life Sciences"/>
    <n v="1554"/>
    <n v="2"/>
    <s v="Female"/>
    <n v="98"/>
    <n v="2"/>
    <n v="1"/>
    <s v="Sales Representative"/>
    <n v="3"/>
    <s v="Married"/>
    <n v="2430"/>
    <n v="26204"/>
    <n v="0"/>
    <s v="No"/>
    <n v="23"/>
    <n v="4"/>
    <n v="1"/>
    <n v="80"/>
    <n v="2"/>
    <n v="6"/>
    <n v="5"/>
    <n v="3"/>
    <n v="5"/>
    <n v="3"/>
    <n v="4"/>
    <n v="2"/>
    <n v="0"/>
    <n v="1"/>
    <s v="35-44"/>
    <s v="Low"/>
    <s v="0-5 Years"/>
  </r>
  <r>
    <n v="1102"/>
    <n v="32"/>
    <x v="1"/>
    <s v="Travel_Rarely"/>
    <n v="824"/>
    <s v="Research &amp; Development"/>
    <n v="5"/>
    <n v="2"/>
    <s v="Life Sciences"/>
    <n v="1555"/>
    <n v="4"/>
    <s v="Female"/>
    <n v="67"/>
    <n v="2"/>
    <n v="2"/>
    <s v="Research Scientist"/>
    <n v="2"/>
    <s v="Married"/>
    <n v="5878"/>
    <n v="15624"/>
    <n v="3"/>
    <s v="No"/>
    <n v="12"/>
    <n v="3"/>
    <n v="1"/>
    <n v="80"/>
    <n v="1"/>
    <n v="12"/>
    <n v="2"/>
    <n v="3"/>
    <n v="7"/>
    <n v="1"/>
    <n v="2"/>
    <n v="5"/>
    <n v="0"/>
    <n v="1"/>
    <s v="25-34"/>
    <s v="Medium"/>
    <s v="6-10 Years"/>
  </r>
  <r>
    <n v="1103"/>
    <n v="36"/>
    <x v="1"/>
    <s v="Travel_Rarely"/>
    <n v="1157"/>
    <s v="Sales"/>
    <n v="2"/>
    <n v="4"/>
    <s v="Life Sciences"/>
    <n v="1556"/>
    <n v="3"/>
    <s v="Male"/>
    <n v="70"/>
    <n v="3"/>
    <n v="1"/>
    <s v="Sales Representative"/>
    <n v="4"/>
    <s v="Single"/>
    <n v="2644"/>
    <n v="17001"/>
    <n v="3"/>
    <s v="Yes"/>
    <n v="21"/>
    <n v="4"/>
    <n v="4"/>
    <n v="80"/>
    <n v="0"/>
    <n v="7"/>
    <n v="3"/>
    <n v="2"/>
    <n v="3"/>
    <n v="2"/>
    <n v="1"/>
    <n v="2"/>
    <n v="0"/>
    <n v="1"/>
    <s v="35-44"/>
    <s v="Low"/>
    <s v="0-5 Years"/>
  </r>
  <r>
    <n v="1104"/>
    <n v="48"/>
    <x v="1"/>
    <s v="Travel_Rarely"/>
    <n v="492"/>
    <s v="Sales"/>
    <n v="16"/>
    <n v="4"/>
    <s v="Life Sciences"/>
    <n v="1557"/>
    <n v="3"/>
    <s v="Female"/>
    <n v="96"/>
    <n v="3"/>
    <n v="2"/>
    <s v="Sales Executive"/>
    <n v="3"/>
    <s v="Divorced"/>
    <n v="6439"/>
    <n v="13693"/>
    <n v="8"/>
    <s v="No"/>
    <n v="14"/>
    <n v="3"/>
    <n v="3"/>
    <n v="80"/>
    <n v="1"/>
    <n v="18"/>
    <n v="2"/>
    <n v="3"/>
    <n v="8"/>
    <n v="7"/>
    <n v="7"/>
    <n v="7"/>
    <n v="0"/>
    <n v="1"/>
    <s v="45-54"/>
    <s v="Medium"/>
    <s v="6-10 Years"/>
  </r>
  <r>
    <n v="1105"/>
    <n v="29"/>
    <x v="1"/>
    <s v="Travel_Rarely"/>
    <n v="598"/>
    <s v="Research &amp; Development"/>
    <n v="9"/>
    <n v="3"/>
    <s v="Life Sciences"/>
    <n v="1558"/>
    <n v="3"/>
    <s v="Male"/>
    <n v="91"/>
    <n v="4"/>
    <n v="1"/>
    <s v="Research Scientist"/>
    <n v="3"/>
    <s v="Married"/>
    <n v="2451"/>
    <n v="22376"/>
    <n v="6"/>
    <s v="No"/>
    <n v="18"/>
    <n v="3"/>
    <n v="1"/>
    <n v="80"/>
    <n v="2"/>
    <n v="5"/>
    <n v="2"/>
    <n v="2"/>
    <n v="1"/>
    <n v="0"/>
    <n v="0"/>
    <n v="0"/>
    <n v="0"/>
    <n v="1"/>
    <s v="25-34"/>
    <s v="Low"/>
    <s v="0-5 Years"/>
  </r>
  <r>
    <n v="1106"/>
    <n v="33"/>
    <x v="1"/>
    <s v="Travel_Rarely"/>
    <n v="1242"/>
    <s v="Sales"/>
    <n v="8"/>
    <n v="4"/>
    <s v="Life Sciences"/>
    <n v="1560"/>
    <n v="1"/>
    <s v="Male"/>
    <n v="46"/>
    <n v="3"/>
    <n v="2"/>
    <s v="Sales Executive"/>
    <n v="1"/>
    <s v="Married"/>
    <n v="6392"/>
    <n v="10589"/>
    <n v="2"/>
    <s v="No"/>
    <n v="13"/>
    <n v="3"/>
    <n v="4"/>
    <n v="80"/>
    <n v="1"/>
    <n v="8"/>
    <n v="6"/>
    <n v="1"/>
    <n v="2"/>
    <n v="2"/>
    <n v="2"/>
    <n v="2"/>
    <n v="0"/>
    <n v="1"/>
    <s v="25-34"/>
    <s v="Medium"/>
    <s v="0-5 Years"/>
  </r>
  <r>
    <n v="1107"/>
    <n v="30"/>
    <x v="0"/>
    <s v="Travel_Rarely"/>
    <n v="740"/>
    <s v="Sales"/>
    <n v="1"/>
    <n v="3"/>
    <s v="Life Sciences"/>
    <n v="1562"/>
    <n v="2"/>
    <s v="Male"/>
    <n v="64"/>
    <n v="2"/>
    <n v="2"/>
    <s v="Sales Executive"/>
    <n v="1"/>
    <s v="Married"/>
    <n v="9714"/>
    <n v="5323"/>
    <n v="1"/>
    <s v="No"/>
    <n v="11"/>
    <n v="3"/>
    <n v="4"/>
    <n v="80"/>
    <n v="1"/>
    <n v="10"/>
    <n v="4"/>
    <n v="3"/>
    <n v="10"/>
    <n v="8"/>
    <n v="6"/>
    <n v="7"/>
    <n v="1"/>
    <n v="0"/>
    <s v="25-34"/>
    <s v="Medium"/>
    <s v="6-10 Years"/>
  </r>
  <r>
    <n v="1108"/>
    <n v="38"/>
    <x v="1"/>
    <s v="Travel_Frequently"/>
    <n v="888"/>
    <s v="Human Resources"/>
    <n v="10"/>
    <n v="4"/>
    <s v="Human Resources"/>
    <n v="1563"/>
    <n v="3"/>
    <s v="Male"/>
    <n v="71"/>
    <n v="3"/>
    <n v="2"/>
    <s v="Human Resources"/>
    <n v="3"/>
    <s v="Married"/>
    <n v="6077"/>
    <n v="14814"/>
    <n v="3"/>
    <s v="No"/>
    <n v="11"/>
    <n v="3"/>
    <n v="3"/>
    <n v="80"/>
    <n v="0"/>
    <n v="10"/>
    <n v="2"/>
    <n v="3"/>
    <n v="6"/>
    <n v="3"/>
    <n v="1"/>
    <n v="2"/>
    <n v="0"/>
    <n v="1"/>
    <s v="35-44"/>
    <s v="Medium"/>
    <s v="6-10 Years"/>
  </r>
  <r>
    <n v="1109"/>
    <n v="35"/>
    <x v="1"/>
    <s v="Travel_Rarely"/>
    <n v="992"/>
    <s v="Research &amp; Development"/>
    <n v="1"/>
    <n v="3"/>
    <s v="Medical"/>
    <n v="1564"/>
    <n v="4"/>
    <s v="Male"/>
    <n v="68"/>
    <n v="2"/>
    <n v="1"/>
    <s v="Laboratory Technician"/>
    <n v="1"/>
    <s v="Single"/>
    <n v="2450"/>
    <n v="21731"/>
    <n v="1"/>
    <s v="No"/>
    <n v="19"/>
    <n v="3"/>
    <n v="2"/>
    <n v="80"/>
    <n v="0"/>
    <n v="3"/>
    <n v="3"/>
    <n v="3"/>
    <n v="3"/>
    <n v="0"/>
    <n v="1"/>
    <n v="2"/>
    <n v="0"/>
    <n v="1"/>
    <s v="35-44"/>
    <s v="Low"/>
    <s v="0-5 Years"/>
  </r>
  <r>
    <n v="1110"/>
    <n v="30"/>
    <x v="1"/>
    <s v="Travel_Rarely"/>
    <n v="1288"/>
    <s v="Sales"/>
    <n v="29"/>
    <n v="4"/>
    <s v="Technical Degree"/>
    <n v="1568"/>
    <n v="3"/>
    <s v="Male"/>
    <n v="33"/>
    <n v="3"/>
    <n v="3"/>
    <s v="Sales Executive"/>
    <n v="2"/>
    <s v="Married"/>
    <n v="9250"/>
    <n v="17799"/>
    <n v="3"/>
    <s v="No"/>
    <n v="12"/>
    <n v="3"/>
    <n v="2"/>
    <n v="80"/>
    <n v="1"/>
    <n v="9"/>
    <n v="3"/>
    <n v="3"/>
    <n v="4"/>
    <n v="2"/>
    <n v="1"/>
    <n v="3"/>
    <n v="0"/>
    <n v="1"/>
    <s v="25-34"/>
    <s v="Medium"/>
    <s v="0-5 Years"/>
  </r>
  <r>
    <n v="1111"/>
    <n v="35"/>
    <x v="0"/>
    <s v="Travel_Rarely"/>
    <n v="104"/>
    <s v="Research &amp; Development"/>
    <n v="2"/>
    <n v="3"/>
    <s v="Life Sciences"/>
    <n v="1569"/>
    <n v="1"/>
    <s v="Female"/>
    <n v="69"/>
    <n v="3"/>
    <n v="1"/>
    <s v="Laboratory Technician"/>
    <n v="1"/>
    <s v="Divorced"/>
    <n v="2074"/>
    <n v="26619"/>
    <n v="1"/>
    <s v="Yes"/>
    <n v="12"/>
    <n v="3"/>
    <n v="4"/>
    <n v="80"/>
    <n v="1"/>
    <n v="1"/>
    <n v="2"/>
    <n v="3"/>
    <n v="1"/>
    <n v="0"/>
    <n v="0"/>
    <n v="0"/>
    <n v="1"/>
    <n v="0"/>
    <s v="35-44"/>
    <s v="Low"/>
    <s v="0-5 Years"/>
  </r>
  <r>
    <n v="1112"/>
    <n v="53"/>
    <x v="0"/>
    <s v="Travel_Rarely"/>
    <n v="607"/>
    <s v="Research &amp; Development"/>
    <n v="2"/>
    <n v="5"/>
    <s v="Technical Degree"/>
    <n v="1572"/>
    <n v="3"/>
    <s v="Female"/>
    <n v="78"/>
    <n v="2"/>
    <n v="3"/>
    <s v="Manufacturing Director"/>
    <n v="4"/>
    <s v="Married"/>
    <n v="10169"/>
    <n v="14618"/>
    <n v="0"/>
    <s v="No"/>
    <n v="16"/>
    <n v="3"/>
    <n v="2"/>
    <n v="80"/>
    <n v="1"/>
    <n v="34"/>
    <n v="4"/>
    <n v="3"/>
    <n v="33"/>
    <n v="7"/>
    <n v="1"/>
    <n v="9"/>
    <n v="1"/>
    <n v="0"/>
    <s v="45-54"/>
    <s v="Upper Medium"/>
    <s v="21+ Years"/>
  </r>
  <r>
    <n v="1113"/>
    <n v="38"/>
    <x v="0"/>
    <s v="Travel_Rarely"/>
    <n v="903"/>
    <s v="Research &amp; Development"/>
    <n v="2"/>
    <n v="3"/>
    <s v="Medical"/>
    <n v="1573"/>
    <n v="3"/>
    <s v="Male"/>
    <n v="81"/>
    <n v="3"/>
    <n v="2"/>
    <s v="Manufacturing Director"/>
    <n v="2"/>
    <s v="Married"/>
    <n v="4855"/>
    <n v="7653"/>
    <n v="4"/>
    <s v="No"/>
    <n v="11"/>
    <n v="3"/>
    <n v="1"/>
    <n v="80"/>
    <n v="2"/>
    <n v="7"/>
    <n v="2"/>
    <n v="3"/>
    <n v="5"/>
    <n v="2"/>
    <n v="1"/>
    <n v="4"/>
    <n v="1"/>
    <n v="0"/>
    <s v="35-44"/>
    <s v="Low"/>
    <s v="0-5 Years"/>
  </r>
  <r>
    <n v="1114"/>
    <n v="32"/>
    <x v="1"/>
    <s v="Non-Travel"/>
    <n v="1200"/>
    <s v="Research &amp; Development"/>
    <n v="1"/>
    <n v="4"/>
    <s v="Technical Degree"/>
    <n v="1574"/>
    <n v="4"/>
    <s v="Male"/>
    <n v="62"/>
    <n v="3"/>
    <n v="2"/>
    <s v="Research Scientist"/>
    <n v="1"/>
    <s v="Married"/>
    <n v="4087"/>
    <n v="25174"/>
    <n v="4"/>
    <s v="No"/>
    <n v="14"/>
    <n v="3"/>
    <n v="2"/>
    <n v="80"/>
    <n v="1"/>
    <n v="9"/>
    <n v="3"/>
    <n v="2"/>
    <n v="6"/>
    <n v="5"/>
    <n v="1"/>
    <n v="2"/>
    <n v="0"/>
    <n v="1"/>
    <s v="25-34"/>
    <s v="Low"/>
    <s v="6-10 Years"/>
  </r>
  <r>
    <n v="1115"/>
    <n v="48"/>
    <x v="1"/>
    <s v="Travel_Rarely"/>
    <n v="1108"/>
    <s v="Research &amp; Development"/>
    <n v="15"/>
    <n v="4"/>
    <s v="Other"/>
    <n v="1576"/>
    <n v="3"/>
    <s v="Female"/>
    <n v="65"/>
    <n v="3"/>
    <n v="1"/>
    <s v="Research Scientist"/>
    <n v="1"/>
    <s v="Married"/>
    <n v="2367"/>
    <n v="16530"/>
    <n v="8"/>
    <s v="No"/>
    <n v="12"/>
    <n v="3"/>
    <n v="4"/>
    <n v="80"/>
    <n v="1"/>
    <n v="10"/>
    <n v="3"/>
    <n v="2"/>
    <n v="8"/>
    <n v="2"/>
    <n v="7"/>
    <n v="6"/>
    <n v="0"/>
    <n v="1"/>
    <s v="45-54"/>
    <s v="Low"/>
    <s v="6-10 Years"/>
  </r>
  <r>
    <n v="1116"/>
    <n v="34"/>
    <x v="1"/>
    <s v="Travel_Rarely"/>
    <n v="479"/>
    <s v="Research &amp; Development"/>
    <n v="7"/>
    <n v="4"/>
    <s v="Medical"/>
    <n v="1577"/>
    <n v="1"/>
    <s v="Male"/>
    <n v="35"/>
    <n v="3"/>
    <n v="1"/>
    <s v="Research Scientist"/>
    <n v="4"/>
    <s v="Single"/>
    <n v="2972"/>
    <n v="22061"/>
    <n v="1"/>
    <s v="No"/>
    <n v="13"/>
    <n v="3"/>
    <n v="3"/>
    <n v="80"/>
    <n v="0"/>
    <n v="1"/>
    <n v="4"/>
    <n v="1"/>
    <n v="1"/>
    <n v="0"/>
    <n v="0"/>
    <n v="0"/>
    <n v="0"/>
    <n v="1"/>
    <s v="25-34"/>
    <s v="Low"/>
    <s v="0-5 Years"/>
  </r>
  <r>
    <n v="1117"/>
    <n v="55"/>
    <x v="1"/>
    <s v="Travel_Rarely"/>
    <n v="685"/>
    <s v="Sales"/>
    <n v="26"/>
    <n v="5"/>
    <s v="Marketing"/>
    <n v="1578"/>
    <n v="3"/>
    <s v="Male"/>
    <n v="60"/>
    <n v="2"/>
    <n v="5"/>
    <s v="Manager"/>
    <n v="4"/>
    <s v="Married"/>
    <n v="19586"/>
    <n v="23037"/>
    <n v="1"/>
    <s v="No"/>
    <n v="21"/>
    <n v="4"/>
    <n v="3"/>
    <n v="80"/>
    <n v="1"/>
    <n v="36"/>
    <n v="3"/>
    <n v="3"/>
    <n v="36"/>
    <n v="6"/>
    <n v="2"/>
    <n v="13"/>
    <n v="0"/>
    <n v="1"/>
    <s v="55+"/>
    <s v="High"/>
    <s v="21+ Years"/>
  </r>
  <r>
    <n v="1118"/>
    <n v="34"/>
    <x v="1"/>
    <s v="Travel_Rarely"/>
    <n v="1351"/>
    <s v="Research &amp; Development"/>
    <n v="1"/>
    <n v="4"/>
    <s v="Life Sciences"/>
    <n v="1580"/>
    <n v="2"/>
    <s v="Male"/>
    <n v="45"/>
    <n v="3"/>
    <n v="2"/>
    <s v="Research Scientist"/>
    <n v="4"/>
    <s v="Married"/>
    <n v="5484"/>
    <n v="13008"/>
    <n v="9"/>
    <s v="No"/>
    <n v="17"/>
    <n v="3"/>
    <n v="2"/>
    <n v="80"/>
    <n v="1"/>
    <n v="9"/>
    <n v="3"/>
    <n v="2"/>
    <n v="2"/>
    <n v="2"/>
    <n v="2"/>
    <n v="1"/>
    <n v="0"/>
    <n v="1"/>
    <s v="25-34"/>
    <s v="Medium"/>
    <s v="0-5 Years"/>
  </r>
  <r>
    <n v="1119"/>
    <n v="26"/>
    <x v="1"/>
    <s v="Travel_Rarely"/>
    <n v="474"/>
    <s v="Research &amp; Development"/>
    <n v="3"/>
    <n v="3"/>
    <s v="Life Sciences"/>
    <n v="1581"/>
    <n v="1"/>
    <s v="Female"/>
    <n v="89"/>
    <n v="3"/>
    <n v="1"/>
    <s v="Research Scientist"/>
    <n v="4"/>
    <s v="Married"/>
    <n v="2061"/>
    <n v="11133"/>
    <n v="1"/>
    <s v="No"/>
    <n v="21"/>
    <n v="4"/>
    <n v="1"/>
    <n v="80"/>
    <n v="0"/>
    <n v="1"/>
    <n v="5"/>
    <n v="3"/>
    <n v="1"/>
    <n v="0"/>
    <n v="0"/>
    <n v="0"/>
    <n v="0"/>
    <n v="1"/>
    <s v="25-34"/>
    <s v="Low"/>
    <s v="0-5 Years"/>
  </r>
  <r>
    <n v="1120"/>
    <n v="38"/>
    <x v="1"/>
    <s v="Travel_Rarely"/>
    <n v="1245"/>
    <s v="Sales"/>
    <n v="14"/>
    <n v="3"/>
    <s v="Life Sciences"/>
    <n v="1582"/>
    <n v="3"/>
    <s v="Male"/>
    <n v="80"/>
    <n v="3"/>
    <n v="2"/>
    <s v="Sales Executive"/>
    <n v="2"/>
    <s v="Married"/>
    <n v="9924"/>
    <n v="12355"/>
    <n v="0"/>
    <s v="No"/>
    <n v="11"/>
    <n v="3"/>
    <n v="4"/>
    <n v="80"/>
    <n v="1"/>
    <n v="10"/>
    <n v="3"/>
    <n v="3"/>
    <n v="9"/>
    <n v="8"/>
    <n v="7"/>
    <n v="7"/>
    <n v="0"/>
    <n v="1"/>
    <s v="35-44"/>
    <s v="Medium"/>
    <s v="6-10 Years"/>
  </r>
  <r>
    <n v="1121"/>
    <n v="38"/>
    <x v="1"/>
    <s v="Travel_Rarely"/>
    <n v="437"/>
    <s v="Sales"/>
    <n v="16"/>
    <n v="3"/>
    <s v="Life Sciences"/>
    <n v="1583"/>
    <n v="2"/>
    <s v="Female"/>
    <n v="90"/>
    <n v="3"/>
    <n v="2"/>
    <s v="Sales Executive"/>
    <n v="2"/>
    <s v="Single"/>
    <n v="4198"/>
    <n v="16379"/>
    <n v="2"/>
    <s v="No"/>
    <n v="12"/>
    <n v="3"/>
    <n v="2"/>
    <n v="80"/>
    <n v="0"/>
    <n v="8"/>
    <n v="5"/>
    <n v="4"/>
    <n v="3"/>
    <n v="2"/>
    <n v="1"/>
    <n v="2"/>
    <n v="0"/>
    <n v="1"/>
    <s v="35-44"/>
    <s v="Low"/>
    <s v="0-5 Years"/>
  </r>
  <r>
    <n v="1122"/>
    <n v="36"/>
    <x v="1"/>
    <s v="Travel_Rarely"/>
    <n v="884"/>
    <s v="Sales"/>
    <n v="1"/>
    <n v="4"/>
    <s v="Life Sciences"/>
    <n v="1585"/>
    <n v="2"/>
    <s v="Female"/>
    <n v="73"/>
    <n v="3"/>
    <n v="2"/>
    <s v="Sales Executive"/>
    <n v="3"/>
    <s v="Single"/>
    <n v="6815"/>
    <n v="21447"/>
    <n v="6"/>
    <s v="No"/>
    <n v="13"/>
    <n v="3"/>
    <n v="1"/>
    <n v="80"/>
    <n v="0"/>
    <n v="15"/>
    <n v="5"/>
    <n v="3"/>
    <n v="1"/>
    <n v="0"/>
    <n v="0"/>
    <n v="0"/>
    <n v="0"/>
    <n v="1"/>
    <s v="35-44"/>
    <s v="Medium"/>
    <s v="0-5 Years"/>
  </r>
  <r>
    <n v="1123"/>
    <n v="29"/>
    <x v="1"/>
    <s v="Travel_Rarely"/>
    <n v="1370"/>
    <s v="Research &amp; Development"/>
    <n v="3"/>
    <n v="1"/>
    <s v="Medical"/>
    <n v="1586"/>
    <n v="2"/>
    <s v="Male"/>
    <n v="87"/>
    <n v="3"/>
    <n v="1"/>
    <s v="Laboratory Technician"/>
    <n v="1"/>
    <s v="Single"/>
    <n v="4723"/>
    <n v="16213"/>
    <n v="1"/>
    <s v="Yes"/>
    <n v="18"/>
    <n v="3"/>
    <n v="4"/>
    <n v="80"/>
    <n v="0"/>
    <n v="10"/>
    <n v="3"/>
    <n v="3"/>
    <n v="10"/>
    <n v="9"/>
    <n v="1"/>
    <n v="5"/>
    <n v="0"/>
    <n v="1"/>
    <s v="25-34"/>
    <s v="Low"/>
    <s v="6-10 Years"/>
  </r>
  <r>
    <n v="1124"/>
    <n v="35"/>
    <x v="1"/>
    <s v="Travel_Rarely"/>
    <n v="670"/>
    <s v="Research &amp; Development"/>
    <n v="10"/>
    <n v="4"/>
    <s v="Medical"/>
    <n v="1587"/>
    <n v="1"/>
    <s v="Female"/>
    <n v="51"/>
    <n v="3"/>
    <n v="2"/>
    <s v="Healthcare Representative"/>
    <n v="3"/>
    <s v="Single"/>
    <n v="6142"/>
    <n v="4223"/>
    <n v="3"/>
    <s v="Yes"/>
    <n v="16"/>
    <n v="3"/>
    <n v="3"/>
    <n v="80"/>
    <n v="0"/>
    <n v="10"/>
    <n v="4"/>
    <n v="3"/>
    <n v="5"/>
    <n v="2"/>
    <n v="0"/>
    <n v="4"/>
    <n v="0"/>
    <n v="1"/>
    <s v="35-44"/>
    <s v="Medium"/>
    <s v="0-5 Years"/>
  </r>
  <r>
    <n v="1125"/>
    <n v="39"/>
    <x v="1"/>
    <s v="Travel_Rarely"/>
    <n v="1462"/>
    <s v="Sales"/>
    <n v="6"/>
    <n v="3"/>
    <s v="Medical"/>
    <n v="1588"/>
    <n v="4"/>
    <s v="Male"/>
    <n v="38"/>
    <n v="4"/>
    <n v="3"/>
    <s v="Sales Executive"/>
    <n v="3"/>
    <s v="Married"/>
    <n v="8237"/>
    <n v="4658"/>
    <n v="2"/>
    <s v="No"/>
    <n v="11"/>
    <n v="3"/>
    <n v="1"/>
    <n v="80"/>
    <n v="1"/>
    <n v="11"/>
    <n v="3"/>
    <n v="3"/>
    <n v="7"/>
    <n v="6"/>
    <n v="7"/>
    <n v="6"/>
    <n v="0"/>
    <n v="1"/>
    <s v="35-44"/>
    <s v="Medium"/>
    <s v="6-10 Years"/>
  </r>
  <r>
    <n v="1126"/>
    <n v="29"/>
    <x v="1"/>
    <s v="Travel_Frequently"/>
    <n v="995"/>
    <s v="Research &amp; Development"/>
    <n v="2"/>
    <n v="1"/>
    <s v="Life Sciences"/>
    <n v="1590"/>
    <n v="1"/>
    <s v="Male"/>
    <n v="87"/>
    <n v="3"/>
    <n v="2"/>
    <s v="Healthcare Representative"/>
    <n v="4"/>
    <s v="Divorced"/>
    <n v="8853"/>
    <n v="24483"/>
    <n v="1"/>
    <s v="No"/>
    <n v="19"/>
    <n v="3"/>
    <n v="4"/>
    <n v="80"/>
    <n v="1"/>
    <n v="6"/>
    <n v="0"/>
    <n v="4"/>
    <n v="6"/>
    <n v="4"/>
    <n v="1"/>
    <n v="3"/>
    <n v="0"/>
    <n v="1"/>
    <s v="25-34"/>
    <s v="Medium"/>
    <s v="6-10 Years"/>
  </r>
  <r>
    <n v="1127"/>
    <n v="50"/>
    <x v="1"/>
    <s v="Travel_Rarely"/>
    <n v="264"/>
    <s v="Sales"/>
    <n v="9"/>
    <n v="3"/>
    <s v="Marketing"/>
    <n v="1591"/>
    <n v="3"/>
    <s v="Male"/>
    <n v="59"/>
    <n v="3"/>
    <n v="5"/>
    <s v="Manager"/>
    <n v="3"/>
    <s v="Married"/>
    <n v="19331"/>
    <n v="19519"/>
    <n v="4"/>
    <s v="Yes"/>
    <n v="16"/>
    <n v="3"/>
    <n v="3"/>
    <n v="80"/>
    <n v="1"/>
    <n v="27"/>
    <n v="2"/>
    <n v="3"/>
    <n v="1"/>
    <n v="0"/>
    <n v="0"/>
    <n v="0"/>
    <n v="0"/>
    <n v="1"/>
    <s v="45-54"/>
    <s v="High"/>
    <s v="0-5 Years"/>
  </r>
  <r>
    <n v="1128"/>
    <n v="23"/>
    <x v="1"/>
    <s v="Travel_Rarely"/>
    <n v="977"/>
    <s v="Research &amp; Development"/>
    <n v="10"/>
    <n v="3"/>
    <s v="Technical Degree"/>
    <n v="1592"/>
    <n v="4"/>
    <s v="Male"/>
    <n v="45"/>
    <n v="4"/>
    <n v="1"/>
    <s v="Research Scientist"/>
    <n v="3"/>
    <s v="Married"/>
    <n v="2073"/>
    <n v="12826"/>
    <n v="2"/>
    <s v="No"/>
    <n v="16"/>
    <n v="3"/>
    <n v="4"/>
    <n v="80"/>
    <n v="1"/>
    <n v="4"/>
    <n v="2"/>
    <n v="3"/>
    <n v="2"/>
    <n v="2"/>
    <n v="2"/>
    <n v="2"/>
    <n v="0"/>
    <n v="1"/>
    <s v="Under 25"/>
    <s v="Low"/>
    <s v="0-5 Years"/>
  </r>
  <r>
    <n v="1129"/>
    <n v="36"/>
    <x v="1"/>
    <s v="Travel_Frequently"/>
    <n v="1302"/>
    <s v="Research &amp; Development"/>
    <n v="6"/>
    <n v="4"/>
    <s v="Life Sciences"/>
    <n v="1594"/>
    <n v="1"/>
    <s v="Male"/>
    <n v="80"/>
    <n v="4"/>
    <n v="2"/>
    <s v="Laboratory Technician"/>
    <n v="1"/>
    <s v="Married"/>
    <n v="5562"/>
    <n v="19711"/>
    <n v="3"/>
    <s v="Yes"/>
    <n v="13"/>
    <n v="3"/>
    <n v="4"/>
    <n v="80"/>
    <n v="1"/>
    <n v="9"/>
    <n v="3"/>
    <n v="3"/>
    <n v="3"/>
    <n v="2"/>
    <n v="0"/>
    <n v="2"/>
    <n v="0"/>
    <n v="1"/>
    <s v="35-44"/>
    <s v="Medium"/>
    <s v="0-5 Years"/>
  </r>
  <r>
    <n v="1130"/>
    <n v="42"/>
    <x v="1"/>
    <s v="Travel_Rarely"/>
    <n v="1059"/>
    <s v="Research &amp; Development"/>
    <n v="9"/>
    <n v="2"/>
    <s v="Other"/>
    <n v="1595"/>
    <n v="4"/>
    <s v="Male"/>
    <n v="93"/>
    <n v="2"/>
    <n v="5"/>
    <s v="Manager"/>
    <n v="4"/>
    <s v="Single"/>
    <n v="19613"/>
    <n v="26362"/>
    <n v="8"/>
    <s v="No"/>
    <n v="22"/>
    <n v="4"/>
    <n v="4"/>
    <n v="80"/>
    <n v="0"/>
    <n v="24"/>
    <n v="2"/>
    <n v="3"/>
    <n v="1"/>
    <n v="0"/>
    <n v="0"/>
    <n v="1"/>
    <n v="0"/>
    <n v="1"/>
    <s v="35-44"/>
    <s v="High"/>
    <s v="0-5 Years"/>
  </r>
  <r>
    <n v="1131"/>
    <n v="35"/>
    <x v="1"/>
    <s v="Travel_Rarely"/>
    <n v="750"/>
    <s v="Research &amp; Development"/>
    <n v="28"/>
    <n v="3"/>
    <s v="Life Sciences"/>
    <n v="1596"/>
    <n v="2"/>
    <s v="Male"/>
    <n v="46"/>
    <n v="4"/>
    <n v="2"/>
    <s v="Laboratory Technician"/>
    <n v="3"/>
    <s v="Married"/>
    <n v="3407"/>
    <n v="25348"/>
    <n v="1"/>
    <s v="No"/>
    <n v="17"/>
    <n v="3"/>
    <n v="4"/>
    <n v="80"/>
    <n v="2"/>
    <n v="10"/>
    <n v="3"/>
    <n v="2"/>
    <n v="10"/>
    <n v="9"/>
    <n v="6"/>
    <n v="8"/>
    <n v="0"/>
    <n v="1"/>
    <s v="35-44"/>
    <s v="Low"/>
    <s v="6-10 Years"/>
  </r>
  <r>
    <n v="1132"/>
    <n v="34"/>
    <x v="1"/>
    <s v="Travel_Frequently"/>
    <n v="653"/>
    <s v="Research &amp; Development"/>
    <n v="10"/>
    <n v="4"/>
    <s v="Technical Degree"/>
    <n v="1597"/>
    <n v="4"/>
    <s v="Male"/>
    <n v="92"/>
    <n v="2"/>
    <n v="2"/>
    <s v="Healthcare Representative"/>
    <n v="3"/>
    <s v="Married"/>
    <n v="5063"/>
    <n v="15332"/>
    <n v="1"/>
    <s v="No"/>
    <n v="14"/>
    <n v="3"/>
    <n v="2"/>
    <n v="80"/>
    <n v="1"/>
    <n v="8"/>
    <n v="3"/>
    <n v="2"/>
    <n v="8"/>
    <n v="2"/>
    <n v="7"/>
    <n v="7"/>
    <n v="0"/>
    <n v="1"/>
    <s v="25-34"/>
    <s v="Medium"/>
    <s v="6-10 Years"/>
  </r>
  <r>
    <n v="1133"/>
    <n v="40"/>
    <x v="1"/>
    <s v="Travel_Rarely"/>
    <n v="118"/>
    <s v="Sales"/>
    <n v="14"/>
    <n v="2"/>
    <s v="Life Sciences"/>
    <n v="1598"/>
    <n v="4"/>
    <s v="Female"/>
    <n v="84"/>
    <n v="3"/>
    <n v="2"/>
    <s v="Sales Executive"/>
    <n v="1"/>
    <s v="Married"/>
    <n v="4639"/>
    <n v="11262"/>
    <n v="1"/>
    <s v="No"/>
    <n v="15"/>
    <n v="3"/>
    <n v="3"/>
    <n v="80"/>
    <n v="1"/>
    <n v="5"/>
    <n v="2"/>
    <n v="3"/>
    <n v="5"/>
    <n v="4"/>
    <n v="1"/>
    <n v="2"/>
    <n v="0"/>
    <n v="1"/>
    <s v="35-44"/>
    <s v="Low"/>
    <s v="0-5 Years"/>
  </r>
  <r>
    <n v="1134"/>
    <n v="43"/>
    <x v="1"/>
    <s v="Travel_Rarely"/>
    <n v="990"/>
    <s v="Research &amp; Development"/>
    <n v="27"/>
    <n v="3"/>
    <s v="Technical Degree"/>
    <n v="1599"/>
    <n v="4"/>
    <s v="Male"/>
    <n v="87"/>
    <n v="4"/>
    <n v="1"/>
    <s v="Laboratory Technician"/>
    <n v="2"/>
    <s v="Divorced"/>
    <n v="4876"/>
    <n v="5855"/>
    <n v="5"/>
    <s v="No"/>
    <n v="12"/>
    <n v="3"/>
    <n v="3"/>
    <n v="80"/>
    <n v="1"/>
    <n v="8"/>
    <n v="0"/>
    <n v="3"/>
    <n v="6"/>
    <n v="4"/>
    <n v="0"/>
    <n v="2"/>
    <n v="0"/>
    <n v="1"/>
    <s v="35-44"/>
    <s v="Low"/>
    <s v="6-10 Years"/>
  </r>
  <r>
    <n v="1135"/>
    <n v="35"/>
    <x v="1"/>
    <s v="Travel_Rarely"/>
    <n v="1349"/>
    <s v="Research &amp; Development"/>
    <n v="7"/>
    <n v="2"/>
    <s v="Life Sciences"/>
    <n v="1601"/>
    <n v="3"/>
    <s v="Male"/>
    <n v="63"/>
    <n v="2"/>
    <n v="1"/>
    <s v="Laboratory Technician"/>
    <n v="4"/>
    <s v="Married"/>
    <n v="2690"/>
    <n v="7713"/>
    <n v="1"/>
    <s v="No"/>
    <n v="18"/>
    <n v="3"/>
    <n v="4"/>
    <n v="80"/>
    <n v="1"/>
    <n v="1"/>
    <n v="5"/>
    <n v="2"/>
    <n v="1"/>
    <n v="0"/>
    <n v="0"/>
    <n v="1"/>
    <n v="0"/>
    <n v="1"/>
    <s v="35-44"/>
    <s v="Low"/>
    <s v="0-5 Years"/>
  </r>
  <r>
    <n v="1136"/>
    <n v="46"/>
    <x v="1"/>
    <s v="Travel_Rarely"/>
    <n v="563"/>
    <s v="Sales"/>
    <n v="1"/>
    <n v="4"/>
    <s v="Life Sciences"/>
    <n v="1602"/>
    <n v="4"/>
    <s v="Male"/>
    <n v="56"/>
    <n v="4"/>
    <n v="4"/>
    <s v="Manager"/>
    <n v="1"/>
    <s v="Single"/>
    <n v="17567"/>
    <n v="3156"/>
    <n v="1"/>
    <s v="No"/>
    <n v="15"/>
    <n v="3"/>
    <n v="2"/>
    <n v="80"/>
    <n v="0"/>
    <n v="27"/>
    <n v="5"/>
    <n v="1"/>
    <n v="26"/>
    <n v="0"/>
    <n v="0"/>
    <n v="12"/>
    <n v="0"/>
    <n v="1"/>
    <s v="45-54"/>
    <s v="High"/>
    <s v="21+ Years"/>
  </r>
  <r>
    <n v="1137"/>
    <n v="28"/>
    <x v="0"/>
    <s v="Travel_Rarely"/>
    <n v="329"/>
    <s v="Research &amp; Development"/>
    <n v="24"/>
    <n v="3"/>
    <s v="Medical"/>
    <n v="1604"/>
    <n v="3"/>
    <s v="Male"/>
    <n v="51"/>
    <n v="3"/>
    <n v="1"/>
    <s v="Laboratory Technician"/>
    <n v="2"/>
    <s v="Married"/>
    <n v="2408"/>
    <n v="7324"/>
    <n v="1"/>
    <s v="Yes"/>
    <n v="17"/>
    <n v="3"/>
    <n v="3"/>
    <n v="80"/>
    <n v="3"/>
    <n v="1"/>
    <n v="3"/>
    <n v="3"/>
    <n v="1"/>
    <n v="1"/>
    <n v="0"/>
    <n v="0"/>
    <n v="1"/>
    <n v="0"/>
    <s v="25-34"/>
    <s v="Low"/>
    <s v="0-5 Years"/>
  </r>
  <r>
    <n v="1138"/>
    <n v="22"/>
    <x v="1"/>
    <s v="Non-Travel"/>
    <n v="457"/>
    <s v="Research &amp; Development"/>
    <n v="26"/>
    <n v="2"/>
    <s v="Other"/>
    <n v="1605"/>
    <n v="2"/>
    <s v="Female"/>
    <n v="85"/>
    <n v="2"/>
    <n v="1"/>
    <s v="Research Scientist"/>
    <n v="3"/>
    <s v="Married"/>
    <n v="2814"/>
    <n v="10293"/>
    <n v="1"/>
    <s v="Yes"/>
    <n v="14"/>
    <n v="3"/>
    <n v="2"/>
    <n v="80"/>
    <n v="0"/>
    <n v="4"/>
    <n v="2"/>
    <n v="2"/>
    <n v="4"/>
    <n v="2"/>
    <n v="1"/>
    <n v="3"/>
    <n v="0"/>
    <n v="1"/>
    <s v="Under 25"/>
    <s v="Low"/>
    <s v="0-5 Years"/>
  </r>
  <r>
    <n v="1139"/>
    <n v="50"/>
    <x v="1"/>
    <s v="Travel_Frequently"/>
    <n v="1234"/>
    <s v="Research &amp; Development"/>
    <n v="20"/>
    <n v="5"/>
    <s v="Medical"/>
    <n v="1606"/>
    <n v="2"/>
    <s v="Male"/>
    <n v="41"/>
    <n v="3"/>
    <n v="4"/>
    <s v="Healthcare Representative"/>
    <n v="3"/>
    <s v="Married"/>
    <n v="11245"/>
    <n v="20689"/>
    <n v="2"/>
    <s v="Yes"/>
    <n v="15"/>
    <n v="3"/>
    <n v="3"/>
    <n v="80"/>
    <n v="1"/>
    <n v="32"/>
    <n v="3"/>
    <n v="3"/>
    <n v="30"/>
    <n v="8"/>
    <n v="12"/>
    <n v="13"/>
    <n v="0"/>
    <n v="1"/>
    <s v="45-54"/>
    <s v="Upper Medium"/>
    <s v="21+ Years"/>
  </r>
  <r>
    <n v="1140"/>
    <n v="32"/>
    <x v="1"/>
    <s v="Travel_Rarely"/>
    <n v="634"/>
    <s v="Research &amp; Development"/>
    <n v="5"/>
    <n v="4"/>
    <s v="Other"/>
    <n v="1607"/>
    <n v="2"/>
    <s v="Female"/>
    <n v="35"/>
    <n v="4"/>
    <n v="1"/>
    <s v="Research Scientist"/>
    <n v="4"/>
    <s v="Married"/>
    <n v="3312"/>
    <n v="18783"/>
    <n v="3"/>
    <s v="No"/>
    <n v="17"/>
    <n v="3"/>
    <n v="4"/>
    <n v="80"/>
    <n v="2"/>
    <n v="6"/>
    <n v="3"/>
    <n v="3"/>
    <n v="3"/>
    <n v="2"/>
    <n v="0"/>
    <n v="2"/>
    <n v="0"/>
    <n v="1"/>
    <s v="25-34"/>
    <s v="Low"/>
    <s v="0-5 Years"/>
  </r>
  <r>
    <n v="1141"/>
    <n v="44"/>
    <x v="1"/>
    <s v="Travel_Rarely"/>
    <n v="1313"/>
    <s v="Research &amp; Development"/>
    <n v="7"/>
    <n v="3"/>
    <s v="Medical"/>
    <n v="1608"/>
    <n v="2"/>
    <s v="Female"/>
    <n v="31"/>
    <n v="3"/>
    <n v="5"/>
    <s v="Research Director"/>
    <n v="4"/>
    <s v="Divorced"/>
    <n v="19049"/>
    <n v="3549"/>
    <n v="0"/>
    <s v="Yes"/>
    <n v="14"/>
    <n v="3"/>
    <n v="4"/>
    <n v="80"/>
    <n v="1"/>
    <n v="23"/>
    <n v="4"/>
    <n v="2"/>
    <n v="22"/>
    <n v="7"/>
    <n v="1"/>
    <n v="10"/>
    <n v="0"/>
    <n v="1"/>
    <s v="35-44"/>
    <s v="High"/>
    <s v="21+ Years"/>
  </r>
  <r>
    <n v="1142"/>
    <n v="30"/>
    <x v="1"/>
    <s v="Travel_Rarely"/>
    <n v="241"/>
    <s v="Research &amp; Development"/>
    <n v="7"/>
    <n v="3"/>
    <s v="Medical"/>
    <n v="1609"/>
    <n v="2"/>
    <s v="Male"/>
    <n v="48"/>
    <n v="2"/>
    <n v="1"/>
    <s v="Research Scientist"/>
    <n v="2"/>
    <s v="Married"/>
    <n v="2141"/>
    <n v="5348"/>
    <n v="1"/>
    <s v="No"/>
    <n v="12"/>
    <n v="3"/>
    <n v="2"/>
    <n v="80"/>
    <n v="1"/>
    <n v="6"/>
    <n v="3"/>
    <n v="2"/>
    <n v="6"/>
    <n v="4"/>
    <n v="1"/>
    <n v="1"/>
    <n v="0"/>
    <n v="1"/>
    <s v="25-34"/>
    <s v="Low"/>
    <s v="6-10 Years"/>
  </r>
  <r>
    <n v="1143"/>
    <n v="45"/>
    <x v="1"/>
    <s v="Travel_Rarely"/>
    <n v="1015"/>
    <s v="Research &amp; Development"/>
    <n v="5"/>
    <n v="5"/>
    <s v="Medical"/>
    <n v="1611"/>
    <n v="3"/>
    <s v="Female"/>
    <n v="50"/>
    <n v="1"/>
    <n v="2"/>
    <s v="Laboratory Technician"/>
    <n v="1"/>
    <s v="Single"/>
    <n v="5769"/>
    <n v="23447"/>
    <n v="1"/>
    <s v="Yes"/>
    <n v="14"/>
    <n v="3"/>
    <n v="1"/>
    <n v="80"/>
    <n v="0"/>
    <n v="10"/>
    <n v="3"/>
    <n v="3"/>
    <n v="10"/>
    <n v="7"/>
    <n v="1"/>
    <n v="4"/>
    <n v="0"/>
    <n v="1"/>
    <s v="45-54"/>
    <s v="Medium"/>
    <s v="6-10 Years"/>
  </r>
  <r>
    <n v="1144"/>
    <n v="45"/>
    <x v="1"/>
    <s v="Non-Travel"/>
    <n v="336"/>
    <s v="Sales"/>
    <n v="26"/>
    <n v="3"/>
    <s v="Marketing"/>
    <n v="1612"/>
    <n v="1"/>
    <s v="Male"/>
    <n v="52"/>
    <n v="2"/>
    <n v="2"/>
    <s v="Sales Executive"/>
    <n v="1"/>
    <s v="Married"/>
    <n v="4385"/>
    <n v="24162"/>
    <n v="1"/>
    <s v="No"/>
    <n v="15"/>
    <n v="3"/>
    <n v="1"/>
    <n v="80"/>
    <n v="1"/>
    <n v="10"/>
    <n v="2"/>
    <n v="3"/>
    <n v="10"/>
    <n v="7"/>
    <n v="4"/>
    <n v="5"/>
    <n v="0"/>
    <n v="1"/>
    <s v="45-54"/>
    <s v="Low"/>
    <s v="6-10 Years"/>
  </r>
  <r>
    <n v="1145"/>
    <n v="31"/>
    <x v="1"/>
    <s v="Travel_Frequently"/>
    <n v="715"/>
    <s v="Sales"/>
    <n v="2"/>
    <n v="4"/>
    <s v="Other"/>
    <n v="1613"/>
    <n v="4"/>
    <s v="Male"/>
    <n v="54"/>
    <n v="3"/>
    <n v="2"/>
    <s v="Sales Executive"/>
    <n v="1"/>
    <s v="Single"/>
    <n v="5332"/>
    <n v="21602"/>
    <n v="7"/>
    <s v="No"/>
    <n v="13"/>
    <n v="3"/>
    <n v="4"/>
    <n v="80"/>
    <n v="0"/>
    <n v="10"/>
    <n v="3"/>
    <n v="3"/>
    <n v="5"/>
    <n v="2"/>
    <n v="0"/>
    <n v="3"/>
    <n v="0"/>
    <n v="1"/>
    <s v="25-34"/>
    <s v="Medium"/>
    <s v="0-5 Years"/>
  </r>
  <r>
    <n v="1146"/>
    <n v="36"/>
    <x v="1"/>
    <s v="Travel_Rarely"/>
    <n v="559"/>
    <s v="Research &amp; Development"/>
    <n v="12"/>
    <n v="4"/>
    <s v="Life Sciences"/>
    <n v="1614"/>
    <n v="3"/>
    <s v="Female"/>
    <n v="76"/>
    <n v="3"/>
    <n v="2"/>
    <s v="Manufacturing Director"/>
    <n v="3"/>
    <s v="Married"/>
    <n v="4663"/>
    <n v="12421"/>
    <n v="9"/>
    <s v="Yes"/>
    <n v="12"/>
    <n v="3"/>
    <n v="2"/>
    <n v="80"/>
    <n v="2"/>
    <n v="7"/>
    <n v="2"/>
    <n v="3"/>
    <n v="3"/>
    <n v="2"/>
    <n v="1"/>
    <n v="1"/>
    <n v="0"/>
    <n v="1"/>
    <s v="35-44"/>
    <s v="Low"/>
    <s v="0-5 Years"/>
  </r>
  <r>
    <n v="1147"/>
    <n v="34"/>
    <x v="1"/>
    <s v="Travel_Frequently"/>
    <n v="426"/>
    <s v="Research &amp; Development"/>
    <n v="10"/>
    <n v="4"/>
    <s v="Life Sciences"/>
    <n v="1615"/>
    <n v="3"/>
    <s v="Male"/>
    <n v="42"/>
    <n v="4"/>
    <n v="2"/>
    <s v="Manufacturing Director"/>
    <n v="4"/>
    <s v="Divorced"/>
    <n v="4724"/>
    <n v="17000"/>
    <n v="1"/>
    <s v="No"/>
    <n v="13"/>
    <n v="3"/>
    <n v="1"/>
    <n v="80"/>
    <n v="1"/>
    <n v="9"/>
    <n v="3"/>
    <n v="3"/>
    <n v="9"/>
    <n v="7"/>
    <n v="7"/>
    <n v="2"/>
    <n v="0"/>
    <n v="1"/>
    <s v="25-34"/>
    <s v="Low"/>
    <s v="6-10 Years"/>
  </r>
  <r>
    <n v="1148"/>
    <n v="49"/>
    <x v="1"/>
    <s v="Travel_Rarely"/>
    <n v="722"/>
    <s v="Research &amp; Development"/>
    <n v="25"/>
    <n v="4"/>
    <s v="Life Sciences"/>
    <n v="1617"/>
    <n v="3"/>
    <s v="Female"/>
    <n v="84"/>
    <n v="3"/>
    <n v="1"/>
    <s v="Laboratory Technician"/>
    <n v="1"/>
    <s v="Married"/>
    <n v="3211"/>
    <n v="22102"/>
    <n v="1"/>
    <s v="No"/>
    <n v="14"/>
    <n v="3"/>
    <n v="4"/>
    <n v="80"/>
    <n v="1"/>
    <n v="10"/>
    <n v="3"/>
    <n v="2"/>
    <n v="9"/>
    <n v="6"/>
    <n v="1"/>
    <n v="4"/>
    <n v="0"/>
    <n v="1"/>
    <s v="45-54"/>
    <s v="Low"/>
    <s v="6-10 Years"/>
  </r>
  <r>
    <n v="1149"/>
    <n v="39"/>
    <x v="1"/>
    <s v="Travel_Rarely"/>
    <n v="1387"/>
    <s v="Research &amp; Development"/>
    <n v="10"/>
    <n v="5"/>
    <s v="Medical"/>
    <n v="1618"/>
    <n v="2"/>
    <s v="Male"/>
    <n v="76"/>
    <n v="3"/>
    <n v="2"/>
    <s v="Manufacturing Director"/>
    <n v="1"/>
    <s v="Married"/>
    <n v="5377"/>
    <n v="3835"/>
    <n v="2"/>
    <s v="No"/>
    <n v="13"/>
    <n v="3"/>
    <n v="4"/>
    <n v="80"/>
    <n v="3"/>
    <n v="10"/>
    <n v="3"/>
    <n v="3"/>
    <n v="7"/>
    <n v="7"/>
    <n v="7"/>
    <n v="7"/>
    <n v="0"/>
    <n v="1"/>
    <s v="35-44"/>
    <s v="Medium"/>
    <s v="6-10 Years"/>
  </r>
  <r>
    <n v="1150"/>
    <n v="27"/>
    <x v="1"/>
    <s v="Travel_Rarely"/>
    <n v="1302"/>
    <s v="Research &amp; Development"/>
    <n v="19"/>
    <n v="3"/>
    <s v="Other"/>
    <n v="1619"/>
    <n v="4"/>
    <s v="Male"/>
    <n v="67"/>
    <n v="2"/>
    <n v="1"/>
    <s v="Laboratory Technician"/>
    <n v="1"/>
    <s v="Divorced"/>
    <n v="4066"/>
    <n v="16290"/>
    <n v="1"/>
    <s v="No"/>
    <n v="11"/>
    <n v="3"/>
    <n v="1"/>
    <n v="80"/>
    <n v="2"/>
    <n v="7"/>
    <n v="3"/>
    <n v="3"/>
    <n v="7"/>
    <n v="7"/>
    <n v="0"/>
    <n v="7"/>
    <n v="0"/>
    <n v="1"/>
    <s v="25-34"/>
    <s v="Low"/>
    <s v="6-10 Years"/>
  </r>
  <r>
    <n v="1151"/>
    <n v="35"/>
    <x v="1"/>
    <s v="Travel_Rarely"/>
    <n v="819"/>
    <s v="Research &amp; Development"/>
    <n v="18"/>
    <n v="5"/>
    <s v="Life Sciences"/>
    <n v="1621"/>
    <n v="2"/>
    <s v="Male"/>
    <n v="48"/>
    <n v="4"/>
    <n v="2"/>
    <s v="Research Scientist"/>
    <n v="1"/>
    <s v="Married"/>
    <n v="5208"/>
    <n v="26312"/>
    <n v="1"/>
    <s v="No"/>
    <n v="11"/>
    <n v="3"/>
    <n v="4"/>
    <n v="80"/>
    <n v="0"/>
    <n v="16"/>
    <n v="2"/>
    <n v="3"/>
    <n v="16"/>
    <n v="15"/>
    <n v="1"/>
    <n v="10"/>
    <n v="0"/>
    <n v="1"/>
    <s v="35-44"/>
    <s v="Medium"/>
    <s v="11-20 Years"/>
  </r>
  <r>
    <n v="1152"/>
    <n v="28"/>
    <x v="1"/>
    <s v="Travel_Rarely"/>
    <n v="580"/>
    <s v="Research &amp; Development"/>
    <n v="27"/>
    <n v="3"/>
    <s v="Medical"/>
    <n v="1622"/>
    <n v="2"/>
    <s v="Female"/>
    <n v="39"/>
    <n v="1"/>
    <n v="2"/>
    <s v="Manufacturing Director"/>
    <n v="1"/>
    <s v="Divorced"/>
    <n v="4877"/>
    <n v="20460"/>
    <n v="0"/>
    <s v="No"/>
    <n v="21"/>
    <n v="4"/>
    <n v="2"/>
    <n v="80"/>
    <n v="1"/>
    <n v="6"/>
    <n v="5"/>
    <n v="2"/>
    <n v="5"/>
    <n v="3"/>
    <n v="0"/>
    <n v="0"/>
    <n v="0"/>
    <n v="1"/>
    <s v="25-34"/>
    <s v="Low"/>
    <s v="0-5 Years"/>
  </r>
  <r>
    <n v="1153"/>
    <n v="21"/>
    <x v="1"/>
    <s v="Travel_Rarely"/>
    <n v="546"/>
    <s v="Research &amp; Development"/>
    <n v="5"/>
    <n v="1"/>
    <s v="Medical"/>
    <n v="1623"/>
    <n v="3"/>
    <s v="Male"/>
    <n v="97"/>
    <n v="3"/>
    <n v="1"/>
    <s v="Research Scientist"/>
    <n v="4"/>
    <s v="Single"/>
    <n v="3117"/>
    <n v="26009"/>
    <n v="1"/>
    <s v="No"/>
    <n v="18"/>
    <n v="3"/>
    <n v="3"/>
    <n v="80"/>
    <n v="0"/>
    <n v="3"/>
    <n v="2"/>
    <n v="3"/>
    <n v="2"/>
    <n v="2"/>
    <n v="2"/>
    <n v="2"/>
    <n v="0"/>
    <n v="1"/>
    <s v="Under 25"/>
    <s v="Low"/>
    <s v="0-5 Years"/>
  </r>
  <r>
    <n v="1154"/>
    <n v="18"/>
    <x v="0"/>
    <s v="Travel_Frequently"/>
    <n v="544"/>
    <s v="Sales"/>
    <n v="3"/>
    <n v="2"/>
    <s v="Medical"/>
    <n v="1624"/>
    <n v="2"/>
    <s v="Female"/>
    <n v="70"/>
    <n v="3"/>
    <n v="1"/>
    <s v="Sales Representative"/>
    <n v="4"/>
    <s v="Single"/>
    <n v="1569"/>
    <n v="18420"/>
    <n v="1"/>
    <s v="Yes"/>
    <n v="12"/>
    <n v="3"/>
    <n v="3"/>
    <n v="80"/>
    <n v="0"/>
    <n v="0"/>
    <n v="2"/>
    <n v="4"/>
    <n v="0"/>
    <n v="0"/>
    <n v="0"/>
    <n v="0"/>
    <n v="1"/>
    <n v="0"/>
    <s v="Under 25"/>
    <s v="Low"/>
    <s v="0-5 Years"/>
  </r>
  <r>
    <n v="1155"/>
    <n v="47"/>
    <x v="1"/>
    <s v="Travel_Rarely"/>
    <n v="1176"/>
    <s v="Human Resources"/>
    <n v="26"/>
    <n v="4"/>
    <s v="Life Sciences"/>
    <n v="1625"/>
    <n v="4"/>
    <s v="Female"/>
    <n v="98"/>
    <n v="3"/>
    <n v="5"/>
    <s v="Manager"/>
    <n v="3"/>
    <s v="Married"/>
    <n v="19658"/>
    <n v="5220"/>
    <n v="3"/>
    <s v="No"/>
    <n v="11"/>
    <n v="3"/>
    <n v="3"/>
    <n v="80"/>
    <n v="1"/>
    <n v="27"/>
    <n v="2"/>
    <n v="3"/>
    <n v="5"/>
    <n v="2"/>
    <n v="1"/>
    <n v="0"/>
    <n v="0"/>
    <n v="1"/>
    <s v="45-54"/>
    <s v="High"/>
    <s v="0-5 Years"/>
  </r>
  <r>
    <n v="1156"/>
    <n v="39"/>
    <x v="1"/>
    <s v="Travel_Rarely"/>
    <n v="170"/>
    <s v="Research &amp; Development"/>
    <n v="3"/>
    <n v="2"/>
    <s v="Medical"/>
    <n v="1627"/>
    <n v="3"/>
    <s v="Male"/>
    <n v="76"/>
    <n v="2"/>
    <n v="2"/>
    <s v="Laboratory Technician"/>
    <n v="3"/>
    <s v="Divorced"/>
    <n v="3069"/>
    <n v="10302"/>
    <n v="0"/>
    <s v="No"/>
    <n v="15"/>
    <n v="3"/>
    <n v="4"/>
    <n v="80"/>
    <n v="1"/>
    <n v="11"/>
    <n v="3"/>
    <n v="3"/>
    <n v="10"/>
    <n v="8"/>
    <n v="0"/>
    <n v="7"/>
    <n v="0"/>
    <n v="1"/>
    <s v="35-44"/>
    <s v="Low"/>
    <s v="6-10 Years"/>
  </r>
  <r>
    <n v="1157"/>
    <n v="40"/>
    <x v="1"/>
    <s v="Travel_Rarely"/>
    <n v="884"/>
    <s v="Research &amp; Development"/>
    <n v="15"/>
    <n v="3"/>
    <s v="Life Sciences"/>
    <n v="1628"/>
    <n v="1"/>
    <s v="Female"/>
    <n v="80"/>
    <n v="2"/>
    <n v="3"/>
    <s v="Manufacturing Director"/>
    <n v="3"/>
    <s v="Married"/>
    <n v="10435"/>
    <n v="25800"/>
    <n v="1"/>
    <s v="No"/>
    <n v="13"/>
    <n v="3"/>
    <n v="4"/>
    <n v="80"/>
    <n v="2"/>
    <n v="18"/>
    <n v="2"/>
    <n v="3"/>
    <n v="18"/>
    <n v="15"/>
    <n v="14"/>
    <n v="12"/>
    <n v="0"/>
    <n v="1"/>
    <s v="35-44"/>
    <s v="Upper Medium"/>
    <s v="11-20 Years"/>
  </r>
  <r>
    <n v="1158"/>
    <n v="35"/>
    <x v="1"/>
    <s v="Non-Travel"/>
    <n v="208"/>
    <s v="Research &amp; Development"/>
    <n v="8"/>
    <n v="4"/>
    <s v="Life Sciences"/>
    <n v="1630"/>
    <n v="3"/>
    <s v="Female"/>
    <n v="52"/>
    <n v="3"/>
    <n v="2"/>
    <s v="Healthcare Representative"/>
    <n v="3"/>
    <s v="Married"/>
    <n v="4148"/>
    <n v="12250"/>
    <n v="1"/>
    <s v="No"/>
    <n v="12"/>
    <n v="3"/>
    <n v="4"/>
    <n v="80"/>
    <n v="1"/>
    <n v="15"/>
    <n v="5"/>
    <n v="3"/>
    <n v="14"/>
    <n v="11"/>
    <n v="2"/>
    <n v="9"/>
    <n v="0"/>
    <n v="1"/>
    <s v="35-44"/>
    <s v="Low"/>
    <s v="11-20 Years"/>
  </r>
  <r>
    <n v="1159"/>
    <n v="37"/>
    <x v="1"/>
    <s v="Travel_Rarely"/>
    <n v="671"/>
    <s v="Research &amp; Development"/>
    <n v="19"/>
    <n v="3"/>
    <s v="Life Sciences"/>
    <n v="1631"/>
    <n v="3"/>
    <s v="Male"/>
    <n v="85"/>
    <n v="3"/>
    <n v="2"/>
    <s v="Manufacturing Director"/>
    <n v="3"/>
    <s v="Married"/>
    <n v="5768"/>
    <n v="26493"/>
    <n v="3"/>
    <s v="No"/>
    <n v="17"/>
    <n v="3"/>
    <n v="1"/>
    <n v="80"/>
    <n v="3"/>
    <n v="9"/>
    <n v="2"/>
    <n v="2"/>
    <n v="4"/>
    <n v="3"/>
    <n v="0"/>
    <n v="2"/>
    <n v="0"/>
    <n v="1"/>
    <s v="35-44"/>
    <s v="Medium"/>
    <s v="0-5 Years"/>
  </r>
  <r>
    <n v="1160"/>
    <n v="39"/>
    <x v="1"/>
    <s v="Travel_Frequently"/>
    <n v="711"/>
    <s v="Research &amp; Development"/>
    <n v="4"/>
    <n v="3"/>
    <s v="Medical"/>
    <n v="1633"/>
    <n v="1"/>
    <s v="Female"/>
    <n v="81"/>
    <n v="3"/>
    <n v="2"/>
    <s v="Manufacturing Director"/>
    <n v="3"/>
    <s v="Single"/>
    <n v="5042"/>
    <n v="3140"/>
    <n v="0"/>
    <s v="No"/>
    <n v="13"/>
    <n v="3"/>
    <n v="4"/>
    <n v="80"/>
    <n v="0"/>
    <n v="10"/>
    <n v="2"/>
    <n v="1"/>
    <n v="9"/>
    <n v="2"/>
    <n v="3"/>
    <n v="8"/>
    <n v="0"/>
    <n v="1"/>
    <s v="35-44"/>
    <s v="Medium"/>
    <s v="6-10 Years"/>
  </r>
  <r>
    <n v="1161"/>
    <n v="45"/>
    <x v="1"/>
    <s v="Travel_Rarely"/>
    <n v="1329"/>
    <s v="Research &amp; Development"/>
    <n v="2"/>
    <n v="2"/>
    <s v="Other"/>
    <n v="1635"/>
    <n v="4"/>
    <s v="Female"/>
    <n v="59"/>
    <n v="2"/>
    <n v="2"/>
    <s v="Manufacturing Director"/>
    <n v="4"/>
    <s v="Divorced"/>
    <n v="5770"/>
    <n v="5388"/>
    <n v="1"/>
    <s v="No"/>
    <n v="19"/>
    <n v="3"/>
    <n v="1"/>
    <n v="80"/>
    <n v="2"/>
    <n v="10"/>
    <n v="3"/>
    <n v="3"/>
    <n v="10"/>
    <n v="7"/>
    <n v="3"/>
    <n v="9"/>
    <n v="0"/>
    <n v="1"/>
    <s v="45-54"/>
    <s v="Medium"/>
    <s v="6-10 Years"/>
  </r>
  <r>
    <n v="1162"/>
    <n v="38"/>
    <x v="1"/>
    <s v="Travel_Rarely"/>
    <n v="397"/>
    <s v="Research &amp; Development"/>
    <n v="2"/>
    <n v="2"/>
    <s v="Medical"/>
    <n v="1638"/>
    <n v="4"/>
    <s v="Female"/>
    <n v="54"/>
    <n v="2"/>
    <n v="3"/>
    <s v="Manufacturing Director"/>
    <n v="3"/>
    <s v="Married"/>
    <n v="7756"/>
    <n v="14199"/>
    <n v="3"/>
    <s v="Yes"/>
    <n v="19"/>
    <n v="3"/>
    <n v="4"/>
    <n v="80"/>
    <n v="1"/>
    <n v="10"/>
    <n v="6"/>
    <n v="4"/>
    <n v="5"/>
    <n v="4"/>
    <n v="0"/>
    <n v="2"/>
    <n v="0"/>
    <n v="1"/>
    <s v="35-44"/>
    <s v="Medium"/>
    <s v="0-5 Years"/>
  </r>
  <r>
    <n v="1163"/>
    <n v="35"/>
    <x v="0"/>
    <s v="Travel_Rarely"/>
    <n v="737"/>
    <s v="Sales"/>
    <n v="10"/>
    <n v="3"/>
    <s v="Medical"/>
    <n v="1639"/>
    <n v="4"/>
    <s v="Male"/>
    <n v="55"/>
    <n v="2"/>
    <n v="3"/>
    <s v="Sales Executive"/>
    <n v="1"/>
    <s v="Married"/>
    <n v="10306"/>
    <n v="21530"/>
    <n v="9"/>
    <s v="No"/>
    <n v="17"/>
    <n v="3"/>
    <n v="3"/>
    <n v="80"/>
    <n v="0"/>
    <n v="15"/>
    <n v="3"/>
    <n v="3"/>
    <n v="13"/>
    <n v="12"/>
    <n v="6"/>
    <n v="0"/>
    <n v="1"/>
    <n v="0"/>
    <s v="35-44"/>
    <s v="Upper Medium"/>
    <s v="11-20 Years"/>
  </r>
  <r>
    <n v="1164"/>
    <n v="37"/>
    <x v="1"/>
    <s v="Travel_Rarely"/>
    <n v="1470"/>
    <s v="Research &amp; Development"/>
    <n v="10"/>
    <n v="3"/>
    <s v="Medical"/>
    <n v="1640"/>
    <n v="2"/>
    <s v="Female"/>
    <n v="71"/>
    <n v="3"/>
    <n v="1"/>
    <s v="Research Scientist"/>
    <n v="2"/>
    <s v="Married"/>
    <n v="3936"/>
    <n v="9953"/>
    <n v="1"/>
    <s v="No"/>
    <n v="11"/>
    <n v="3"/>
    <n v="1"/>
    <n v="80"/>
    <n v="1"/>
    <n v="8"/>
    <n v="2"/>
    <n v="1"/>
    <n v="8"/>
    <n v="4"/>
    <n v="7"/>
    <n v="7"/>
    <n v="0"/>
    <n v="1"/>
    <s v="35-44"/>
    <s v="Low"/>
    <s v="6-10 Years"/>
  </r>
  <r>
    <n v="1165"/>
    <n v="40"/>
    <x v="1"/>
    <s v="Travel_Rarely"/>
    <n v="448"/>
    <s v="Research &amp; Development"/>
    <n v="16"/>
    <n v="3"/>
    <s v="Life Sciences"/>
    <n v="1641"/>
    <n v="3"/>
    <s v="Female"/>
    <n v="84"/>
    <n v="3"/>
    <n v="3"/>
    <s v="Manufacturing Director"/>
    <n v="4"/>
    <s v="Single"/>
    <n v="7945"/>
    <n v="19948"/>
    <n v="6"/>
    <s v="Yes"/>
    <n v="15"/>
    <n v="3"/>
    <n v="4"/>
    <n v="80"/>
    <n v="0"/>
    <n v="18"/>
    <n v="2"/>
    <n v="2"/>
    <n v="4"/>
    <n v="2"/>
    <n v="3"/>
    <n v="3"/>
    <n v="0"/>
    <n v="1"/>
    <s v="35-44"/>
    <s v="Medium"/>
    <s v="0-5 Years"/>
  </r>
  <r>
    <n v="1166"/>
    <n v="44"/>
    <x v="1"/>
    <s v="Travel_Frequently"/>
    <n v="602"/>
    <s v="Human Resources"/>
    <n v="1"/>
    <n v="5"/>
    <s v="Human Resources"/>
    <n v="1642"/>
    <n v="1"/>
    <s v="Male"/>
    <n v="37"/>
    <n v="3"/>
    <n v="2"/>
    <s v="Human Resources"/>
    <n v="4"/>
    <s v="Married"/>
    <n v="5743"/>
    <n v="10503"/>
    <n v="4"/>
    <s v="Yes"/>
    <n v="11"/>
    <n v="3"/>
    <n v="3"/>
    <n v="80"/>
    <n v="0"/>
    <n v="14"/>
    <n v="3"/>
    <n v="3"/>
    <n v="10"/>
    <n v="7"/>
    <n v="0"/>
    <n v="2"/>
    <n v="0"/>
    <n v="1"/>
    <s v="35-44"/>
    <s v="Medium"/>
    <s v="6-10 Years"/>
  </r>
  <r>
    <n v="1167"/>
    <n v="48"/>
    <x v="1"/>
    <s v="Travel_Frequently"/>
    <n v="365"/>
    <s v="Research &amp; Development"/>
    <n v="4"/>
    <n v="5"/>
    <s v="Medical"/>
    <n v="1644"/>
    <n v="3"/>
    <s v="Male"/>
    <n v="89"/>
    <n v="2"/>
    <n v="4"/>
    <s v="Manager"/>
    <n v="4"/>
    <s v="Married"/>
    <n v="15202"/>
    <n v="5602"/>
    <n v="2"/>
    <s v="No"/>
    <n v="25"/>
    <n v="4"/>
    <n v="2"/>
    <n v="80"/>
    <n v="1"/>
    <n v="23"/>
    <n v="3"/>
    <n v="3"/>
    <n v="2"/>
    <n v="2"/>
    <n v="2"/>
    <n v="2"/>
    <n v="0"/>
    <n v="1"/>
    <s v="45-54"/>
    <s v="High"/>
    <s v="0-5 Years"/>
  </r>
  <r>
    <n v="1168"/>
    <n v="35"/>
    <x v="0"/>
    <s v="Travel_Rarely"/>
    <n v="763"/>
    <s v="Sales"/>
    <n v="15"/>
    <n v="2"/>
    <s v="Medical"/>
    <n v="1645"/>
    <n v="1"/>
    <s v="Male"/>
    <n v="59"/>
    <n v="1"/>
    <n v="2"/>
    <s v="Sales Executive"/>
    <n v="4"/>
    <s v="Divorced"/>
    <n v="5440"/>
    <n v="22098"/>
    <n v="6"/>
    <s v="Yes"/>
    <n v="14"/>
    <n v="3"/>
    <n v="4"/>
    <n v="80"/>
    <n v="2"/>
    <n v="7"/>
    <n v="2"/>
    <n v="2"/>
    <n v="2"/>
    <n v="2"/>
    <n v="2"/>
    <n v="2"/>
    <n v="1"/>
    <n v="0"/>
    <s v="35-44"/>
    <s v="Medium"/>
    <s v="0-5 Years"/>
  </r>
  <r>
    <n v="1169"/>
    <n v="24"/>
    <x v="1"/>
    <s v="Travel_Frequently"/>
    <n v="567"/>
    <s v="Research &amp; Development"/>
    <n v="2"/>
    <n v="1"/>
    <s v="Technical Degree"/>
    <n v="1646"/>
    <n v="1"/>
    <s v="Female"/>
    <n v="32"/>
    <n v="3"/>
    <n v="1"/>
    <s v="Research Scientist"/>
    <n v="4"/>
    <s v="Single"/>
    <n v="3760"/>
    <n v="17218"/>
    <n v="1"/>
    <s v="Yes"/>
    <n v="13"/>
    <n v="3"/>
    <n v="3"/>
    <n v="80"/>
    <n v="0"/>
    <n v="6"/>
    <n v="2"/>
    <n v="3"/>
    <n v="6"/>
    <n v="3"/>
    <n v="1"/>
    <n v="3"/>
    <n v="0"/>
    <n v="1"/>
    <s v="Under 25"/>
    <s v="Low"/>
    <s v="6-10 Years"/>
  </r>
  <r>
    <n v="1170"/>
    <n v="27"/>
    <x v="1"/>
    <s v="Travel_Rarely"/>
    <n v="486"/>
    <s v="Research &amp; Development"/>
    <n v="8"/>
    <n v="3"/>
    <s v="Medical"/>
    <n v="1647"/>
    <n v="2"/>
    <s v="Female"/>
    <n v="86"/>
    <n v="4"/>
    <n v="1"/>
    <s v="Research Scientist"/>
    <n v="3"/>
    <s v="Married"/>
    <n v="3517"/>
    <n v="22490"/>
    <n v="7"/>
    <s v="No"/>
    <n v="17"/>
    <n v="3"/>
    <n v="1"/>
    <n v="80"/>
    <n v="0"/>
    <n v="5"/>
    <n v="0"/>
    <n v="3"/>
    <n v="3"/>
    <n v="2"/>
    <n v="0"/>
    <n v="2"/>
    <n v="0"/>
    <n v="1"/>
    <s v="25-34"/>
    <s v="Low"/>
    <s v="0-5 Years"/>
  </r>
  <r>
    <n v="1171"/>
    <n v="27"/>
    <x v="1"/>
    <s v="Travel_Frequently"/>
    <n v="591"/>
    <s v="Research &amp; Development"/>
    <n v="2"/>
    <n v="3"/>
    <s v="Medical"/>
    <n v="1648"/>
    <n v="4"/>
    <s v="Male"/>
    <n v="87"/>
    <n v="3"/>
    <n v="1"/>
    <s v="Research Scientist"/>
    <n v="4"/>
    <s v="Single"/>
    <n v="2580"/>
    <n v="6297"/>
    <n v="2"/>
    <s v="No"/>
    <n v="13"/>
    <n v="3"/>
    <n v="3"/>
    <n v="80"/>
    <n v="0"/>
    <n v="6"/>
    <n v="0"/>
    <n v="2"/>
    <n v="4"/>
    <n v="2"/>
    <n v="1"/>
    <n v="2"/>
    <n v="0"/>
    <n v="1"/>
    <s v="25-34"/>
    <s v="Low"/>
    <s v="0-5 Years"/>
  </r>
  <r>
    <n v="1172"/>
    <n v="40"/>
    <x v="0"/>
    <s v="Travel_Rarely"/>
    <n v="1329"/>
    <s v="Research &amp; Development"/>
    <n v="7"/>
    <n v="3"/>
    <s v="Life Sciences"/>
    <n v="1649"/>
    <n v="1"/>
    <s v="Male"/>
    <n v="73"/>
    <n v="3"/>
    <n v="1"/>
    <s v="Laboratory Technician"/>
    <n v="1"/>
    <s v="Single"/>
    <n v="2166"/>
    <n v="3339"/>
    <n v="3"/>
    <s v="Yes"/>
    <n v="14"/>
    <n v="3"/>
    <n v="2"/>
    <n v="80"/>
    <n v="0"/>
    <n v="10"/>
    <n v="3"/>
    <n v="1"/>
    <n v="4"/>
    <n v="2"/>
    <n v="0"/>
    <n v="3"/>
    <n v="1"/>
    <n v="0"/>
    <s v="35-44"/>
    <s v="Low"/>
    <s v="0-5 Years"/>
  </r>
  <r>
    <n v="1173"/>
    <n v="29"/>
    <x v="1"/>
    <s v="Travel_Rarely"/>
    <n v="469"/>
    <s v="Sales"/>
    <n v="10"/>
    <n v="3"/>
    <s v="Medical"/>
    <n v="1650"/>
    <n v="3"/>
    <s v="Male"/>
    <n v="42"/>
    <n v="2"/>
    <n v="2"/>
    <s v="Sales Executive"/>
    <n v="3"/>
    <s v="Single"/>
    <n v="5869"/>
    <n v="23413"/>
    <n v="9"/>
    <s v="No"/>
    <n v="11"/>
    <n v="3"/>
    <n v="3"/>
    <n v="80"/>
    <n v="0"/>
    <n v="8"/>
    <n v="2"/>
    <n v="3"/>
    <n v="5"/>
    <n v="2"/>
    <n v="1"/>
    <n v="4"/>
    <n v="0"/>
    <n v="1"/>
    <s v="25-34"/>
    <s v="Medium"/>
    <s v="0-5 Years"/>
  </r>
  <r>
    <n v="1174"/>
    <n v="36"/>
    <x v="1"/>
    <s v="Travel_Rarely"/>
    <n v="711"/>
    <s v="Research &amp; Development"/>
    <n v="5"/>
    <n v="4"/>
    <s v="Life Sciences"/>
    <n v="1651"/>
    <n v="2"/>
    <s v="Female"/>
    <n v="42"/>
    <n v="3"/>
    <n v="3"/>
    <s v="Healthcare Representative"/>
    <n v="1"/>
    <s v="Married"/>
    <n v="8008"/>
    <n v="22792"/>
    <n v="4"/>
    <s v="No"/>
    <n v="12"/>
    <n v="3"/>
    <n v="3"/>
    <n v="80"/>
    <n v="2"/>
    <n v="9"/>
    <n v="6"/>
    <n v="3"/>
    <n v="3"/>
    <n v="2"/>
    <n v="0"/>
    <n v="2"/>
    <n v="0"/>
    <n v="1"/>
    <s v="35-44"/>
    <s v="Medium"/>
    <s v="0-5 Years"/>
  </r>
  <r>
    <n v="1175"/>
    <n v="25"/>
    <x v="1"/>
    <s v="Travel_Frequently"/>
    <n v="772"/>
    <s v="Research &amp; Development"/>
    <n v="2"/>
    <n v="1"/>
    <s v="Life Sciences"/>
    <n v="1653"/>
    <n v="4"/>
    <s v="Male"/>
    <n v="77"/>
    <n v="4"/>
    <n v="2"/>
    <s v="Manufacturing Director"/>
    <n v="3"/>
    <s v="Divorced"/>
    <n v="5206"/>
    <n v="4973"/>
    <n v="1"/>
    <s v="No"/>
    <n v="17"/>
    <n v="3"/>
    <n v="3"/>
    <n v="80"/>
    <n v="2"/>
    <n v="7"/>
    <n v="6"/>
    <n v="3"/>
    <n v="7"/>
    <n v="7"/>
    <n v="0"/>
    <n v="7"/>
    <n v="0"/>
    <n v="1"/>
    <s v="25-34"/>
    <s v="Medium"/>
    <s v="6-10 Years"/>
  </r>
  <r>
    <n v="1176"/>
    <n v="39"/>
    <x v="1"/>
    <s v="Travel_Rarely"/>
    <n v="492"/>
    <s v="Research &amp; Development"/>
    <n v="12"/>
    <n v="3"/>
    <s v="Medical"/>
    <n v="1654"/>
    <n v="4"/>
    <s v="Male"/>
    <n v="66"/>
    <n v="3"/>
    <n v="2"/>
    <s v="Manufacturing Director"/>
    <n v="2"/>
    <s v="Married"/>
    <n v="5295"/>
    <n v="7693"/>
    <n v="4"/>
    <s v="No"/>
    <n v="21"/>
    <n v="4"/>
    <n v="3"/>
    <n v="80"/>
    <n v="0"/>
    <n v="7"/>
    <n v="3"/>
    <n v="3"/>
    <n v="5"/>
    <n v="4"/>
    <n v="1"/>
    <n v="0"/>
    <n v="0"/>
    <n v="1"/>
    <s v="35-44"/>
    <s v="Medium"/>
    <s v="0-5 Years"/>
  </r>
  <r>
    <n v="1177"/>
    <n v="49"/>
    <x v="1"/>
    <s v="Travel_Rarely"/>
    <n v="301"/>
    <s v="Research &amp; Development"/>
    <n v="22"/>
    <n v="4"/>
    <s v="Other"/>
    <n v="1655"/>
    <n v="1"/>
    <s v="Female"/>
    <n v="72"/>
    <n v="3"/>
    <n v="4"/>
    <s v="Research Director"/>
    <n v="2"/>
    <s v="Married"/>
    <n v="16413"/>
    <n v="3498"/>
    <n v="3"/>
    <s v="No"/>
    <n v="16"/>
    <n v="3"/>
    <n v="2"/>
    <n v="80"/>
    <n v="2"/>
    <n v="27"/>
    <n v="2"/>
    <n v="3"/>
    <n v="4"/>
    <n v="2"/>
    <n v="1"/>
    <n v="2"/>
    <n v="0"/>
    <n v="1"/>
    <s v="45-54"/>
    <s v="High"/>
    <s v="0-5 Years"/>
  </r>
  <r>
    <n v="1178"/>
    <n v="50"/>
    <x v="1"/>
    <s v="Travel_Rarely"/>
    <n v="813"/>
    <s v="Research &amp; Development"/>
    <n v="17"/>
    <n v="5"/>
    <s v="Life Sciences"/>
    <n v="1656"/>
    <n v="4"/>
    <s v="Female"/>
    <n v="50"/>
    <n v="2"/>
    <n v="3"/>
    <s v="Research Director"/>
    <n v="1"/>
    <s v="Divorced"/>
    <n v="13269"/>
    <n v="21981"/>
    <n v="5"/>
    <s v="No"/>
    <n v="15"/>
    <n v="3"/>
    <n v="3"/>
    <n v="80"/>
    <n v="3"/>
    <n v="19"/>
    <n v="3"/>
    <n v="3"/>
    <n v="14"/>
    <n v="11"/>
    <n v="1"/>
    <n v="11"/>
    <n v="0"/>
    <n v="1"/>
    <s v="45-54"/>
    <s v="Upper Medium"/>
    <s v="11-20 Years"/>
  </r>
  <r>
    <n v="1179"/>
    <n v="20"/>
    <x v="1"/>
    <s v="Travel_Rarely"/>
    <n v="1141"/>
    <s v="Sales"/>
    <n v="2"/>
    <n v="3"/>
    <s v="Medical"/>
    <n v="1657"/>
    <n v="3"/>
    <s v="Female"/>
    <n v="31"/>
    <n v="3"/>
    <n v="1"/>
    <s v="Sales Representative"/>
    <n v="3"/>
    <s v="Single"/>
    <n v="2783"/>
    <n v="13251"/>
    <n v="1"/>
    <s v="No"/>
    <n v="19"/>
    <n v="3"/>
    <n v="1"/>
    <n v="80"/>
    <n v="0"/>
    <n v="2"/>
    <n v="3"/>
    <n v="3"/>
    <n v="2"/>
    <n v="2"/>
    <n v="2"/>
    <n v="2"/>
    <n v="0"/>
    <n v="1"/>
    <s v="Under 25"/>
    <s v="Low"/>
    <s v="0-5 Years"/>
  </r>
  <r>
    <n v="1180"/>
    <n v="34"/>
    <x v="1"/>
    <s v="Travel_Rarely"/>
    <n v="1130"/>
    <s v="Research &amp; Development"/>
    <n v="3"/>
    <n v="3"/>
    <s v="Life Sciences"/>
    <n v="1658"/>
    <n v="4"/>
    <s v="Female"/>
    <n v="66"/>
    <n v="3"/>
    <n v="2"/>
    <s v="Research Scientist"/>
    <n v="2"/>
    <s v="Divorced"/>
    <n v="5433"/>
    <n v="19332"/>
    <n v="1"/>
    <s v="No"/>
    <n v="12"/>
    <n v="3"/>
    <n v="3"/>
    <n v="80"/>
    <n v="1"/>
    <n v="11"/>
    <n v="2"/>
    <n v="3"/>
    <n v="11"/>
    <n v="8"/>
    <n v="7"/>
    <n v="9"/>
    <n v="0"/>
    <n v="1"/>
    <s v="25-34"/>
    <s v="Medium"/>
    <s v="11-20 Years"/>
  </r>
  <r>
    <n v="1181"/>
    <n v="36"/>
    <x v="1"/>
    <s v="Travel_Rarely"/>
    <n v="311"/>
    <s v="Research &amp; Development"/>
    <n v="7"/>
    <n v="3"/>
    <s v="Life Sciences"/>
    <n v="1659"/>
    <n v="1"/>
    <s v="Male"/>
    <n v="77"/>
    <n v="3"/>
    <n v="1"/>
    <s v="Laboratory Technician"/>
    <n v="2"/>
    <s v="Single"/>
    <n v="2013"/>
    <n v="10950"/>
    <n v="2"/>
    <s v="No"/>
    <n v="11"/>
    <n v="3"/>
    <n v="3"/>
    <n v="80"/>
    <n v="0"/>
    <n v="15"/>
    <n v="4"/>
    <n v="3"/>
    <n v="4"/>
    <n v="3"/>
    <n v="1"/>
    <n v="3"/>
    <n v="0"/>
    <n v="1"/>
    <s v="35-44"/>
    <s v="Low"/>
    <s v="0-5 Years"/>
  </r>
  <r>
    <n v="1182"/>
    <n v="49"/>
    <x v="1"/>
    <s v="Travel_Rarely"/>
    <n v="465"/>
    <s v="Research &amp; Development"/>
    <n v="6"/>
    <n v="1"/>
    <s v="Life Sciences"/>
    <n v="1661"/>
    <n v="3"/>
    <s v="Female"/>
    <n v="41"/>
    <n v="2"/>
    <n v="4"/>
    <s v="Healthcare Representative"/>
    <n v="3"/>
    <s v="Married"/>
    <n v="13966"/>
    <n v="11652"/>
    <n v="2"/>
    <s v="Yes"/>
    <n v="19"/>
    <n v="3"/>
    <n v="2"/>
    <n v="80"/>
    <n v="1"/>
    <n v="30"/>
    <n v="3"/>
    <n v="3"/>
    <n v="15"/>
    <n v="11"/>
    <n v="2"/>
    <n v="12"/>
    <n v="0"/>
    <n v="1"/>
    <s v="45-54"/>
    <s v="Upper Medium"/>
    <s v="11-20 Years"/>
  </r>
  <r>
    <n v="1183"/>
    <n v="36"/>
    <x v="1"/>
    <s v="Non-Travel"/>
    <n v="894"/>
    <s v="Research &amp; Development"/>
    <n v="1"/>
    <n v="4"/>
    <s v="Medical"/>
    <n v="1662"/>
    <n v="4"/>
    <s v="Female"/>
    <n v="33"/>
    <n v="2"/>
    <n v="2"/>
    <s v="Manufacturing Director"/>
    <n v="3"/>
    <s v="Married"/>
    <n v="4374"/>
    <n v="15411"/>
    <n v="0"/>
    <s v="No"/>
    <n v="15"/>
    <n v="3"/>
    <n v="3"/>
    <n v="80"/>
    <n v="0"/>
    <n v="4"/>
    <n v="6"/>
    <n v="3"/>
    <n v="3"/>
    <n v="2"/>
    <n v="1"/>
    <n v="2"/>
    <n v="0"/>
    <n v="1"/>
    <s v="35-44"/>
    <s v="Low"/>
    <s v="0-5 Years"/>
  </r>
  <r>
    <n v="1184"/>
    <n v="36"/>
    <x v="1"/>
    <s v="Travel_Rarely"/>
    <n v="1040"/>
    <s v="Research &amp; Development"/>
    <n v="3"/>
    <n v="2"/>
    <s v="Life Sciences"/>
    <n v="1664"/>
    <n v="4"/>
    <s v="Male"/>
    <n v="79"/>
    <n v="4"/>
    <n v="2"/>
    <s v="Healthcare Representative"/>
    <n v="1"/>
    <s v="Divorced"/>
    <n v="6842"/>
    <n v="26308"/>
    <n v="6"/>
    <s v="No"/>
    <n v="20"/>
    <n v="4"/>
    <n v="1"/>
    <n v="80"/>
    <n v="1"/>
    <n v="13"/>
    <n v="3"/>
    <n v="3"/>
    <n v="5"/>
    <n v="4"/>
    <n v="0"/>
    <n v="4"/>
    <n v="0"/>
    <n v="1"/>
    <s v="35-44"/>
    <s v="Medium"/>
    <s v="0-5 Years"/>
  </r>
  <r>
    <n v="1185"/>
    <n v="54"/>
    <x v="1"/>
    <s v="Travel_Rarely"/>
    <n v="584"/>
    <s v="Research &amp; Development"/>
    <n v="22"/>
    <n v="5"/>
    <s v="Medical"/>
    <n v="1665"/>
    <n v="2"/>
    <s v="Female"/>
    <n v="91"/>
    <n v="3"/>
    <n v="4"/>
    <s v="Manager"/>
    <n v="3"/>
    <s v="Married"/>
    <n v="17426"/>
    <n v="18685"/>
    <n v="3"/>
    <s v="No"/>
    <n v="25"/>
    <n v="4"/>
    <n v="3"/>
    <n v="80"/>
    <n v="1"/>
    <n v="36"/>
    <n v="6"/>
    <n v="3"/>
    <n v="10"/>
    <n v="8"/>
    <n v="4"/>
    <n v="7"/>
    <n v="0"/>
    <n v="1"/>
    <s v="45-54"/>
    <s v="High"/>
    <s v="6-10 Years"/>
  </r>
  <r>
    <n v="1186"/>
    <n v="43"/>
    <x v="1"/>
    <s v="Travel_Rarely"/>
    <n v="1291"/>
    <s v="Research &amp; Development"/>
    <n v="15"/>
    <n v="2"/>
    <s v="Life Sciences"/>
    <n v="1666"/>
    <n v="3"/>
    <s v="Male"/>
    <n v="65"/>
    <n v="2"/>
    <n v="4"/>
    <s v="Research Director"/>
    <n v="3"/>
    <s v="Married"/>
    <n v="17603"/>
    <n v="3525"/>
    <n v="1"/>
    <s v="No"/>
    <n v="24"/>
    <n v="4"/>
    <n v="1"/>
    <n v="80"/>
    <n v="1"/>
    <n v="14"/>
    <n v="3"/>
    <n v="3"/>
    <n v="14"/>
    <n v="10"/>
    <n v="6"/>
    <n v="11"/>
    <n v="0"/>
    <n v="1"/>
    <s v="35-44"/>
    <s v="High"/>
    <s v="11-20 Years"/>
  </r>
  <r>
    <n v="1187"/>
    <n v="35"/>
    <x v="0"/>
    <s v="Travel_Frequently"/>
    <n v="880"/>
    <s v="Sales"/>
    <n v="12"/>
    <n v="4"/>
    <s v="Other"/>
    <n v="1667"/>
    <n v="4"/>
    <s v="Male"/>
    <n v="36"/>
    <n v="3"/>
    <n v="2"/>
    <s v="Sales Executive"/>
    <n v="4"/>
    <s v="Single"/>
    <n v="4581"/>
    <n v="10414"/>
    <n v="3"/>
    <s v="Yes"/>
    <n v="24"/>
    <n v="4"/>
    <n v="1"/>
    <n v="80"/>
    <n v="0"/>
    <n v="13"/>
    <n v="2"/>
    <n v="4"/>
    <n v="11"/>
    <n v="9"/>
    <n v="6"/>
    <n v="7"/>
    <n v="1"/>
    <n v="0"/>
    <s v="35-44"/>
    <s v="Low"/>
    <s v="11-20 Years"/>
  </r>
  <r>
    <n v="1188"/>
    <n v="38"/>
    <x v="1"/>
    <s v="Travel_Frequently"/>
    <n v="1189"/>
    <s v="Research &amp; Development"/>
    <n v="1"/>
    <n v="3"/>
    <s v="Life Sciences"/>
    <n v="1668"/>
    <n v="4"/>
    <s v="Male"/>
    <n v="90"/>
    <n v="3"/>
    <n v="2"/>
    <s v="Research Scientist"/>
    <n v="4"/>
    <s v="Married"/>
    <n v="4735"/>
    <n v="9867"/>
    <n v="7"/>
    <s v="No"/>
    <n v="15"/>
    <n v="3"/>
    <n v="4"/>
    <n v="80"/>
    <n v="2"/>
    <n v="19"/>
    <n v="4"/>
    <n v="4"/>
    <n v="13"/>
    <n v="11"/>
    <n v="2"/>
    <n v="9"/>
    <n v="0"/>
    <n v="1"/>
    <s v="35-44"/>
    <s v="Low"/>
    <s v="11-20 Years"/>
  </r>
  <r>
    <n v="1189"/>
    <n v="29"/>
    <x v="1"/>
    <s v="Travel_Rarely"/>
    <n v="991"/>
    <s v="Sales"/>
    <n v="5"/>
    <n v="3"/>
    <s v="Medical"/>
    <n v="1669"/>
    <n v="1"/>
    <s v="Male"/>
    <n v="43"/>
    <n v="2"/>
    <n v="2"/>
    <s v="Sales Executive"/>
    <n v="2"/>
    <s v="Divorced"/>
    <n v="4187"/>
    <n v="3356"/>
    <n v="1"/>
    <s v="Yes"/>
    <n v="13"/>
    <n v="3"/>
    <n v="2"/>
    <n v="80"/>
    <n v="1"/>
    <n v="10"/>
    <n v="3"/>
    <n v="2"/>
    <n v="10"/>
    <n v="0"/>
    <n v="0"/>
    <n v="9"/>
    <n v="0"/>
    <n v="1"/>
    <s v="25-34"/>
    <s v="Low"/>
    <s v="6-10 Years"/>
  </r>
  <r>
    <n v="1190"/>
    <n v="33"/>
    <x v="1"/>
    <s v="Travel_Rarely"/>
    <n v="392"/>
    <s v="Sales"/>
    <n v="2"/>
    <n v="4"/>
    <s v="Medical"/>
    <n v="1670"/>
    <n v="4"/>
    <s v="Male"/>
    <n v="93"/>
    <n v="3"/>
    <n v="2"/>
    <s v="Sales Executive"/>
    <n v="4"/>
    <s v="Divorced"/>
    <n v="5505"/>
    <n v="3921"/>
    <n v="1"/>
    <s v="No"/>
    <n v="14"/>
    <n v="3"/>
    <n v="3"/>
    <n v="80"/>
    <n v="2"/>
    <n v="6"/>
    <n v="5"/>
    <n v="3"/>
    <n v="6"/>
    <n v="2"/>
    <n v="0"/>
    <n v="4"/>
    <n v="0"/>
    <n v="1"/>
    <s v="25-34"/>
    <s v="Medium"/>
    <s v="6-10 Years"/>
  </r>
  <r>
    <n v="1191"/>
    <n v="32"/>
    <x v="1"/>
    <s v="Travel_Rarely"/>
    <n v="977"/>
    <s v="Research &amp; Development"/>
    <n v="2"/>
    <n v="3"/>
    <s v="Medical"/>
    <n v="1671"/>
    <n v="4"/>
    <s v="Male"/>
    <n v="45"/>
    <n v="3"/>
    <n v="2"/>
    <s v="Research Scientist"/>
    <n v="2"/>
    <s v="Divorced"/>
    <n v="5470"/>
    <n v="25518"/>
    <n v="0"/>
    <s v="No"/>
    <n v="13"/>
    <n v="3"/>
    <n v="3"/>
    <n v="80"/>
    <n v="2"/>
    <n v="10"/>
    <n v="4"/>
    <n v="2"/>
    <n v="9"/>
    <n v="5"/>
    <n v="1"/>
    <n v="6"/>
    <n v="0"/>
    <n v="1"/>
    <s v="25-34"/>
    <s v="Medium"/>
    <s v="6-10 Years"/>
  </r>
  <r>
    <n v="1192"/>
    <n v="31"/>
    <x v="1"/>
    <s v="Travel_Rarely"/>
    <n v="1112"/>
    <s v="Sales"/>
    <n v="5"/>
    <n v="4"/>
    <s v="Life Sciences"/>
    <n v="1673"/>
    <n v="1"/>
    <s v="Female"/>
    <n v="67"/>
    <n v="3"/>
    <n v="2"/>
    <s v="Sales Executive"/>
    <n v="4"/>
    <s v="Married"/>
    <n v="5476"/>
    <n v="22589"/>
    <n v="1"/>
    <s v="No"/>
    <n v="11"/>
    <n v="3"/>
    <n v="1"/>
    <n v="80"/>
    <n v="2"/>
    <n v="10"/>
    <n v="2"/>
    <n v="3"/>
    <n v="10"/>
    <n v="0"/>
    <n v="0"/>
    <n v="2"/>
    <n v="0"/>
    <n v="1"/>
    <s v="25-34"/>
    <s v="Medium"/>
    <s v="6-10 Years"/>
  </r>
  <r>
    <n v="1193"/>
    <n v="49"/>
    <x v="1"/>
    <s v="Travel_Rarely"/>
    <n v="464"/>
    <s v="Research &amp; Development"/>
    <n v="16"/>
    <n v="3"/>
    <s v="Medical"/>
    <n v="1674"/>
    <n v="4"/>
    <s v="Female"/>
    <n v="74"/>
    <n v="3"/>
    <n v="1"/>
    <s v="Laboratory Technician"/>
    <n v="1"/>
    <s v="Divorced"/>
    <n v="2587"/>
    <n v="24941"/>
    <n v="4"/>
    <s v="Yes"/>
    <n v="16"/>
    <n v="3"/>
    <n v="2"/>
    <n v="80"/>
    <n v="1"/>
    <n v="17"/>
    <n v="2"/>
    <n v="2"/>
    <n v="2"/>
    <n v="2"/>
    <n v="2"/>
    <n v="2"/>
    <n v="0"/>
    <n v="1"/>
    <s v="45-54"/>
    <s v="Low"/>
    <s v="0-5 Years"/>
  </r>
  <r>
    <n v="1194"/>
    <n v="38"/>
    <x v="1"/>
    <s v="Travel_Frequently"/>
    <n v="148"/>
    <s v="Research &amp; Development"/>
    <n v="2"/>
    <n v="3"/>
    <s v="Medical"/>
    <n v="1675"/>
    <n v="4"/>
    <s v="Female"/>
    <n v="42"/>
    <n v="2"/>
    <n v="1"/>
    <s v="Laboratory Technician"/>
    <n v="2"/>
    <s v="Single"/>
    <n v="2440"/>
    <n v="23826"/>
    <n v="1"/>
    <s v="No"/>
    <n v="22"/>
    <n v="4"/>
    <n v="2"/>
    <n v="80"/>
    <n v="0"/>
    <n v="4"/>
    <n v="3"/>
    <n v="3"/>
    <n v="4"/>
    <n v="3"/>
    <n v="3"/>
    <n v="3"/>
    <n v="0"/>
    <n v="1"/>
    <s v="35-44"/>
    <s v="Low"/>
    <s v="0-5 Years"/>
  </r>
  <r>
    <n v="1195"/>
    <n v="47"/>
    <x v="1"/>
    <s v="Travel_Rarely"/>
    <n v="1225"/>
    <s v="Sales"/>
    <n v="2"/>
    <n v="4"/>
    <s v="Life Sciences"/>
    <n v="1676"/>
    <n v="2"/>
    <s v="Female"/>
    <n v="47"/>
    <n v="4"/>
    <n v="4"/>
    <s v="Manager"/>
    <n v="2"/>
    <s v="Divorced"/>
    <n v="15972"/>
    <n v="21086"/>
    <n v="6"/>
    <s v="No"/>
    <n v="14"/>
    <n v="3"/>
    <n v="3"/>
    <n v="80"/>
    <n v="3"/>
    <n v="29"/>
    <n v="2"/>
    <n v="3"/>
    <n v="3"/>
    <n v="2"/>
    <n v="1"/>
    <n v="2"/>
    <n v="0"/>
    <n v="1"/>
    <s v="45-54"/>
    <s v="High"/>
    <s v="0-5 Years"/>
  </r>
  <r>
    <n v="1196"/>
    <n v="49"/>
    <x v="1"/>
    <s v="Travel_Rarely"/>
    <n v="809"/>
    <s v="Research &amp; Development"/>
    <n v="1"/>
    <n v="3"/>
    <s v="Life Sciences"/>
    <n v="1677"/>
    <n v="3"/>
    <s v="Male"/>
    <n v="36"/>
    <n v="3"/>
    <n v="4"/>
    <s v="Manager"/>
    <n v="3"/>
    <s v="Single"/>
    <n v="15379"/>
    <n v="22384"/>
    <n v="4"/>
    <s v="No"/>
    <n v="14"/>
    <n v="3"/>
    <n v="1"/>
    <n v="80"/>
    <n v="0"/>
    <n v="23"/>
    <n v="2"/>
    <n v="3"/>
    <n v="8"/>
    <n v="7"/>
    <n v="0"/>
    <n v="0"/>
    <n v="0"/>
    <n v="1"/>
    <s v="45-54"/>
    <s v="High"/>
    <s v="6-10 Years"/>
  </r>
  <r>
    <n v="1197"/>
    <n v="41"/>
    <x v="1"/>
    <s v="Travel_Rarely"/>
    <n v="1206"/>
    <s v="Sales"/>
    <n v="23"/>
    <n v="2"/>
    <s v="Life Sciences"/>
    <n v="1678"/>
    <n v="4"/>
    <s v="Male"/>
    <n v="80"/>
    <n v="3"/>
    <n v="3"/>
    <s v="Sales Executive"/>
    <n v="3"/>
    <s v="Single"/>
    <n v="7082"/>
    <n v="11591"/>
    <n v="3"/>
    <s v="Yes"/>
    <n v="16"/>
    <n v="3"/>
    <n v="4"/>
    <n v="80"/>
    <n v="0"/>
    <n v="21"/>
    <n v="2"/>
    <n v="3"/>
    <n v="2"/>
    <n v="0"/>
    <n v="0"/>
    <n v="2"/>
    <n v="0"/>
    <n v="1"/>
    <s v="35-44"/>
    <s v="Medium"/>
    <s v="0-5 Years"/>
  </r>
  <r>
    <n v="1198"/>
    <n v="20"/>
    <x v="1"/>
    <s v="Travel_Rarely"/>
    <n v="727"/>
    <s v="Sales"/>
    <n v="9"/>
    <n v="1"/>
    <s v="Life Sciences"/>
    <n v="1680"/>
    <n v="4"/>
    <s v="Male"/>
    <n v="54"/>
    <n v="3"/>
    <n v="1"/>
    <s v="Sales Representative"/>
    <n v="1"/>
    <s v="Single"/>
    <n v="2728"/>
    <n v="21082"/>
    <n v="1"/>
    <s v="No"/>
    <n v="11"/>
    <n v="3"/>
    <n v="1"/>
    <n v="80"/>
    <n v="0"/>
    <n v="2"/>
    <n v="3"/>
    <n v="3"/>
    <n v="2"/>
    <n v="2"/>
    <n v="0"/>
    <n v="2"/>
    <n v="0"/>
    <n v="1"/>
    <s v="Under 25"/>
    <s v="Low"/>
    <s v="0-5 Years"/>
  </r>
  <r>
    <n v="1199"/>
    <n v="33"/>
    <x v="1"/>
    <s v="Non-Travel"/>
    <n v="530"/>
    <s v="Sales"/>
    <n v="16"/>
    <n v="3"/>
    <s v="Life Sciences"/>
    <n v="1681"/>
    <n v="3"/>
    <s v="Female"/>
    <n v="36"/>
    <n v="3"/>
    <n v="2"/>
    <s v="Sales Executive"/>
    <n v="4"/>
    <s v="Divorced"/>
    <n v="5368"/>
    <n v="16130"/>
    <n v="1"/>
    <s v="Yes"/>
    <n v="25"/>
    <n v="4"/>
    <n v="3"/>
    <n v="80"/>
    <n v="1"/>
    <n v="7"/>
    <n v="2"/>
    <n v="3"/>
    <n v="6"/>
    <n v="5"/>
    <n v="1"/>
    <n v="2"/>
    <n v="0"/>
    <n v="1"/>
    <s v="25-34"/>
    <s v="Medium"/>
    <s v="6-10 Years"/>
  </r>
  <r>
    <n v="1200"/>
    <n v="36"/>
    <x v="1"/>
    <s v="Travel_Rarely"/>
    <n v="1351"/>
    <s v="Research &amp; Development"/>
    <n v="26"/>
    <n v="4"/>
    <s v="Life Sciences"/>
    <n v="1682"/>
    <n v="1"/>
    <s v="Male"/>
    <n v="80"/>
    <n v="3"/>
    <n v="2"/>
    <s v="Healthcare Representative"/>
    <n v="3"/>
    <s v="Married"/>
    <n v="5347"/>
    <n v="7419"/>
    <n v="6"/>
    <s v="No"/>
    <n v="14"/>
    <n v="3"/>
    <n v="2"/>
    <n v="80"/>
    <n v="2"/>
    <n v="10"/>
    <n v="2"/>
    <n v="2"/>
    <n v="3"/>
    <n v="2"/>
    <n v="0"/>
    <n v="2"/>
    <n v="0"/>
    <n v="1"/>
    <s v="35-44"/>
    <s v="Medium"/>
    <s v="0-5 Years"/>
  </r>
  <r>
    <n v="1201"/>
    <n v="44"/>
    <x v="1"/>
    <s v="Travel_Rarely"/>
    <n v="528"/>
    <s v="Human Resources"/>
    <n v="1"/>
    <n v="3"/>
    <s v="Life Sciences"/>
    <n v="1683"/>
    <n v="3"/>
    <s v="Female"/>
    <n v="44"/>
    <n v="3"/>
    <n v="1"/>
    <s v="Human Resources"/>
    <n v="4"/>
    <s v="Divorced"/>
    <n v="3195"/>
    <n v="4167"/>
    <n v="4"/>
    <s v="Yes"/>
    <n v="18"/>
    <n v="3"/>
    <n v="1"/>
    <n v="80"/>
    <n v="3"/>
    <n v="8"/>
    <n v="2"/>
    <n v="3"/>
    <n v="2"/>
    <n v="2"/>
    <n v="2"/>
    <n v="2"/>
    <n v="0"/>
    <n v="1"/>
    <s v="35-44"/>
    <s v="Low"/>
    <s v="0-5 Years"/>
  </r>
  <r>
    <n v="1202"/>
    <n v="23"/>
    <x v="0"/>
    <s v="Travel_Rarely"/>
    <n v="1320"/>
    <s v="Research &amp; Development"/>
    <n v="8"/>
    <n v="1"/>
    <s v="Medical"/>
    <n v="1684"/>
    <n v="4"/>
    <s v="Male"/>
    <n v="93"/>
    <n v="2"/>
    <n v="1"/>
    <s v="Laboratory Technician"/>
    <n v="3"/>
    <s v="Single"/>
    <n v="3989"/>
    <n v="20586"/>
    <n v="1"/>
    <s v="Yes"/>
    <n v="11"/>
    <n v="3"/>
    <n v="1"/>
    <n v="80"/>
    <n v="0"/>
    <n v="5"/>
    <n v="2"/>
    <n v="3"/>
    <n v="5"/>
    <n v="4"/>
    <n v="1"/>
    <n v="2"/>
    <n v="1"/>
    <n v="0"/>
    <s v="Under 25"/>
    <s v="Low"/>
    <s v="0-5 Years"/>
  </r>
  <r>
    <n v="1203"/>
    <n v="38"/>
    <x v="1"/>
    <s v="Travel_Rarely"/>
    <n v="1495"/>
    <s v="Research &amp; Development"/>
    <n v="4"/>
    <n v="2"/>
    <s v="Medical"/>
    <n v="1687"/>
    <n v="4"/>
    <s v="Female"/>
    <n v="87"/>
    <n v="3"/>
    <n v="1"/>
    <s v="Laboratory Technician"/>
    <n v="3"/>
    <s v="Married"/>
    <n v="3306"/>
    <n v="26176"/>
    <n v="7"/>
    <s v="No"/>
    <n v="19"/>
    <n v="3"/>
    <n v="4"/>
    <n v="80"/>
    <n v="1"/>
    <n v="7"/>
    <n v="5"/>
    <n v="2"/>
    <n v="0"/>
    <n v="0"/>
    <n v="0"/>
    <n v="0"/>
    <n v="0"/>
    <n v="1"/>
    <s v="35-44"/>
    <s v="Low"/>
    <s v="0-5 Years"/>
  </r>
  <r>
    <n v="1204"/>
    <n v="53"/>
    <x v="1"/>
    <s v="Travel_Rarely"/>
    <n v="1395"/>
    <s v="Research &amp; Development"/>
    <n v="24"/>
    <n v="4"/>
    <s v="Medical"/>
    <n v="1689"/>
    <n v="2"/>
    <s v="Male"/>
    <n v="48"/>
    <n v="4"/>
    <n v="3"/>
    <s v="Healthcare Representative"/>
    <n v="4"/>
    <s v="Married"/>
    <n v="7005"/>
    <n v="3458"/>
    <n v="3"/>
    <s v="No"/>
    <n v="15"/>
    <n v="3"/>
    <n v="3"/>
    <n v="80"/>
    <n v="0"/>
    <n v="11"/>
    <n v="2"/>
    <n v="3"/>
    <n v="4"/>
    <n v="3"/>
    <n v="1"/>
    <n v="2"/>
    <n v="0"/>
    <n v="1"/>
    <s v="45-54"/>
    <s v="Medium"/>
    <s v="0-5 Years"/>
  </r>
  <r>
    <n v="1205"/>
    <n v="48"/>
    <x v="0"/>
    <s v="Travel_Frequently"/>
    <n v="708"/>
    <s v="Sales"/>
    <n v="7"/>
    <n v="2"/>
    <s v="Medical"/>
    <n v="1691"/>
    <n v="4"/>
    <s v="Female"/>
    <n v="95"/>
    <n v="3"/>
    <n v="1"/>
    <s v="Sales Representative"/>
    <n v="3"/>
    <s v="Married"/>
    <n v="2655"/>
    <n v="11740"/>
    <n v="2"/>
    <s v="Yes"/>
    <n v="11"/>
    <n v="3"/>
    <n v="3"/>
    <n v="80"/>
    <n v="2"/>
    <n v="19"/>
    <n v="3"/>
    <n v="3"/>
    <n v="9"/>
    <n v="7"/>
    <n v="7"/>
    <n v="7"/>
    <n v="1"/>
    <n v="0"/>
    <s v="45-54"/>
    <s v="Low"/>
    <s v="6-10 Years"/>
  </r>
  <r>
    <n v="1206"/>
    <n v="32"/>
    <x v="0"/>
    <s v="Travel_Rarely"/>
    <n v="1259"/>
    <s v="Research &amp; Development"/>
    <n v="2"/>
    <n v="4"/>
    <s v="Life Sciences"/>
    <n v="1692"/>
    <n v="4"/>
    <s v="Male"/>
    <n v="95"/>
    <n v="3"/>
    <n v="1"/>
    <s v="Laboratory Technician"/>
    <n v="2"/>
    <s v="Single"/>
    <n v="1393"/>
    <n v="24852"/>
    <n v="1"/>
    <s v="No"/>
    <n v="12"/>
    <n v="3"/>
    <n v="1"/>
    <n v="80"/>
    <n v="0"/>
    <n v="1"/>
    <n v="2"/>
    <n v="3"/>
    <n v="1"/>
    <n v="0"/>
    <n v="0"/>
    <n v="0"/>
    <n v="1"/>
    <n v="0"/>
    <s v="25-34"/>
    <s v="Low"/>
    <s v="0-5 Years"/>
  </r>
  <r>
    <n v="1207"/>
    <n v="26"/>
    <x v="1"/>
    <s v="Non-Travel"/>
    <n v="786"/>
    <s v="Research &amp; Development"/>
    <n v="7"/>
    <n v="3"/>
    <s v="Medical"/>
    <n v="1693"/>
    <n v="4"/>
    <s v="Male"/>
    <n v="76"/>
    <n v="3"/>
    <n v="1"/>
    <s v="Laboratory Technician"/>
    <n v="4"/>
    <s v="Single"/>
    <n v="2570"/>
    <n v="11925"/>
    <n v="1"/>
    <s v="No"/>
    <n v="20"/>
    <n v="4"/>
    <n v="3"/>
    <n v="80"/>
    <n v="0"/>
    <n v="7"/>
    <n v="5"/>
    <n v="3"/>
    <n v="7"/>
    <n v="7"/>
    <n v="5"/>
    <n v="7"/>
    <n v="0"/>
    <n v="1"/>
    <s v="25-34"/>
    <s v="Low"/>
    <s v="6-10 Years"/>
  </r>
  <r>
    <n v="1208"/>
    <n v="55"/>
    <x v="1"/>
    <s v="Travel_Rarely"/>
    <n v="1441"/>
    <s v="Research &amp; Development"/>
    <n v="22"/>
    <n v="3"/>
    <s v="Technical Degree"/>
    <n v="1694"/>
    <n v="1"/>
    <s v="Male"/>
    <n v="94"/>
    <n v="2"/>
    <n v="1"/>
    <s v="Research Scientist"/>
    <n v="2"/>
    <s v="Divorced"/>
    <n v="3537"/>
    <n v="23737"/>
    <n v="5"/>
    <s v="No"/>
    <n v="12"/>
    <n v="3"/>
    <n v="4"/>
    <n v="80"/>
    <n v="1"/>
    <n v="8"/>
    <n v="1"/>
    <n v="3"/>
    <n v="4"/>
    <n v="2"/>
    <n v="1"/>
    <n v="2"/>
    <n v="0"/>
    <n v="1"/>
    <s v="55+"/>
    <s v="Low"/>
    <s v="0-5 Years"/>
  </r>
  <r>
    <n v="1209"/>
    <n v="34"/>
    <x v="1"/>
    <s v="Travel_Rarely"/>
    <n v="1157"/>
    <s v="Research &amp; Development"/>
    <n v="5"/>
    <n v="2"/>
    <s v="Medical"/>
    <n v="1696"/>
    <n v="2"/>
    <s v="Male"/>
    <n v="57"/>
    <n v="2"/>
    <n v="2"/>
    <s v="Laboratory Technician"/>
    <n v="4"/>
    <s v="Married"/>
    <n v="3986"/>
    <n v="11912"/>
    <n v="1"/>
    <s v="No"/>
    <n v="14"/>
    <n v="3"/>
    <n v="3"/>
    <n v="80"/>
    <n v="1"/>
    <n v="15"/>
    <n v="3"/>
    <n v="4"/>
    <n v="15"/>
    <n v="10"/>
    <n v="4"/>
    <n v="13"/>
    <n v="0"/>
    <n v="1"/>
    <s v="25-34"/>
    <s v="Low"/>
    <s v="11-20 Years"/>
  </r>
  <r>
    <n v="1210"/>
    <n v="60"/>
    <x v="1"/>
    <s v="Travel_Rarely"/>
    <n v="370"/>
    <s v="Research &amp; Development"/>
    <n v="1"/>
    <n v="4"/>
    <s v="Medical"/>
    <n v="1697"/>
    <n v="3"/>
    <s v="Male"/>
    <n v="92"/>
    <n v="1"/>
    <n v="3"/>
    <s v="Healthcare Representative"/>
    <n v="4"/>
    <s v="Divorced"/>
    <n v="10883"/>
    <n v="20467"/>
    <n v="3"/>
    <s v="No"/>
    <n v="20"/>
    <n v="4"/>
    <n v="3"/>
    <n v="80"/>
    <n v="1"/>
    <n v="19"/>
    <n v="2"/>
    <n v="4"/>
    <n v="1"/>
    <n v="0"/>
    <n v="0"/>
    <n v="0"/>
    <n v="0"/>
    <n v="1"/>
    <s v="55+"/>
    <s v="Upper Medium"/>
    <s v="0-5 Years"/>
  </r>
  <r>
    <n v="1211"/>
    <n v="33"/>
    <x v="1"/>
    <s v="Travel_Rarely"/>
    <n v="267"/>
    <s v="Research &amp; Development"/>
    <n v="21"/>
    <n v="3"/>
    <s v="Medical"/>
    <n v="1698"/>
    <n v="2"/>
    <s v="Male"/>
    <n v="79"/>
    <n v="4"/>
    <n v="1"/>
    <s v="Laboratory Technician"/>
    <n v="2"/>
    <s v="Married"/>
    <n v="2028"/>
    <n v="13637"/>
    <n v="1"/>
    <s v="No"/>
    <n v="18"/>
    <n v="3"/>
    <n v="4"/>
    <n v="80"/>
    <n v="3"/>
    <n v="14"/>
    <n v="6"/>
    <n v="3"/>
    <n v="14"/>
    <n v="11"/>
    <n v="2"/>
    <n v="13"/>
    <n v="0"/>
    <n v="1"/>
    <s v="25-34"/>
    <s v="Low"/>
    <s v="11-20 Years"/>
  </r>
  <r>
    <n v="1212"/>
    <n v="37"/>
    <x v="1"/>
    <s v="Travel_Frequently"/>
    <n v="1278"/>
    <s v="Sales"/>
    <n v="1"/>
    <n v="4"/>
    <s v="Medical"/>
    <n v="1700"/>
    <n v="3"/>
    <s v="Male"/>
    <n v="31"/>
    <n v="1"/>
    <n v="2"/>
    <s v="Sales Executive"/>
    <n v="4"/>
    <s v="Divorced"/>
    <n v="9525"/>
    <n v="7677"/>
    <n v="1"/>
    <s v="No"/>
    <n v="14"/>
    <n v="3"/>
    <n v="3"/>
    <n v="80"/>
    <n v="2"/>
    <n v="6"/>
    <n v="2"/>
    <n v="2"/>
    <n v="6"/>
    <n v="3"/>
    <n v="1"/>
    <n v="3"/>
    <n v="0"/>
    <n v="1"/>
    <s v="35-44"/>
    <s v="Medium"/>
    <s v="6-10 Years"/>
  </r>
  <r>
    <n v="1213"/>
    <n v="34"/>
    <x v="1"/>
    <s v="Travel_Rarely"/>
    <n v="678"/>
    <s v="Research &amp; Development"/>
    <n v="19"/>
    <n v="3"/>
    <s v="Life Sciences"/>
    <n v="1701"/>
    <n v="2"/>
    <s v="Female"/>
    <n v="35"/>
    <n v="2"/>
    <n v="1"/>
    <s v="Research Scientist"/>
    <n v="4"/>
    <s v="Married"/>
    <n v="2929"/>
    <n v="20338"/>
    <n v="1"/>
    <s v="No"/>
    <n v="12"/>
    <n v="3"/>
    <n v="2"/>
    <n v="80"/>
    <n v="0"/>
    <n v="10"/>
    <n v="3"/>
    <n v="3"/>
    <n v="10"/>
    <n v="9"/>
    <n v="8"/>
    <n v="7"/>
    <n v="0"/>
    <n v="1"/>
    <s v="25-34"/>
    <s v="Low"/>
    <s v="6-10 Years"/>
  </r>
  <r>
    <n v="1214"/>
    <n v="23"/>
    <x v="0"/>
    <s v="Travel_Rarely"/>
    <n v="427"/>
    <s v="Sales"/>
    <n v="7"/>
    <n v="3"/>
    <s v="Life Sciences"/>
    <n v="1702"/>
    <n v="3"/>
    <s v="Male"/>
    <n v="99"/>
    <n v="3"/>
    <n v="1"/>
    <s v="Sales Representative"/>
    <n v="4"/>
    <s v="Divorced"/>
    <n v="2275"/>
    <n v="25103"/>
    <n v="1"/>
    <s v="Yes"/>
    <n v="21"/>
    <n v="4"/>
    <n v="2"/>
    <n v="80"/>
    <n v="1"/>
    <n v="3"/>
    <n v="2"/>
    <n v="3"/>
    <n v="3"/>
    <n v="2"/>
    <n v="0"/>
    <n v="2"/>
    <n v="1"/>
    <n v="0"/>
    <s v="Under 25"/>
    <s v="Low"/>
    <s v="0-5 Years"/>
  </r>
  <r>
    <n v="1215"/>
    <n v="44"/>
    <x v="1"/>
    <s v="Travel_Rarely"/>
    <n v="921"/>
    <s v="Research &amp; Development"/>
    <n v="2"/>
    <n v="3"/>
    <s v="Life Sciences"/>
    <n v="1703"/>
    <n v="3"/>
    <s v="Female"/>
    <n v="96"/>
    <n v="4"/>
    <n v="3"/>
    <s v="Healthcare Representative"/>
    <n v="4"/>
    <s v="Married"/>
    <n v="7879"/>
    <n v="14810"/>
    <n v="1"/>
    <s v="Yes"/>
    <n v="19"/>
    <n v="3"/>
    <n v="2"/>
    <n v="80"/>
    <n v="1"/>
    <n v="9"/>
    <n v="2"/>
    <n v="3"/>
    <n v="8"/>
    <n v="7"/>
    <n v="6"/>
    <n v="7"/>
    <n v="0"/>
    <n v="1"/>
    <s v="35-44"/>
    <s v="Medium"/>
    <s v="6-10 Years"/>
  </r>
  <r>
    <n v="1216"/>
    <n v="35"/>
    <x v="1"/>
    <s v="Travel_Frequently"/>
    <n v="146"/>
    <s v="Research &amp; Development"/>
    <n v="2"/>
    <n v="4"/>
    <s v="Medical"/>
    <n v="1704"/>
    <n v="1"/>
    <s v="Male"/>
    <n v="79"/>
    <n v="2"/>
    <n v="1"/>
    <s v="Research Scientist"/>
    <n v="4"/>
    <s v="Single"/>
    <n v="4930"/>
    <n v="13970"/>
    <n v="0"/>
    <s v="Yes"/>
    <n v="14"/>
    <n v="3"/>
    <n v="3"/>
    <n v="80"/>
    <n v="0"/>
    <n v="6"/>
    <n v="2"/>
    <n v="4"/>
    <n v="5"/>
    <n v="4"/>
    <n v="1"/>
    <n v="4"/>
    <n v="0"/>
    <n v="1"/>
    <s v="35-44"/>
    <s v="Low"/>
    <s v="0-5 Years"/>
  </r>
  <r>
    <n v="1217"/>
    <n v="43"/>
    <x v="1"/>
    <s v="Travel_Rarely"/>
    <n v="1179"/>
    <s v="Sales"/>
    <n v="2"/>
    <n v="3"/>
    <s v="Medical"/>
    <n v="1706"/>
    <n v="4"/>
    <s v="Male"/>
    <n v="73"/>
    <n v="3"/>
    <n v="2"/>
    <s v="Sales Executive"/>
    <n v="4"/>
    <s v="Married"/>
    <n v="7847"/>
    <n v="6069"/>
    <n v="1"/>
    <s v="Yes"/>
    <n v="17"/>
    <n v="3"/>
    <n v="1"/>
    <n v="80"/>
    <n v="1"/>
    <n v="10"/>
    <n v="3"/>
    <n v="3"/>
    <n v="10"/>
    <n v="9"/>
    <n v="8"/>
    <n v="8"/>
    <n v="0"/>
    <n v="1"/>
    <s v="35-44"/>
    <s v="Medium"/>
    <s v="6-10 Years"/>
  </r>
  <r>
    <n v="1218"/>
    <n v="24"/>
    <x v="1"/>
    <s v="Travel_Rarely"/>
    <n v="581"/>
    <s v="Research &amp; Development"/>
    <n v="9"/>
    <n v="3"/>
    <s v="Medical"/>
    <n v="1707"/>
    <n v="3"/>
    <s v="Male"/>
    <n v="62"/>
    <n v="4"/>
    <n v="1"/>
    <s v="Research Scientist"/>
    <n v="3"/>
    <s v="Married"/>
    <n v="4401"/>
    <n v="17616"/>
    <n v="1"/>
    <s v="No"/>
    <n v="16"/>
    <n v="3"/>
    <n v="4"/>
    <n v="80"/>
    <n v="1"/>
    <n v="5"/>
    <n v="1"/>
    <n v="3"/>
    <n v="5"/>
    <n v="3"/>
    <n v="0"/>
    <n v="4"/>
    <n v="0"/>
    <n v="1"/>
    <s v="Under 25"/>
    <s v="Low"/>
    <s v="0-5 Years"/>
  </r>
  <r>
    <n v="1219"/>
    <n v="41"/>
    <x v="1"/>
    <s v="Travel_Rarely"/>
    <n v="918"/>
    <s v="Sales"/>
    <n v="6"/>
    <n v="3"/>
    <s v="Marketing"/>
    <n v="1708"/>
    <n v="4"/>
    <s v="Male"/>
    <n v="35"/>
    <n v="3"/>
    <n v="3"/>
    <s v="Sales Executive"/>
    <n v="3"/>
    <s v="Single"/>
    <n v="9241"/>
    <n v="15869"/>
    <n v="1"/>
    <s v="No"/>
    <n v="12"/>
    <n v="3"/>
    <n v="2"/>
    <n v="80"/>
    <n v="0"/>
    <n v="10"/>
    <n v="3"/>
    <n v="3"/>
    <n v="10"/>
    <n v="8"/>
    <n v="8"/>
    <n v="7"/>
    <n v="0"/>
    <n v="1"/>
    <s v="35-44"/>
    <s v="Medium"/>
    <s v="6-10 Years"/>
  </r>
  <r>
    <n v="1220"/>
    <n v="29"/>
    <x v="1"/>
    <s v="Travel_Rarely"/>
    <n v="1082"/>
    <s v="Research &amp; Development"/>
    <n v="9"/>
    <n v="4"/>
    <s v="Medical"/>
    <n v="1709"/>
    <n v="4"/>
    <s v="Female"/>
    <n v="43"/>
    <n v="3"/>
    <n v="1"/>
    <s v="Laboratory Technician"/>
    <n v="3"/>
    <s v="Married"/>
    <n v="2974"/>
    <n v="25412"/>
    <n v="9"/>
    <s v="No"/>
    <n v="17"/>
    <n v="3"/>
    <n v="3"/>
    <n v="80"/>
    <n v="1"/>
    <n v="9"/>
    <n v="2"/>
    <n v="3"/>
    <n v="5"/>
    <n v="3"/>
    <n v="1"/>
    <n v="2"/>
    <n v="0"/>
    <n v="1"/>
    <s v="25-34"/>
    <s v="Low"/>
    <s v="0-5 Years"/>
  </r>
  <r>
    <n v="1221"/>
    <n v="36"/>
    <x v="1"/>
    <s v="Travel_Rarely"/>
    <n v="530"/>
    <s v="Sales"/>
    <n v="2"/>
    <n v="4"/>
    <s v="Life Sciences"/>
    <n v="1710"/>
    <n v="3"/>
    <s v="Female"/>
    <n v="51"/>
    <n v="3"/>
    <n v="2"/>
    <s v="Sales Representative"/>
    <n v="4"/>
    <s v="Single"/>
    <n v="4502"/>
    <n v="7439"/>
    <n v="3"/>
    <s v="No"/>
    <n v="15"/>
    <n v="3"/>
    <n v="3"/>
    <n v="80"/>
    <n v="0"/>
    <n v="17"/>
    <n v="2"/>
    <n v="2"/>
    <n v="13"/>
    <n v="7"/>
    <n v="6"/>
    <n v="7"/>
    <n v="0"/>
    <n v="1"/>
    <s v="35-44"/>
    <s v="Low"/>
    <s v="11-20 Years"/>
  </r>
  <r>
    <n v="1222"/>
    <n v="45"/>
    <x v="1"/>
    <s v="Non-Travel"/>
    <n v="1238"/>
    <s v="Research &amp; Development"/>
    <n v="1"/>
    <n v="1"/>
    <s v="Life Sciences"/>
    <n v="1712"/>
    <n v="3"/>
    <s v="Male"/>
    <n v="74"/>
    <n v="2"/>
    <n v="3"/>
    <s v="Healthcare Representative"/>
    <n v="3"/>
    <s v="Married"/>
    <n v="10748"/>
    <n v="3395"/>
    <n v="3"/>
    <s v="No"/>
    <n v="23"/>
    <n v="4"/>
    <n v="4"/>
    <n v="80"/>
    <n v="1"/>
    <n v="25"/>
    <n v="3"/>
    <n v="2"/>
    <n v="23"/>
    <n v="15"/>
    <n v="14"/>
    <n v="4"/>
    <n v="0"/>
    <n v="1"/>
    <s v="45-54"/>
    <s v="Upper Medium"/>
    <s v="21+ Years"/>
  </r>
  <r>
    <n v="1223"/>
    <n v="24"/>
    <x v="0"/>
    <s v="Travel_Rarely"/>
    <n v="240"/>
    <s v="Human Resources"/>
    <n v="22"/>
    <n v="1"/>
    <s v="Human Resources"/>
    <n v="1714"/>
    <n v="4"/>
    <s v="Male"/>
    <n v="58"/>
    <n v="1"/>
    <n v="1"/>
    <s v="Human Resources"/>
    <n v="3"/>
    <s v="Married"/>
    <n v="1555"/>
    <n v="11585"/>
    <n v="1"/>
    <s v="No"/>
    <n v="11"/>
    <n v="3"/>
    <n v="3"/>
    <n v="80"/>
    <n v="1"/>
    <n v="1"/>
    <n v="2"/>
    <n v="3"/>
    <n v="1"/>
    <n v="0"/>
    <n v="0"/>
    <n v="0"/>
    <n v="1"/>
    <n v="0"/>
    <s v="Under 25"/>
    <s v="Low"/>
    <s v="0-5 Years"/>
  </r>
  <r>
    <n v="1224"/>
    <n v="47"/>
    <x v="0"/>
    <s v="Travel_Frequently"/>
    <n v="1093"/>
    <s v="Sales"/>
    <n v="9"/>
    <n v="3"/>
    <s v="Life Sciences"/>
    <n v="1716"/>
    <n v="3"/>
    <s v="Male"/>
    <n v="82"/>
    <n v="1"/>
    <n v="4"/>
    <s v="Sales Executive"/>
    <n v="3"/>
    <s v="Married"/>
    <n v="12936"/>
    <n v="24164"/>
    <n v="7"/>
    <s v="No"/>
    <n v="11"/>
    <n v="3"/>
    <n v="3"/>
    <n v="80"/>
    <n v="0"/>
    <n v="25"/>
    <n v="3"/>
    <n v="1"/>
    <n v="23"/>
    <n v="5"/>
    <n v="14"/>
    <n v="10"/>
    <n v="1"/>
    <n v="0"/>
    <s v="45-54"/>
    <s v="Upper Medium"/>
    <s v="21+ Years"/>
  </r>
  <r>
    <n v="1225"/>
    <n v="26"/>
    <x v="1"/>
    <s v="Travel_Rarely"/>
    <n v="390"/>
    <s v="Research &amp; Development"/>
    <n v="17"/>
    <n v="4"/>
    <s v="Medical"/>
    <n v="1718"/>
    <n v="4"/>
    <s v="Male"/>
    <n v="62"/>
    <n v="1"/>
    <n v="1"/>
    <s v="Laboratory Technician"/>
    <n v="3"/>
    <s v="Married"/>
    <n v="2305"/>
    <n v="6217"/>
    <n v="1"/>
    <s v="No"/>
    <n v="15"/>
    <n v="3"/>
    <n v="3"/>
    <n v="80"/>
    <n v="3"/>
    <n v="3"/>
    <n v="3"/>
    <n v="4"/>
    <n v="3"/>
    <n v="2"/>
    <n v="0"/>
    <n v="2"/>
    <n v="0"/>
    <n v="1"/>
    <s v="25-34"/>
    <s v="Low"/>
    <s v="0-5 Years"/>
  </r>
  <r>
    <n v="1226"/>
    <n v="45"/>
    <x v="1"/>
    <s v="Travel_Rarely"/>
    <n v="1005"/>
    <s v="Research &amp; Development"/>
    <n v="28"/>
    <n v="2"/>
    <s v="Technical Degree"/>
    <n v="1719"/>
    <n v="4"/>
    <s v="Female"/>
    <n v="48"/>
    <n v="2"/>
    <n v="4"/>
    <s v="Research Director"/>
    <n v="2"/>
    <s v="Single"/>
    <n v="16704"/>
    <n v="17119"/>
    <n v="1"/>
    <s v="No"/>
    <n v="11"/>
    <n v="3"/>
    <n v="3"/>
    <n v="80"/>
    <n v="0"/>
    <n v="21"/>
    <n v="2"/>
    <n v="3"/>
    <n v="21"/>
    <n v="6"/>
    <n v="8"/>
    <n v="6"/>
    <n v="0"/>
    <n v="1"/>
    <s v="45-54"/>
    <s v="High"/>
    <s v="21+ Years"/>
  </r>
  <r>
    <n v="1227"/>
    <n v="32"/>
    <x v="1"/>
    <s v="Travel_Frequently"/>
    <n v="585"/>
    <s v="Research &amp; Development"/>
    <n v="10"/>
    <n v="3"/>
    <s v="Life Sciences"/>
    <n v="1720"/>
    <n v="1"/>
    <s v="Male"/>
    <n v="56"/>
    <n v="3"/>
    <n v="1"/>
    <s v="Research Scientist"/>
    <n v="3"/>
    <s v="Married"/>
    <n v="3433"/>
    <n v="17360"/>
    <n v="6"/>
    <s v="No"/>
    <n v="13"/>
    <n v="3"/>
    <n v="1"/>
    <n v="80"/>
    <n v="1"/>
    <n v="10"/>
    <n v="3"/>
    <n v="2"/>
    <n v="5"/>
    <n v="2"/>
    <n v="1"/>
    <n v="3"/>
    <n v="0"/>
    <n v="1"/>
    <s v="25-34"/>
    <s v="Low"/>
    <s v="0-5 Years"/>
  </r>
  <r>
    <n v="1228"/>
    <n v="31"/>
    <x v="1"/>
    <s v="Travel_Rarely"/>
    <n v="741"/>
    <s v="Research &amp; Development"/>
    <n v="2"/>
    <n v="4"/>
    <s v="Life Sciences"/>
    <n v="1721"/>
    <n v="2"/>
    <s v="Male"/>
    <n v="69"/>
    <n v="3"/>
    <n v="1"/>
    <s v="Laboratory Technician"/>
    <n v="3"/>
    <s v="Married"/>
    <n v="3477"/>
    <n v="18103"/>
    <n v="1"/>
    <s v="No"/>
    <n v="14"/>
    <n v="3"/>
    <n v="4"/>
    <n v="80"/>
    <n v="1"/>
    <n v="6"/>
    <n v="2"/>
    <n v="4"/>
    <n v="5"/>
    <n v="2"/>
    <n v="0"/>
    <n v="3"/>
    <n v="0"/>
    <n v="1"/>
    <s v="25-34"/>
    <s v="Low"/>
    <s v="0-5 Years"/>
  </r>
  <r>
    <n v="1229"/>
    <n v="41"/>
    <x v="1"/>
    <s v="Non-Travel"/>
    <n v="552"/>
    <s v="Human Resources"/>
    <n v="4"/>
    <n v="3"/>
    <s v="Human Resources"/>
    <n v="1722"/>
    <n v="3"/>
    <s v="Male"/>
    <n v="60"/>
    <n v="1"/>
    <n v="2"/>
    <s v="Human Resources"/>
    <n v="2"/>
    <s v="Married"/>
    <n v="6430"/>
    <n v="20794"/>
    <n v="6"/>
    <s v="No"/>
    <n v="19"/>
    <n v="3"/>
    <n v="2"/>
    <n v="80"/>
    <n v="1"/>
    <n v="10"/>
    <n v="4"/>
    <n v="3"/>
    <n v="3"/>
    <n v="2"/>
    <n v="1"/>
    <n v="2"/>
    <n v="0"/>
    <n v="1"/>
    <s v="35-44"/>
    <s v="Medium"/>
    <s v="0-5 Years"/>
  </r>
  <r>
    <n v="1230"/>
    <n v="40"/>
    <x v="1"/>
    <s v="Travel_Rarely"/>
    <n v="369"/>
    <s v="Research &amp; Development"/>
    <n v="8"/>
    <n v="2"/>
    <s v="Life Sciences"/>
    <n v="1724"/>
    <n v="2"/>
    <s v="Female"/>
    <n v="92"/>
    <n v="3"/>
    <n v="2"/>
    <s v="Manufacturing Director"/>
    <n v="1"/>
    <s v="Married"/>
    <n v="6516"/>
    <n v="5041"/>
    <n v="2"/>
    <s v="Yes"/>
    <n v="16"/>
    <n v="3"/>
    <n v="2"/>
    <n v="80"/>
    <n v="1"/>
    <n v="18"/>
    <n v="3"/>
    <n v="3"/>
    <n v="1"/>
    <n v="0"/>
    <n v="0"/>
    <n v="0"/>
    <n v="0"/>
    <n v="1"/>
    <s v="35-44"/>
    <s v="Medium"/>
    <s v="0-5 Years"/>
  </r>
  <r>
    <n v="1231"/>
    <n v="24"/>
    <x v="1"/>
    <s v="Travel_Rarely"/>
    <n v="506"/>
    <s v="Research &amp; Development"/>
    <n v="29"/>
    <n v="1"/>
    <s v="Medical"/>
    <n v="1725"/>
    <n v="2"/>
    <s v="Male"/>
    <n v="91"/>
    <n v="3"/>
    <n v="1"/>
    <s v="Laboratory Technician"/>
    <n v="1"/>
    <s v="Divorced"/>
    <n v="3907"/>
    <n v="3622"/>
    <n v="1"/>
    <s v="No"/>
    <n v="13"/>
    <n v="3"/>
    <n v="2"/>
    <n v="80"/>
    <n v="3"/>
    <n v="6"/>
    <n v="2"/>
    <n v="4"/>
    <n v="6"/>
    <n v="2"/>
    <n v="1"/>
    <n v="2"/>
    <n v="0"/>
    <n v="1"/>
    <s v="Under 25"/>
    <s v="Low"/>
    <s v="6-10 Years"/>
  </r>
  <r>
    <n v="1232"/>
    <n v="46"/>
    <x v="1"/>
    <s v="Travel_Rarely"/>
    <n v="717"/>
    <s v="Research &amp; Development"/>
    <n v="13"/>
    <n v="4"/>
    <s v="Life Sciences"/>
    <n v="1727"/>
    <n v="3"/>
    <s v="Male"/>
    <n v="34"/>
    <n v="3"/>
    <n v="2"/>
    <s v="Healthcare Representative"/>
    <n v="2"/>
    <s v="Single"/>
    <n v="5562"/>
    <n v="9697"/>
    <n v="6"/>
    <s v="No"/>
    <n v="14"/>
    <n v="3"/>
    <n v="4"/>
    <n v="80"/>
    <n v="0"/>
    <n v="19"/>
    <n v="3"/>
    <n v="3"/>
    <n v="10"/>
    <n v="7"/>
    <n v="0"/>
    <n v="9"/>
    <n v="0"/>
    <n v="1"/>
    <s v="45-54"/>
    <s v="Medium"/>
    <s v="6-10 Years"/>
  </r>
  <r>
    <n v="1233"/>
    <n v="35"/>
    <x v="1"/>
    <s v="Travel_Rarely"/>
    <n v="1370"/>
    <s v="Research &amp; Development"/>
    <n v="27"/>
    <n v="4"/>
    <s v="Life Sciences"/>
    <n v="1728"/>
    <n v="4"/>
    <s v="Male"/>
    <n v="49"/>
    <n v="3"/>
    <n v="2"/>
    <s v="Manufacturing Director"/>
    <n v="3"/>
    <s v="Married"/>
    <n v="6883"/>
    <n v="5151"/>
    <n v="2"/>
    <s v="No"/>
    <n v="16"/>
    <n v="3"/>
    <n v="2"/>
    <n v="80"/>
    <n v="1"/>
    <n v="17"/>
    <n v="3"/>
    <n v="3"/>
    <n v="7"/>
    <n v="7"/>
    <n v="0"/>
    <n v="7"/>
    <n v="0"/>
    <n v="1"/>
    <s v="35-44"/>
    <s v="Medium"/>
    <s v="6-10 Years"/>
  </r>
  <r>
    <n v="1234"/>
    <n v="30"/>
    <x v="1"/>
    <s v="Travel_Rarely"/>
    <n v="793"/>
    <s v="Research &amp; Development"/>
    <n v="16"/>
    <n v="1"/>
    <s v="Life Sciences"/>
    <n v="1729"/>
    <n v="2"/>
    <s v="Male"/>
    <n v="33"/>
    <n v="3"/>
    <n v="1"/>
    <s v="Research Scientist"/>
    <n v="4"/>
    <s v="Married"/>
    <n v="2862"/>
    <n v="3811"/>
    <n v="1"/>
    <s v="No"/>
    <n v="12"/>
    <n v="3"/>
    <n v="2"/>
    <n v="80"/>
    <n v="1"/>
    <n v="10"/>
    <n v="2"/>
    <n v="2"/>
    <n v="10"/>
    <n v="0"/>
    <n v="0"/>
    <n v="8"/>
    <n v="0"/>
    <n v="1"/>
    <s v="25-34"/>
    <s v="Low"/>
    <s v="6-10 Years"/>
  </r>
  <r>
    <n v="1235"/>
    <n v="47"/>
    <x v="1"/>
    <s v="Non-Travel"/>
    <n v="543"/>
    <s v="Sales"/>
    <n v="2"/>
    <n v="4"/>
    <s v="Marketing"/>
    <n v="1731"/>
    <n v="3"/>
    <s v="Male"/>
    <n v="87"/>
    <n v="3"/>
    <n v="2"/>
    <s v="Sales Executive"/>
    <n v="2"/>
    <s v="Married"/>
    <n v="4978"/>
    <n v="3536"/>
    <n v="7"/>
    <s v="No"/>
    <n v="11"/>
    <n v="3"/>
    <n v="4"/>
    <n v="80"/>
    <n v="1"/>
    <n v="4"/>
    <n v="3"/>
    <n v="1"/>
    <n v="1"/>
    <n v="0"/>
    <n v="0"/>
    <n v="0"/>
    <n v="0"/>
    <n v="1"/>
    <s v="45-54"/>
    <s v="Low"/>
    <s v="0-5 Years"/>
  </r>
  <r>
    <n v="1236"/>
    <n v="46"/>
    <x v="1"/>
    <s v="Travel_Rarely"/>
    <n v="1277"/>
    <s v="Sales"/>
    <n v="2"/>
    <n v="3"/>
    <s v="Life Sciences"/>
    <n v="1732"/>
    <n v="3"/>
    <s v="Male"/>
    <n v="74"/>
    <n v="3"/>
    <n v="3"/>
    <s v="Sales Executive"/>
    <n v="4"/>
    <s v="Divorced"/>
    <n v="10368"/>
    <n v="5596"/>
    <n v="4"/>
    <s v="Yes"/>
    <n v="12"/>
    <n v="3"/>
    <n v="2"/>
    <n v="80"/>
    <n v="1"/>
    <n v="13"/>
    <n v="5"/>
    <n v="2"/>
    <n v="10"/>
    <n v="6"/>
    <n v="0"/>
    <n v="3"/>
    <n v="0"/>
    <n v="1"/>
    <s v="45-54"/>
    <s v="Upper Medium"/>
    <s v="6-10 Years"/>
  </r>
  <r>
    <n v="1237"/>
    <n v="36"/>
    <x v="0"/>
    <s v="Travel_Rarely"/>
    <n v="1456"/>
    <s v="Sales"/>
    <n v="13"/>
    <n v="5"/>
    <s v="Marketing"/>
    <n v="1733"/>
    <n v="2"/>
    <s v="Male"/>
    <n v="96"/>
    <n v="2"/>
    <n v="2"/>
    <s v="Sales Executive"/>
    <n v="1"/>
    <s v="Divorced"/>
    <n v="6134"/>
    <n v="8658"/>
    <n v="5"/>
    <s v="Yes"/>
    <n v="13"/>
    <n v="3"/>
    <n v="2"/>
    <n v="80"/>
    <n v="3"/>
    <n v="16"/>
    <n v="3"/>
    <n v="3"/>
    <n v="2"/>
    <n v="2"/>
    <n v="2"/>
    <n v="2"/>
    <n v="1"/>
    <n v="0"/>
    <s v="35-44"/>
    <s v="Medium"/>
    <s v="0-5 Years"/>
  </r>
  <r>
    <n v="1238"/>
    <n v="32"/>
    <x v="0"/>
    <s v="Travel_Rarely"/>
    <n v="964"/>
    <s v="Sales"/>
    <n v="1"/>
    <n v="2"/>
    <s v="Life Sciences"/>
    <n v="1734"/>
    <n v="1"/>
    <s v="Male"/>
    <n v="34"/>
    <n v="1"/>
    <n v="2"/>
    <s v="Sales Executive"/>
    <n v="2"/>
    <s v="Single"/>
    <n v="6735"/>
    <n v="12147"/>
    <n v="6"/>
    <s v="No"/>
    <n v="15"/>
    <n v="3"/>
    <n v="2"/>
    <n v="80"/>
    <n v="0"/>
    <n v="10"/>
    <n v="2"/>
    <n v="3"/>
    <n v="0"/>
    <n v="0"/>
    <n v="0"/>
    <n v="0"/>
    <n v="1"/>
    <n v="0"/>
    <s v="25-34"/>
    <s v="Medium"/>
    <s v="0-5 Years"/>
  </r>
  <r>
    <n v="1239"/>
    <n v="23"/>
    <x v="1"/>
    <s v="Travel_Rarely"/>
    <n v="160"/>
    <s v="Research &amp; Development"/>
    <n v="4"/>
    <n v="1"/>
    <s v="Medical"/>
    <n v="1735"/>
    <n v="3"/>
    <s v="Female"/>
    <n v="51"/>
    <n v="3"/>
    <n v="1"/>
    <s v="Laboratory Technician"/>
    <n v="2"/>
    <s v="Single"/>
    <n v="3295"/>
    <n v="12862"/>
    <n v="1"/>
    <s v="No"/>
    <n v="13"/>
    <n v="3"/>
    <n v="3"/>
    <n v="80"/>
    <n v="0"/>
    <n v="3"/>
    <n v="3"/>
    <n v="1"/>
    <n v="3"/>
    <n v="2"/>
    <n v="1"/>
    <n v="2"/>
    <n v="0"/>
    <n v="1"/>
    <s v="Under 25"/>
    <s v="Low"/>
    <s v="0-5 Years"/>
  </r>
  <r>
    <n v="1240"/>
    <n v="31"/>
    <x v="1"/>
    <s v="Travel_Frequently"/>
    <n v="163"/>
    <s v="Research &amp; Development"/>
    <n v="24"/>
    <n v="1"/>
    <s v="Technical Degree"/>
    <n v="1736"/>
    <n v="4"/>
    <s v="Female"/>
    <n v="30"/>
    <n v="3"/>
    <n v="2"/>
    <s v="Manufacturing Director"/>
    <n v="4"/>
    <s v="Single"/>
    <n v="5238"/>
    <n v="6670"/>
    <n v="2"/>
    <s v="No"/>
    <n v="20"/>
    <n v="4"/>
    <n v="4"/>
    <n v="80"/>
    <n v="0"/>
    <n v="9"/>
    <n v="3"/>
    <n v="2"/>
    <n v="5"/>
    <n v="4"/>
    <n v="1"/>
    <n v="4"/>
    <n v="0"/>
    <n v="1"/>
    <s v="25-34"/>
    <s v="Medium"/>
    <s v="0-5 Years"/>
  </r>
  <r>
    <n v="1241"/>
    <n v="39"/>
    <x v="1"/>
    <s v="Non-Travel"/>
    <n v="792"/>
    <s v="Research &amp; Development"/>
    <n v="1"/>
    <n v="3"/>
    <s v="Life Sciences"/>
    <n v="1737"/>
    <n v="4"/>
    <s v="Male"/>
    <n v="77"/>
    <n v="3"/>
    <n v="2"/>
    <s v="Laboratory Technician"/>
    <n v="4"/>
    <s v="Married"/>
    <n v="6472"/>
    <n v="8989"/>
    <n v="1"/>
    <s v="Yes"/>
    <n v="15"/>
    <n v="3"/>
    <n v="4"/>
    <n v="80"/>
    <n v="1"/>
    <n v="9"/>
    <n v="2"/>
    <n v="3"/>
    <n v="9"/>
    <n v="8"/>
    <n v="5"/>
    <n v="8"/>
    <n v="0"/>
    <n v="1"/>
    <s v="35-44"/>
    <s v="Medium"/>
    <s v="6-10 Years"/>
  </r>
  <r>
    <n v="1242"/>
    <n v="32"/>
    <x v="1"/>
    <s v="Travel_Rarely"/>
    <n v="371"/>
    <s v="Sales"/>
    <n v="19"/>
    <n v="3"/>
    <s v="Life Sciences"/>
    <n v="1739"/>
    <n v="4"/>
    <s v="Male"/>
    <n v="80"/>
    <n v="1"/>
    <n v="3"/>
    <s v="Sales Executive"/>
    <n v="3"/>
    <s v="Married"/>
    <n v="9610"/>
    <n v="3840"/>
    <n v="3"/>
    <s v="No"/>
    <n v="13"/>
    <n v="3"/>
    <n v="3"/>
    <n v="80"/>
    <n v="1"/>
    <n v="10"/>
    <n v="2"/>
    <n v="1"/>
    <n v="4"/>
    <n v="3"/>
    <n v="0"/>
    <n v="2"/>
    <n v="0"/>
    <n v="1"/>
    <s v="25-34"/>
    <s v="Medium"/>
    <s v="0-5 Years"/>
  </r>
  <r>
    <n v="1243"/>
    <n v="40"/>
    <x v="1"/>
    <s v="Travel_Rarely"/>
    <n v="611"/>
    <s v="Sales"/>
    <n v="7"/>
    <n v="4"/>
    <s v="Medical"/>
    <n v="1740"/>
    <n v="2"/>
    <s v="Male"/>
    <n v="88"/>
    <n v="3"/>
    <n v="5"/>
    <s v="Manager"/>
    <n v="2"/>
    <s v="Single"/>
    <n v="19833"/>
    <n v="4349"/>
    <n v="1"/>
    <s v="No"/>
    <n v="14"/>
    <n v="3"/>
    <n v="2"/>
    <n v="80"/>
    <n v="0"/>
    <n v="21"/>
    <n v="3"/>
    <n v="2"/>
    <n v="21"/>
    <n v="8"/>
    <n v="12"/>
    <n v="8"/>
    <n v="0"/>
    <n v="1"/>
    <s v="35-44"/>
    <s v="High"/>
    <s v="21+ Years"/>
  </r>
  <r>
    <n v="1244"/>
    <n v="45"/>
    <x v="1"/>
    <s v="Travel_Rarely"/>
    <n v="176"/>
    <s v="Human Resources"/>
    <n v="4"/>
    <n v="3"/>
    <s v="Life Sciences"/>
    <n v="1744"/>
    <n v="3"/>
    <s v="Female"/>
    <n v="56"/>
    <n v="1"/>
    <n v="3"/>
    <s v="Human Resources"/>
    <n v="3"/>
    <s v="Married"/>
    <n v="9756"/>
    <n v="6595"/>
    <n v="4"/>
    <s v="No"/>
    <n v="21"/>
    <n v="4"/>
    <n v="3"/>
    <n v="80"/>
    <n v="2"/>
    <n v="9"/>
    <n v="2"/>
    <n v="4"/>
    <n v="5"/>
    <n v="0"/>
    <n v="0"/>
    <n v="3"/>
    <n v="0"/>
    <n v="1"/>
    <s v="45-54"/>
    <s v="Medium"/>
    <s v="0-5 Years"/>
  </r>
  <r>
    <n v="1245"/>
    <n v="30"/>
    <x v="1"/>
    <s v="Travel_Frequently"/>
    <n v="1312"/>
    <s v="Research &amp; Development"/>
    <n v="2"/>
    <n v="4"/>
    <s v="Technical Degree"/>
    <n v="1745"/>
    <n v="4"/>
    <s v="Female"/>
    <n v="78"/>
    <n v="2"/>
    <n v="1"/>
    <s v="Research Scientist"/>
    <n v="1"/>
    <s v="Single"/>
    <n v="4968"/>
    <n v="26427"/>
    <n v="0"/>
    <s v="No"/>
    <n v="16"/>
    <n v="3"/>
    <n v="4"/>
    <n v="80"/>
    <n v="0"/>
    <n v="10"/>
    <n v="2"/>
    <n v="3"/>
    <n v="9"/>
    <n v="7"/>
    <n v="0"/>
    <n v="7"/>
    <n v="0"/>
    <n v="1"/>
    <s v="25-34"/>
    <s v="Low"/>
    <s v="6-10 Years"/>
  </r>
  <r>
    <n v="1246"/>
    <n v="24"/>
    <x v="1"/>
    <s v="Travel_Frequently"/>
    <n v="897"/>
    <s v="Human Resources"/>
    <n v="10"/>
    <n v="3"/>
    <s v="Medical"/>
    <n v="1746"/>
    <n v="1"/>
    <s v="Male"/>
    <n v="59"/>
    <n v="3"/>
    <n v="1"/>
    <s v="Human Resources"/>
    <n v="4"/>
    <s v="Married"/>
    <n v="2145"/>
    <n v="2097"/>
    <n v="0"/>
    <s v="No"/>
    <n v="14"/>
    <n v="3"/>
    <n v="4"/>
    <n v="80"/>
    <n v="1"/>
    <n v="3"/>
    <n v="2"/>
    <n v="3"/>
    <n v="2"/>
    <n v="2"/>
    <n v="2"/>
    <n v="1"/>
    <n v="0"/>
    <n v="1"/>
    <s v="Under 25"/>
    <s v="Low"/>
    <s v="0-5 Years"/>
  </r>
  <r>
    <n v="1247"/>
    <n v="30"/>
    <x v="0"/>
    <s v="Travel_Frequently"/>
    <n v="600"/>
    <s v="Human Resources"/>
    <n v="8"/>
    <n v="3"/>
    <s v="Human Resources"/>
    <n v="1747"/>
    <n v="3"/>
    <s v="Female"/>
    <n v="66"/>
    <n v="2"/>
    <n v="1"/>
    <s v="Human Resources"/>
    <n v="4"/>
    <s v="Divorced"/>
    <n v="2180"/>
    <n v="9732"/>
    <n v="6"/>
    <s v="No"/>
    <n v="11"/>
    <n v="3"/>
    <n v="3"/>
    <n v="80"/>
    <n v="1"/>
    <n v="6"/>
    <n v="0"/>
    <n v="2"/>
    <n v="4"/>
    <n v="2"/>
    <n v="1"/>
    <n v="2"/>
    <n v="1"/>
    <n v="0"/>
    <s v="25-34"/>
    <s v="Low"/>
    <s v="0-5 Years"/>
  </r>
  <r>
    <n v="1248"/>
    <n v="31"/>
    <x v="1"/>
    <s v="Travel_Rarely"/>
    <n v="1003"/>
    <s v="Sales"/>
    <n v="5"/>
    <n v="3"/>
    <s v="Technical Degree"/>
    <n v="1749"/>
    <n v="1"/>
    <s v="Male"/>
    <n v="51"/>
    <n v="3"/>
    <n v="2"/>
    <s v="Sales Executive"/>
    <n v="3"/>
    <s v="Married"/>
    <n v="8346"/>
    <n v="20943"/>
    <n v="1"/>
    <s v="No"/>
    <n v="19"/>
    <n v="3"/>
    <n v="3"/>
    <n v="80"/>
    <n v="1"/>
    <n v="6"/>
    <n v="3"/>
    <n v="3"/>
    <n v="5"/>
    <n v="2"/>
    <n v="0"/>
    <n v="2"/>
    <n v="0"/>
    <n v="1"/>
    <s v="25-34"/>
    <s v="Medium"/>
    <s v="0-5 Years"/>
  </r>
  <r>
    <n v="1249"/>
    <n v="27"/>
    <x v="1"/>
    <s v="Travel_Rarely"/>
    <n v="1054"/>
    <s v="Research &amp; Development"/>
    <n v="8"/>
    <n v="3"/>
    <s v="Medical"/>
    <n v="1751"/>
    <n v="3"/>
    <s v="Female"/>
    <n v="67"/>
    <n v="3"/>
    <n v="1"/>
    <s v="Research Scientist"/>
    <n v="4"/>
    <s v="Single"/>
    <n v="3445"/>
    <n v="6152"/>
    <n v="1"/>
    <s v="No"/>
    <n v="11"/>
    <n v="3"/>
    <n v="3"/>
    <n v="80"/>
    <n v="0"/>
    <n v="6"/>
    <n v="5"/>
    <n v="2"/>
    <n v="6"/>
    <n v="2"/>
    <n v="1"/>
    <n v="4"/>
    <n v="0"/>
    <n v="1"/>
    <s v="25-34"/>
    <s v="Low"/>
    <s v="6-10 Years"/>
  </r>
  <r>
    <n v="1250"/>
    <n v="29"/>
    <x v="0"/>
    <s v="Travel_Rarely"/>
    <n v="428"/>
    <s v="Sales"/>
    <n v="9"/>
    <n v="3"/>
    <s v="Marketing"/>
    <n v="1752"/>
    <n v="2"/>
    <s v="Female"/>
    <n v="52"/>
    <n v="1"/>
    <n v="1"/>
    <s v="Sales Representative"/>
    <n v="2"/>
    <s v="Single"/>
    <n v="2760"/>
    <n v="14630"/>
    <n v="1"/>
    <s v="No"/>
    <n v="13"/>
    <n v="3"/>
    <n v="3"/>
    <n v="80"/>
    <n v="0"/>
    <n v="2"/>
    <n v="3"/>
    <n v="3"/>
    <n v="2"/>
    <n v="2"/>
    <n v="2"/>
    <n v="2"/>
    <n v="1"/>
    <n v="0"/>
    <s v="25-34"/>
    <s v="Low"/>
    <s v="0-5 Years"/>
  </r>
  <r>
    <n v="1251"/>
    <n v="29"/>
    <x v="1"/>
    <s v="Travel_Frequently"/>
    <n v="461"/>
    <s v="Research &amp; Development"/>
    <n v="1"/>
    <n v="3"/>
    <s v="Life Sciences"/>
    <n v="1753"/>
    <n v="4"/>
    <s v="Male"/>
    <n v="70"/>
    <n v="4"/>
    <n v="2"/>
    <s v="Healthcare Representative"/>
    <n v="3"/>
    <s v="Single"/>
    <n v="6294"/>
    <n v="23060"/>
    <n v="8"/>
    <s v="Yes"/>
    <n v="12"/>
    <n v="3"/>
    <n v="4"/>
    <n v="80"/>
    <n v="0"/>
    <n v="10"/>
    <n v="5"/>
    <n v="4"/>
    <n v="3"/>
    <n v="2"/>
    <n v="0"/>
    <n v="2"/>
    <n v="0"/>
    <n v="1"/>
    <s v="25-34"/>
    <s v="Medium"/>
    <s v="0-5 Years"/>
  </r>
  <r>
    <n v="1252"/>
    <n v="30"/>
    <x v="1"/>
    <s v="Travel_Rarely"/>
    <n v="979"/>
    <s v="Sales"/>
    <n v="15"/>
    <n v="2"/>
    <s v="Marketing"/>
    <n v="1754"/>
    <n v="3"/>
    <s v="Male"/>
    <n v="94"/>
    <n v="2"/>
    <n v="3"/>
    <s v="Sales Executive"/>
    <n v="1"/>
    <s v="Divorced"/>
    <n v="7140"/>
    <n v="3088"/>
    <n v="2"/>
    <s v="No"/>
    <n v="11"/>
    <n v="3"/>
    <n v="1"/>
    <n v="80"/>
    <n v="1"/>
    <n v="12"/>
    <n v="2"/>
    <n v="3"/>
    <n v="7"/>
    <n v="7"/>
    <n v="1"/>
    <n v="7"/>
    <n v="0"/>
    <n v="1"/>
    <s v="25-34"/>
    <s v="Medium"/>
    <s v="6-10 Years"/>
  </r>
  <r>
    <n v="1253"/>
    <n v="34"/>
    <x v="1"/>
    <s v="Travel_Rarely"/>
    <n v="181"/>
    <s v="Research &amp; Development"/>
    <n v="2"/>
    <n v="4"/>
    <s v="Medical"/>
    <n v="1755"/>
    <n v="4"/>
    <s v="Male"/>
    <n v="97"/>
    <n v="4"/>
    <n v="1"/>
    <s v="Research Scientist"/>
    <n v="4"/>
    <s v="Married"/>
    <n v="2932"/>
    <n v="5586"/>
    <n v="0"/>
    <s v="Yes"/>
    <n v="14"/>
    <n v="3"/>
    <n v="1"/>
    <n v="80"/>
    <n v="3"/>
    <n v="6"/>
    <n v="3"/>
    <n v="3"/>
    <n v="5"/>
    <n v="0"/>
    <n v="1"/>
    <n v="2"/>
    <n v="0"/>
    <n v="1"/>
    <s v="25-34"/>
    <s v="Low"/>
    <s v="0-5 Years"/>
  </r>
  <r>
    <n v="1254"/>
    <n v="33"/>
    <x v="1"/>
    <s v="Non-Travel"/>
    <n v="1283"/>
    <s v="Sales"/>
    <n v="2"/>
    <n v="3"/>
    <s v="Marketing"/>
    <n v="1756"/>
    <n v="4"/>
    <s v="Female"/>
    <n v="62"/>
    <n v="3"/>
    <n v="2"/>
    <s v="Sales Executive"/>
    <n v="2"/>
    <s v="Single"/>
    <n v="5147"/>
    <n v="10697"/>
    <n v="8"/>
    <s v="No"/>
    <n v="15"/>
    <n v="3"/>
    <n v="4"/>
    <n v="80"/>
    <n v="0"/>
    <n v="13"/>
    <n v="2"/>
    <n v="2"/>
    <n v="11"/>
    <n v="7"/>
    <n v="1"/>
    <n v="7"/>
    <n v="0"/>
    <n v="1"/>
    <s v="25-34"/>
    <s v="Medium"/>
    <s v="11-20 Years"/>
  </r>
  <r>
    <n v="1255"/>
    <n v="49"/>
    <x v="1"/>
    <s v="Travel_Rarely"/>
    <n v="1313"/>
    <s v="Sales"/>
    <n v="11"/>
    <n v="4"/>
    <s v="Marketing"/>
    <n v="1757"/>
    <n v="4"/>
    <s v="Female"/>
    <n v="80"/>
    <n v="3"/>
    <n v="2"/>
    <s v="Sales Executive"/>
    <n v="4"/>
    <s v="Single"/>
    <n v="4507"/>
    <n v="8191"/>
    <n v="3"/>
    <s v="No"/>
    <n v="12"/>
    <n v="3"/>
    <n v="3"/>
    <n v="80"/>
    <n v="0"/>
    <n v="8"/>
    <n v="1"/>
    <n v="4"/>
    <n v="5"/>
    <n v="1"/>
    <n v="0"/>
    <n v="4"/>
    <n v="0"/>
    <n v="1"/>
    <s v="45-54"/>
    <s v="Low"/>
    <s v="0-5 Years"/>
  </r>
  <r>
    <n v="1256"/>
    <n v="33"/>
    <x v="0"/>
    <s v="Travel_Rarely"/>
    <n v="211"/>
    <s v="Sales"/>
    <n v="16"/>
    <n v="3"/>
    <s v="Life Sciences"/>
    <n v="1758"/>
    <n v="1"/>
    <s v="Female"/>
    <n v="74"/>
    <n v="3"/>
    <n v="3"/>
    <s v="Sales Executive"/>
    <n v="1"/>
    <s v="Single"/>
    <n v="8564"/>
    <n v="10092"/>
    <n v="2"/>
    <s v="Yes"/>
    <n v="20"/>
    <n v="4"/>
    <n v="3"/>
    <n v="80"/>
    <n v="0"/>
    <n v="11"/>
    <n v="2"/>
    <n v="2"/>
    <n v="0"/>
    <n v="0"/>
    <n v="0"/>
    <n v="0"/>
    <n v="1"/>
    <n v="0"/>
    <s v="25-34"/>
    <s v="Medium"/>
    <s v="0-5 Years"/>
  </r>
  <r>
    <n v="1257"/>
    <n v="38"/>
    <x v="1"/>
    <s v="Travel_Frequently"/>
    <n v="594"/>
    <s v="Research &amp; Development"/>
    <n v="2"/>
    <n v="2"/>
    <s v="Medical"/>
    <n v="1760"/>
    <n v="3"/>
    <s v="Female"/>
    <n v="75"/>
    <n v="2"/>
    <n v="1"/>
    <s v="Laboratory Technician"/>
    <n v="2"/>
    <s v="Married"/>
    <n v="2468"/>
    <n v="15963"/>
    <n v="4"/>
    <s v="No"/>
    <n v="14"/>
    <n v="3"/>
    <n v="2"/>
    <n v="80"/>
    <n v="1"/>
    <n v="9"/>
    <n v="4"/>
    <n v="2"/>
    <n v="6"/>
    <n v="1"/>
    <n v="0"/>
    <n v="5"/>
    <n v="0"/>
    <n v="1"/>
    <s v="35-44"/>
    <s v="Low"/>
    <s v="6-10 Years"/>
  </r>
  <r>
    <n v="1258"/>
    <n v="31"/>
    <x v="0"/>
    <s v="Travel_Rarely"/>
    <n v="1079"/>
    <s v="Sales"/>
    <n v="16"/>
    <n v="4"/>
    <s v="Marketing"/>
    <n v="1761"/>
    <n v="1"/>
    <s v="Male"/>
    <n v="70"/>
    <n v="3"/>
    <n v="3"/>
    <s v="Sales Executive"/>
    <n v="3"/>
    <s v="Married"/>
    <n v="8161"/>
    <n v="19002"/>
    <n v="2"/>
    <s v="No"/>
    <n v="13"/>
    <n v="3"/>
    <n v="1"/>
    <n v="80"/>
    <n v="3"/>
    <n v="10"/>
    <n v="2"/>
    <n v="3"/>
    <n v="1"/>
    <n v="0"/>
    <n v="0"/>
    <n v="0"/>
    <n v="1"/>
    <n v="0"/>
    <s v="25-34"/>
    <s v="Medium"/>
    <s v="0-5 Years"/>
  </r>
  <r>
    <n v="1259"/>
    <n v="29"/>
    <x v="1"/>
    <s v="Travel_Rarely"/>
    <n v="590"/>
    <s v="Research &amp; Development"/>
    <n v="4"/>
    <n v="3"/>
    <s v="Technical Degree"/>
    <n v="1762"/>
    <n v="4"/>
    <s v="Female"/>
    <n v="91"/>
    <n v="2"/>
    <n v="1"/>
    <s v="Research Scientist"/>
    <n v="1"/>
    <s v="Divorced"/>
    <n v="2109"/>
    <n v="10007"/>
    <n v="1"/>
    <s v="No"/>
    <n v="13"/>
    <n v="3"/>
    <n v="3"/>
    <n v="80"/>
    <n v="1"/>
    <n v="1"/>
    <n v="2"/>
    <n v="3"/>
    <n v="1"/>
    <n v="0"/>
    <n v="0"/>
    <n v="0"/>
    <n v="0"/>
    <n v="1"/>
    <s v="25-34"/>
    <s v="Low"/>
    <s v="0-5 Years"/>
  </r>
  <r>
    <n v="1260"/>
    <n v="30"/>
    <x v="1"/>
    <s v="Travel_Rarely"/>
    <n v="305"/>
    <s v="Research &amp; Development"/>
    <n v="16"/>
    <n v="3"/>
    <s v="Life Sciences"/>
    <n v="1763"/>
    <n v="3"/>
    <s v="Male"/>
    <n v="58"/>
    <n v="4"/>
    <n v="2"/>
    <s v="Healthcare Representative"/>
    <n v="3"/>
    <s v="Married"/>
    <n v="5294"/>
    <n v="9128"/>
    <n v="3"/>
    <s v="No"/>
    <n v="16"/>
    <n v="3"/>
    <n v="3"/>
    <n v="80"/>
    <n v="1"/>
    <n v="10"/>
    <n v="3"/>
    <n v="3"/>
    <n v="7"/>
    <n v="0"/>
    <n v="1"/>
    <n v="7"/>
    <n v="0"/>
    <n v="1"/>
    <s v="25-34"/>
    <s v="Medium"/>
    <s v="6-10 Years"/>
  </r>
  <r>
    <n v="1261"/>
    <n v="32"/>
    <x v="1"/>
    <s v="Non-Travel"/>
    <n v="953"/>
    <s v="Research &amp; Development"/>
    <n v="5"/>
    <n v="4"/>
    <s v="Technical Degree"/>
    <n v="1764"/>
    <n v="2"/>
    <s v="Male"/>
    <n v="65"/>
    <n v="3"/>
    <n v="1"/>
    <s v="Research Scientist"/>
    <n v="2"/>
    <s v="Single"/>
    <n v="2718"/>
    <n v="17674"/>
    <n v="2"/>
    <s v="No"/>
    <n v="14"/>
    <n v="3"/>
    <n v="2"/>
    <n v="80"/>
    <n v="0"/>
    <n v="12"/>
    <n v="3"/>
    <n v="3"/>
    <n v="7"/>
    <n v="7"/>
    <n v="0"/>
    <n v="7"/>
    <n v="0"/>
    <n v="1"/>
    <s v="25-34"/>
    <s v="Low"/>
    <s v="6-10 Years"/>
  </r>
  <r>
    <n v="1262"/>
    <n v="38"/>
    <x v="1"/>
    <s v="Travel_Rarely"/>
    <n v="833"/>
    <s v="Research &amp; Development"/>
    <n v="18"/>
    <n v="3"/>
    <s v="Medical"/>
    <n v="1766"/>
    <n v="2"/>
    <s v="Male"/>
    <n v="60"/>
    <n v="1"/>
    <n v="2"/>
    <s v="Healthcare Representative"/>
    <n v="4"/>
    <s v="Married"/>
    <n v="5811"/>
    <n v="24539"/>
    <n v="3"/>
    <s v="Yes"/>
    <n v="16"/>
    <n v="3"/>
    <n v="3"/>
    <n v="80"/>
    <n v="1"/>
    <n v="15"/>
    <n v="2"/>
    <n v="3"/>
    <n v="1"/>
    <n v="0"/>
    <n v="1"/>
    <n v="0"/>
    <n v="0"/>
    <n v="1"/>
    <s v="35-44"/>
    <s v="Medium"/>
    <s v="0-5 Years"/>
  </r>
  <r>
    <n v="1263"/>
    <n v="43"/>
    <x v="0"/>
    <s v="Travel_Frequently"/>
    <n v="807"/>
    <s v="Research &amp; Development"/>
    <n v="17"/>
    <n v="3"/>
    <s v="Technical Degree"/>
    <n v="1767"/>
    <n v="3"/>
    <s v="Male"/>
    <n v="38"/>
    <n v="2"/>
    <n v="1"/>
    <s v="Research Scientist"/>
    <n v="3"/>
    <s v="Married"/>
    <n v="2437"/>
    <n v="15587"/>
    <n v="9"/>
    <s v="Yes"/>
    <n v="16"/>
    <n v="3"/>
    <n v="4"/>
    <n v="80"/>
    <n v="1"/>
    <n v="6"/>
    <n v="4"/>
    <n v="3"/>
    <n v="1"/>
    <n v="0"/>
    <n v="0"/>
    <n v="0"/>
    <n v="1"/>
    <n v="0"/>
    <s v="35-44"/>
    <s v="Low"/>
    <s v="0-5 Years"/>
  </r>
  <r>
    <n v="1264"/>
    <n v="42"/>
    <x v="1"/>
    <s v="Travel_Rarely"/>
    <n v="855"/>
    <s v="Research &amp; Development"/>
    <n v="12"/>
    <n v="3"/>
    <s v="Medical"/>
    <n v="1768"/>
    <n v="2"/>
    <s v="Male"/>
    <n v="57"/>
    <n v="3"/>
    <n v="1"/>
    <s v="Laboratory Technician"/>
    <n v="2"/>
    <s v="Divorced"/>
    <n v="2766"/>
    <n v="8952"/>
    <n v="8"/>
    <s v="No"/>
    <n v="22"/>
    <n v="4"/>
    <n v="2"/>
    <n v="80"/>
    <n v="3"/>
    <n v="7"/>
    <n v="6"/>
    <n v="2"/>
    <n v="5"/>
    <n v="3"/>
    <n v="0"/>
    <n v="4"/>
    <n v="0"/>
    <n v="1"/>
    <s v="35-44"/>
    <s v="Low"/>
    <s v="0-5 Years"/>
  </r>
  <r>
    <n v="1265"/>
    <n v="55"/>
    <x v="1"/>
    <s v="Travel_Rarely"/>
    <n v="478"/>
    <s v="Research &amp; Development"/>
    <n v="2"/>
    <n v="3"/>
    <s v="Medical"/>
    <n v="1770"/>
    <n v="3"/>
    <s v="Male"/>
    <n v="60"/>
    <n v="2"/>
    <n v="5"/>
    <s v="Research Director"/>
    <n v="1"/>
    <s v="Married"/>
    <n v="19038"/>
    <n v="19805"/>
    <n v="8"/>
    <s v="No"/>
    <n v="12"/>
    <n v="3"/>
    <n v="2"/>
    <n v="80"/>
    <n v="3"/>
    <n v="34"/>
    <n v="2"/>
    <n v="3"/>
    <n v="1"/>
    <n v="0"/>
    <n v="0"/>
    <n v="0"/>
    <n v="0"/>
    <n v="1"/>
    <s v="55+"/>
    <s v="High"/>
    <s v="0-5 Years"/>
  </r>
  <r>
    <n v="1266"/>
    <n v="33"/>
    <x v="1"/>
    <s v="Non-Travel"/>
    <n v="775"/>
    <s v="Research &amp; Development"/>
    <n v="4"/>
    <n v="3"/>
    <s v="Technical Degree"/>
    <n v="1771"/>
    <n v="4"/>
    <s v="Male"/>
    <n v="90"/>
    <n v="3"/>
    <n v="2"/>
    <s v="Research Scientist"/>
    <n v="2"/>
    <s v="Divorced"/>
    <n v="3055"/>
    <n v="6194"/>
    <n v="5"/>
    <s v="No"/>
    <n v="15"/>
    <n v="3"/>
    <n v="4"/>
    <n v="80"/>
    <n v="2"/>
    <n v="11"/>
    <n v="2"/>
    <n v="2"/>
    <n v="9"/>
    <n v="8"/>
    <n v="1"/>
    <n v="7"/>
    <n v="0"/>
    <n v="1"/>
    <s v="25-34"/>
    <s v="Low"/>
    <s v="6-10 Years"/>
  </r>
  <r>
    <n v="1267"/>
    <n v="41"/>
    <x v="1"/>
    <s v="Travel_Rarely"/>
    <n v="548"/>
    <s v="Research &amp; Development"/>
    <n v="9"/>
    <n v="4"/>
    <s v="Life Sciences"/>
    <n v="1772"/>
    <n v="3"/>
    <s v="Male"/>
    <n v="94"/>
    <n v="3"/>
    <n v="1"/>
    <s v="Laboratory Technician"/>
    <n v="1"/>
    <s v="Divorced"/>
    <n v="2289"/>
    <n v="20520"/>
    <n v="1"/>
    <s v="No"/>
    <n v="20"/>
    <n v="4"/>
    <n v="2"/>
    <n v="80"/>
    <n v="2"/>
    <n v="5"/>
    <n v="2"/>
    <n v="3"/>
    <n v="5"/>
    <n v="3"/>
    <n v="0"/>
    <n v="4"/>
    <n v="0"/>
    <n v="1"/>
    <s v="35-44"/>
    <s v="Low"/>
    <s v="0-5 Years"/>
  </r>
  <r>
    <n v="1268"/>
    <n v="34"/>
    <x v="1"/>
    <s v="Non-Travel"/>
    <n v="1375"/>
    <s v="Sales"/>
    <n v="10"/>
    <n v="3"/>
    <s v="Life Sciences"/>
    <n v="1774"/>
    <n v="4"/>
    <s v="Male"/>
    <n v="87"/>
    <n v="3"/>
    <n v="2"/>
    <s v="Sales Executive"/>
    <n v="3"/>
    <s v="Divorced"/>
    <n v="4001"/>
    <n v="12313"/>
    <n v="1"/>
    <s v="Yes"/>
    <n v="14"/>
    <n v="3"/>
    <n v="3"/>
    <n v="80"/>
    <n v="1"/>
    <n v="15"/>
    <n v="3"/>
    <n v="3"/>
    <n v="15"/>
    <n v="14"/>
    <n v="0"/>
    <n v="7"/>
    <n v="0"/>
    <n v="1"/>
    <s v="25-34"/>
    <s v="Low"/>
    <s v="11-20 Years"/>
  </r>
  <r>
    <n v="1269"/>
    <n v="53"/>
    <x v="1"/>
    <s v="Non-Travel"/>
    <n v="661"/>
    <s v="Research &amp; Development"/>
    <n v="1"/>
    <n v="4"/>
    <s v="Medical"/>
    <n v="1775"/>
    <n v="1"/>
    <s v="Female"/>
    <n v="60"/>
    <n v="2"/>
    <n v="4"/>
    <s v="Manufacturing Director"/>
    <n v="3"/>
    <s v="Married"/>
    <n v="12965"/>
    <n v="22308"/>
    <n v="4"/>
    <s v="Yes"/>
    <n v="20"/>
    <n v="4"/>
    <n v="4"/>
    <n v="80"/>
    <n v="3"/>
    <n v="27"/>
    <n v="2"/>
    <n v="2"/>
    <n v="3"/>
    <n v="2"/>
    <n v="0"/>
    <n v="2"/>
    <n v="0"/>
    <n v="1"/>
    <s v="45-54"/>
    <s v="Upper Medium"/>
    <s v="0-5 Years"/>
  </r>
  <r>
    <n v="1270"/>
    <n v="43"/>
    <x v="1"/>
    <s v="Travel_Rarely"/>
    <n v="244"/>
    <s v="Human Resources"/>
    <n v="2"/>
    <n v="3"/>
    <s v="Life Sciences"/>
    <n v="1778"/>
    <n v="2"/>
    <s v="Male"/>
    <n v="97"/>
    <n v="3"/>
    <n v="1"/>
    <s v="Human Resources"/>
    <n v="4"/>
    <s v="Single"/>
    <n v="3539"/>
    <n v="5033"/>
    <n v="0"/>
    <s v="No"/>
    <n v="13"/>
    <n v="3"/>
    <n v="2"/>
    <n v="80"/>
    <n v="0"/>
    <n v="10"/>
    <n v="5"/>
    <n v="3"/>
    <n v="9"/>
    <n v="7"/>
    <n v="1"/>
    <n v="8"/>
    <n v="0"/>
    <n v="1"/>
    <s v="35-44"/>
    <s v="Low"/>
    <s v="6-10 Years"/>
  </r>
  <r>
    <n v="1271"/>
    <n v="34"/>
    <x v="1"/>
    <s v="Travel_Rarely"/>
    <n v="511"/>
    <s v="Sales"/>
    <n v="3"/>
    <n v="2"/>
    <s v="Life Sciences"/>
    <n v="1779"/>
    <n v="4"/>
    <s v="Female"/>
    <n v="32"/>
    <n v="1"/>
    <n v="2"/>
    <s v="Sales Executive"/>
    <n v="4"/>
    <s v="Single"/>
    <n v="6029"/>
    <n v="25353"/>
    <n v="5"/>
    <s v="No"/>
    <n v="12"/>
    <n v="3"/>
    <n v="1"/>
    <n v="80"/>
    <n v="0"/>
    <n v="6"/>
    <n v="3"/>
    <n v="3"/>
    <n v="2"/>
    <n v="2"/>
    <n v="2"/>
    <n v="2"/>
    <n v="0"/>
    <n v="1"/>
    <s v="25-34"/>
    <s v="Medium"/>
    <s v="0-5 Years"/>
  </r>
  <r>
    <n v="1272"/>
    <n v="21"/>
    <x v="0"/>
    <s v="Travel_Rarely"/>
    <n v="337"/>
    <s v="Sales"/>
    <n v="7"/>
    <n v="1"/>
    <s v="Marketing"/>
    <n v="1780"/>
    <n v="2"/>
    <s v="Male"/>
    <n v="31"/>
    <n v="3"/>
    <n v="1"/>
    <s v="Sales Representative"/>
    <n v="2"/>
    <s v="Single"/>
    <n v="2679"/>
    <n v="4567"/>
    <n v="1"/>
    <s v="No"/>
    <n v="13"/>
    <n v="3"/>
    <n v="2"/>
    <n v="80"/>
    <n v="0"/>
    <n v="1"/>
    <n v="3"/>
    <n v="3"/>
    <n v="1"/>
    <n v="0"/>
    <n v="1"/>
    <n v="0"/>
    <n v="1"/>
    <n v="0"/>
    <s v="Under 25"/>
    <s v="Low"/>
    <s v="0-5 Years"/>
  </r>
  <r>
    <n v="1273"/>
    <n v="38"/>
    <x v="1"/>
    <s v="Travel_Rarely"/>
    <n v="1153"/>
    <s v="Research &amp; Development"/>
    <n v="6"/>
    <n v="2"/>
    <s v="Other"/>
    <n v="1782"/>
    <n v="4"/>
    <s v="Female"/>
    <n v="40"/>
    <n v="2"/>
    <n v="1"/>
    <s v="Laboratory Technician"/>
    <n v="3"/>
    <s v="Married"/>
    <n v="3702"/>
    <n v="16376"/>
    <n v="1"/>
    <s v="No"/>
    <n v="11"/>
    <n v="3"/>
    <n v="2"/>
    <n v="80"/>
    <n v="1"/>
    <n v="5"/>
    <n v="3"/>
    <n v="3"/>
    <n v="5"/>
    <n v="4"/>
    <n v="0"/>
    <n v="4"/>
    <n v="0"/>
    <n v="1"/>
    <s v="35-44"/>
    <s v="Low"/>
    <s v="0-5 Years"/>
  </r>
  <r>
    <n v="1274"/>
    <n v="22"/>
    <x v="0"/>
    <s v="Travel_Rarely"/>
    <n v="1294"/>
    <s v="Research &amp; Development"/>
    <n v="8"/>
    <n v="1"/>
    <s v="Medical"/>
    <n v="1783"/>
    <n v="3"/>
    <s v="Female"/>
    <n v="79"/>
    <n v="3"/>
    <n v="1"/>
    <s v="Laboratory Technician"/>
    <n v="1"/>
    <s v="Married"/>
    <n v="2398"/>
    <n v="15999"/>
    <n v="1"/>
    <s v="Yes"/>
    <n v="17"/>
    <n v="3"/>
    <n v="3"/>
    <n v="80"/>
    <n v="0"/>
    <n v="1"/>
    <n v="6"/>
    <n v="3"/>
    <n v="1"/>
    <n v="0"/>
    <n v="0"/>
    <n v="0"/>
    <n v="1"/>
    <n v="0"/>
    <s v="Under 25"/>
    <s v="Low"/>
    <s v="0-5 Years"/>
  </r>
  <r>
    <n v="1275"/>
    <n v="31"/>
    <x v="1"/>
    <s v="Travel_Rarely"/>
    <n v="196"/>
    <s v="Sales"/>
    <n v="29"/>
    <n v="4"/>
    <s v="Marketing"/>
    <n v="1784"/>
    <n v="1"/>
    <s v="Female"/>
    <n v="91"/>
    <n v="2"/>
    <n v="2"/>
    <s v="Sales Executive"/>
    <n v="4"/>
    <s v="Married"/>
    <n v="5468"/>
    <n v="13402"/>
    <n v="1"/>
    <s v="No"/>
    <n v="14"/>
    <n v="3"/>
    <n v="1"/>
    <n v="80"/>
    <n v="2"/>
    <n v="13"/>
    <n v="3"/>
    <n v="3"/>
    <n v="12"/>
    <n v="7"/>
    <n v="5"/>
    <n v="7"/>
    <n v="0"/>
    <n v="1"/>
    <s v="25-34"/>
    <s v="Medium"/>
    <s v="11-20 Years"/>
  </r>
  <r>
    <n v="1276"/>
    <n v="51"/>
    <x v="1"/>
    <s v="Travel_Rarely"/>
    <n v="942"/>
    <s v="Research &amp; Development"/>
    <n v="3"/>
    <n v="3"/>
    <s v="Technical Degree"/>
    <n v="1786"/>
    <n v="1"/>
    <s v="Female"/>
    <n v="53"/>
    <n v="3"/>
    <n v="3"/>
    <s v="Manager"/>
    <n v="3"/>
    <s v="Married"/>
    <n v="13116"/>
    <n v="22984"/>
    <n v="2"/>
    <s v="No"/>
    <n v="11"/>
    <n v="3"/>
    <n v="4"/>
    <n v="80"/>
    <n v="0"/>
    <n v="15"/>
    <n v="2"/>
    <n v="3"/>
    <n v="2"/>
    <n v="2"/>
    <n v="2"/>
    <n v="2"/>
    <n v="0"/>
    <n v="1"/>
    <s v="45-54"/>
    <s v="Upper Medium"/>
    <s v="0-5 Years"/>
  </r>
  <r>
    <n v="1277"/>
    <n v="37"/>
    <x v="1"/>
    <s v="Travel_Rarely"/>
    <n v="589"/>
    <s v="Sales"/>
    <n v="9"/>
    <n v="2"/>
    <s v="Marketing"/>
    <n v="1787"/>
    <n v="2"/>
    <s v="Male"/>
    <n v="46"/>
    <n v="2"/>
    <n v="2"/>
    <s v="Sales Executive"/>
    <n v="2"/>
    <s v="Married"/>
    <n v="4189"/>
    <n v="8800"/>
    <n v="1"/>
    <s v="No"/>
    <n v="14"/>
    <n v="3"/>
    <n v="1"/>
    <n v="80"/>
    <n v="2"/>
    <n v="5"/>
    <n v="2"/>
    <n v="3"/>
    <n v="5"/>
    <n v="2"/>
    <n v="0"/>
    <n v="3"/>
    <n v="0"/>
    <n v="1"/>
    <s v="35-44"/>
    <s v="Low"/>
    <s v="0-5 Years"/>
  </r>
  <r>
    <n v="1278"/>
    <n v="46"/>
    <x v="1"/>
    <s v="Travel_Rarely"/>
    <n v="734"/>
    <s v="Research &amp; Development"/>
    <n v="2"/>
    <n v="4"/>
    <s v="Medical"/>
    <n v="1789"/>
    <n v="3"/>
    <s v="Male"/>
    <n v="46"/>
    <n v="3"/>
    <n v="5"/>
    <s v="Research Director"/>
    <n v="4"/>
    <s v="Divorced"/>
    <n v="19328"/>
    <n v="14218"/>
    <n v="7"/>
    <s v="Yes"/>
    <n v="17"/>
    <n v="3"/>
    <n v="3"/>
    <n v="80"/>
    <n v="1"/>
    <n v="24"/>
    <n v="3"/>
    <n v="3"/>
    <n v="2"/>
    <n v="1"/>
    <n v="2"/>
    <n v="2"/>
    <n v="0"/>
    <n v="1"/>
    <s v="45-54"/>
    <s v="High"/>
    <s v="0-5 Years"/>
  </r>
  <r>
    <n v="1279"/>
    <n v="36"/>
    <x v="1"/>
    <s v="Travel_Rarely"/>
    <n v="1383"/>
    <s v="Research &amp; Development"/>
    <n v="10"/>
    <n v="3"/>
    <s v="Life Sciences"/>
    <n v="1790"/>
    <n v="4"/>
    <s v="Male"/>
    <n v="90"/>
    <n v="3"/>
    <n v="3"/>
    <s v="Healthcare Representative"/>
    <n v="1"/>
    <s v="Married"/>
    <n v="8321"/>
    <n v="25949"/>
    <n v="7"/>
    <s v="Yes"/>
    <n v="13"/>
    <n v="3"/>
    <n v="4"/>
    <n v="80"/>
    <n v="1"/>
    <n v="15"/>
    <n v="1"/>
    <n v="3"/>
    <n v="12"/>
    <n v="8"/>
    <n v="5"/>
    <n v="7"/>
    <n v="0"/>
    <n v="1"/>
    <s v="35-44"/>
    <s v="Medium"/>
    <s v="11-20 Years"/>
  </r>
  <r>
    <n v="1280"/>
    <n v="44"/>
    <x v="0"/>
    <s v="Travel_Frequently"/>
    <n v="429"/>
    <s v="Research &amp; Development"/>
    <n v="1"/>
    <n v="2"/>
    <s v="Medical"/>
    <n v="1792"/>
    <n v="3"/>
    <s v="Male"/>
    <n v="99"/>
    <n v="3"/>
    <n v="1"/>
    <s v="Research Scientist"/>
    <n v="2"/>
    <s v="Divorced"/>
    <n v="2342"/>
    <n v="11092"/>
    <n v="1"/>
    <s v="Yes"/>
    <n v="12"/>
    <n v="3"/>
    <n v="3"/>
    <n v="80"/>
    <n v="3"/>
    <n v="6"/>
    <n v="2"/>
    <n v="2"/>
    <n v="5"/>
    <n v="3"/>
    <n v="2"/>
    <n v="3"/>
    <n v="1"/>
    <n v="0"/>
    <s v="35-44"/>
    <s v="Low"/>
    <s v="0-5 Years"/>
  </r>
  <r>
    <n v="1281"/>
    <n v="37"/>
    <x v="1"/>
    <s v="Travel_Rarely"/>
    <n v="1239"/>
    <s v="Human Resources"/>
    <n v="8"/>
    <n v="2"/>
    <s v="Other"/>
    <n v="1794"/>
    <n v="3"/>
    <s v="Male"/>
    <n v="89"/>
    <n v="3"/>
    <n v="2"/>
    <s v="Human Resources"/>
    <n v="2"/>
    <s v="Divorced"/>
    <n v="4071"/>
    <n v="12832"/>
    <n v="2"/>
    <s v="No"/>
    <n v="13"/>
    <n v="3"/>
    <n v="3"/>
    <n v="80"/>
    <n v="0"/>
    <n v="19"/>
    <n v="4"/>
    <n v="2"/>
    <n v="10"/>
    <n v="0"/>
    <n v="4"/>
    <n v="7"/>
    <n v="0"/>
    <n v="1"/>
    <s v="35-44"/>
    <s v="Low"/>
    <s v="6-10 Years"/>
  </r>
  <r>
    <n v="1282"/>
    <n v="35"/>
    <x v="0"/>
    <s v="Travel_Rarely"/>
    <n v="303"/>
    <s v="Sales"/>
    <n v="27"/>
    <n v="3"/>
    <s v="Life Sciences"/>
    <n v="1797"/>
    <n v="3"/>
    <s v="Male"/>
    <n v="84"/>
    <n v="3"/>
    <n v="2"/>
    <s v="Sales Executive"/>
    <n v="4"/>
    <s v="Single"/>
    <n v="5813"/>
    <n v="13492"/>
    <n v="1"/>
    <s v="Yes"/>
    <n v="18"/>
    <n v="3"/>
    <n v="4"/>
    <n v="80"/>
    <n v="0"/>
    <n v="10"/>
    <n v="2"/>
    <n v="3"/>
    <n v="10"/>
    <n v="7"/>
    <n v="7"/>
    <n v="7"/>
    <n v="1"/>
    <n v="0"/>
    <s v="35-44"/>
    <s v="Medium"/>
    <s v="6-10 Years"/>
  </r>
  <r>
    <n v="1283"/>
    <n v="33"/>
    <x v="1"/>
    <s v="Travel_Rarely"/>
    <n v="867"/>
    <s v="Research &amp; Development"/>
    <n v="8"/>
    <n v="4"/>
    <s v="Life Sciences"/>
    <n v="1798"/>
    <n v="4"/>
    <s v="Male"/>
    <n v="90"/>
    <n v="4"/>
    <n v="1"/>
    <s v="Research Scientist"/>
    <n v="1"/>
    <s v="Married"/>
    <n v="3143"/>
    <n v="6076"/>
    <n v="6"/>
    <s v="No"/>
    <n v="19"/>
    <n v="3"/>
    <n v="2"/>
    <n v="80"/>
    <n v="1"/>
    <n v="14"/>
    <n v="1"/>
    <n v="3"/>
    <n v="10"/>
    <n v="8"/>
    <n v="7"/>
    <n v="6"/>
    <n v="0"/>
    <n v="1"/>
    <s v="25-34"/>
    <s v="Low"/>
    <s v="6-10 Years"/>
  </r>
  <r>
    <n v="1284"/>
    <n v="28"/>
    <x v="1"/>
    <s v="Travel_Rarely"/>
    <n v="1181"/>
    <s v="Research &amp; Development"/>
    <n v="1"/>
    <n v="3"/>
    <s v="Life Sciences"/>
    <n v="1799"/>
    <n v="3"/>
    <s v="Male"/>
    <n v="82"/>
    <n v="3"/>
    <n v="1"/>
    <s v="Research Scientist"/>
    <n v="4"/>
    <s v="Married"/>
    <n v="2044"/>
    <n v="5531"/>
    <n v="1"/>
    <s v="No"/>
    <n v="11"/>
    <n v="3"/>
    <n v="3"/>
    <n v="80"/>
    <n v="1"/>
    <n v="5"/>
    <n v="6"/>
    <n v="4"/>
    <n v="5"/>
    <n v="3"/>
    <n v="0"/>
    <n v="3"/>
    <n v="0"/>
    <n v="1"/>
    <s v="25-34"/>
    <s v="Low"/>
    <s v="0-5 Years"/>
  </r>
  <r>
    <n v="1285"/>
    <n v="39"/>
    <x v="1"/>
    <s v="Travel_Rarely"/>
    <n v="1253"/>
    <s v="Research &amp; Development"/>
    <n v="10"/>
    <n v="1"/>
    <s v="Medical"/>
    <n v="1800"/>
    <n v="3"/>
    <s v="Male"/>
    <n v="65"/>
    <n v="3"/>
    <n v="3"/>
    <s v="Research Director"/>
    <n v="3"/>
    <s v="Single"/>
    <n v="13464"/>
    <n v="7914"/>
    <n v="7"/>
    <s v="No"/>
    <n v="21"/>
    <n v="4"/>
    <n v="3"/>
    <n v="80"/>
    <n v="0"/>
    <n v="9"/>
    <n v="3"/>
    <n v="3"/>
    <n v="4"/>
    <n v="3"/>
    <n v="2"/>
    <n v="2"/>
    <n v="0"/>
    <n v="1"/>
    <s v="35-44"/>
    <s v="Upper Medium"/>
    <s v="0-5 Years"/>
  </r>
  <r>
    <n v="1286"/>
    <n v="46"/>
    <x v="1"/>
    <s v="Non-Travel"/>
    <n v="849"/>
    <s v="Sales"/>
    <n v="26"/>
    <n v="2"/>
    <s v="Life Sciences"/>
    <n v="1801"/>
    <n v="2"/>
    <s v="Male"/>
    <n v="98"/>
    <n v="2"/>
    <n v="2"/>
    <s v="Sales Executive"/>
    <n v="2"/>
    <s v="Single"/>
    <n v="7991"/>
    <n v="25166"/>
    <n v="8"/>
    <s v="No"/>
    <n v="15"/>
    <n v="3"/>
    <n v="3"/>
    <n v="80"/>
    <n v="0"/>
    <n v="6"/>
    <n v="3"/>
    <n v="3"/>
    <n v="2"/>
    <n v="2"/>
    <n v="2"/>
    <n v="2"/>
    <n v="0"/>
    <n v="1"/>
    <s v="45-54"/>
    <s v="Medium"/>
    <s v="0-5 Years"/>
  </r>
  <r>
    <n v="1287"/>
    <n v="40"/>
    <x v="1"/>
    <s v="Travel_Rarely"/>
    <n v="616"/>
    <s v="Research &amp; Development"/>
    <n v="2"/>
    <n v="2"/>
    <s v="Life Sciences"/>
    <n v="1802"/>
    <n v="3"/>
    <s v="Female"/>
    <n v="99"/>
    <n v="3"/>
    <n v="1"/>
    <s v="Laboratory Technician"/>
    <n v="1"/>
    <s v="Married"/>
    <n v="3377"/>
    <n v="25605"/>
    <n v="4"/>
    <s v="No"/>
    <n v="17"/>
    <n v="3"/>
    <n v="4"/>
    <n v="80"/>
    <n v="1"/>
    <n v="7"/>
    <n v="5"/>
    <n v="2"/>
    <n v="4"/>
    <n v="3"/>
    <n v="0"/>
    <n v="2"/>
    <n v="0"/>
    <n v="1"/>
    <s v="35-44"/>
    <s v="Low"/>
    <s v="0-5 Years"/>
  </r>
  <r>
    <n v="1288"/>
    <n v="42"/>
    <x v="1"/>
    <s v="Travel_Rarely"/>
    <n v="1128"/>
    <s v="Research &amp; Development"/>
    <n v="13"/>
    <n v="3"/>
    <s v="Medical"/>
    <n v="1803"/>
    <n v="2"/>
    <s v="Male"/>
    <n v="95"/>
    <n v="4"/>
    <n v="2"/>
    <s v="Healthcare Representative"/>
    <n v="1"/>
    <s v="Married"/>
    <n v="5538"/>
    <n v="5696"/>
    <n v="5"/>
    <s v="No"/>
    <n v="18"/>
    <n v="3"/>
    <n v="3"/>
    <n v="80"/>
    <n v="2"/>
    <n v="10"/>
    <n v="2"/>
    <n v="2"/>
    <n v="0"/>
    <n v="0"/>
    <n v="0"/>
    <n v="0"/>
    <n v="0"/>
    <n v="1"/>
    <s v="35-44"/>
    <s v="Medium"/>
    <s v="0-5 Years"/>
  </r>
  <r>
    <n v="1289"/>
    <n v="35"/>
    <x v="1"/>
    <s v="Non-Travel"/>
    <n v="1180"/>
    <s v="Research &amp; Development"/>
    <n v="2"/>
    <n v="2"/>
    <s v="Medical"/>
    <n v="1804"/>
    <n v="2"/>
    <s v="Male"/>
    <n v="90"/>
    <n v="3"/>
    <n v="2"/>
    <s v="Manufacturing Director"/>
    <n v="4"/>
    <s v="Divorced"/>
    <n v="5762"/>
    <n v="24442"/>
    <n v="2"/>
    <s v="No"/>
    <n v="14"/>
    <n v="3"/>
    <n v="3"/>
    <n v="80"/>
    <n v="1"/>
    <n v="15"/>
    <n v="6"/>
    <n v="3"/>
    <n v="7"/>
    <n v="7"/>
    <n v="1"/>
    <n v="7"/>
    <n v="0"/>
    <n v="1"/>
    <s v="35-44"/>
    <s v="Medium"/>
    <s v="6-10 Years"/>
  </r>
  <r>
    <n v="1290"/>
    <n v="38"/>
    <x v="1"/>
    <s v="Non-Travel"/>
    <n v="1336"/>
    <s v="Human Resources"/>
    <n v="2"/>
    <n v="3"/>
    <s v="Human Resources"/>
    <n v="1805"/>
    <n v="1"/>
    <s v="Male"/>
    <n v="100"/>
    <n v="3"/>
    <n v="1"/>
    <s v="Human Resources"/>
    <n v="2"/>
    <s v="Divorced"/>
    <n v="2592"/>
    <n v="7129"/>
    <n v="5"/>
    <s v="No"/>
    <n v="13"/>
    <n v="3"/>
    <n v="4"/>
    <n v="80"/>
    <n v="3"/>
    <n v="13"/>
    <n v="3"/>
    <n v="3"/>
    <n v="11"/>
    <n v="10"/>
    <n v="3"/>
    <n v="8"/>
    <n v="0"/>
    <n v="1"/>
    <s v="35-44"/>
    <s v="Low"/>
    <s v="11-20 Years"/>
  </r>
  <r>
    <n v="1291"/>
    <n v="34"/>
    <x v="0"/>
    <s v="Travel_Frequently"/>
    <n v="234"/>
    <s v="Research &amp; Development"/>
    <n v="9"/>
    <n v="4"/>
    <s v="Life Sciences"/>
    <n v="1807"/>
    <n v="4"/>
    <s v="Male"/>
    <n v="93"/>
    <n v="3"/>
    <n v="2"/>
    <s v="Laboratory Technician"/>
    <n v="1"/>
    <s v="Married"/>
    <n v="5346"/>
    <n v="6208"/>
    <n v="4"/>
    <s v="No"/>
    <n v="17"/>
    <n v="3"/>
    <n v="3"/>
    <n v="80"/>
    <n v="1"/>
    <n v="11"/>
    <n v="3"/>
    <n v="2"/>
    <n v="7"/>
    <n v="1"/>
    <n v="0"/>
    <n v="7"/>
    <n v="1"/>
    <n v="0"/>
    <s v="25-34"/>
    <s v="Medium"/>
    <s v="6-10 Years"/>
  </r>
  <r>
    <n v="1292"/>
    <n v="37"/>
    <x v="0"/>
    <s v="Travel_Rarely"/>
    <n v="370"/>
    <s v="Research &amp; Development"/>
    <n v="10"/>
    <n v="4"/>
    <s v="Medical"/>
    <n v="1809"/>
    <n v="4"/>
    <s v="Male"/>
    <n v="58"/>
    <n v="3"/>
    <n v="2"/>
    <s v="Manufacturing Director"/>
    <n v="1"/>
    <s v="Single"/>
    <n v="4213"/>
    <n v="4992"/>
    <n v="1"/>
    <s v="No"/>
    <n v="15"/>
    <n v="3"/>
    <n v="2"/>
    <n v="80"/>
    <n v="0"/>
    <n v="10"/>
    <n v="4"/>
    <n v="1"/>
    <n v="10"/>
    <n v="3"/>
    <n v="0"/>
    <n v="8"/>
    <n v="1"/>
    <n v="0"/>
    <s v="35-44"/>
    <s v="Low"/>
    <s v="6-10 Years"/>
  </r>
  <r>
    <n v="1293"/>
    <n v="39"/>
    <x v="1"/>
    <s v="Travel_Frequently"/>
    <n v="766"/>
    <s v="Sales"/>
    <n v="20"/>
    <n v="3"/>
    <s v="Life Sciences"/>
    <n v="1812"/>
    <n v="3"/>
    <s v="Male"/>
    <n v="83"/>
    <n v="3"/>
    <n v="2"/>
    <s v="Sales Executive"/>
    <n v="4"/>
    <s v="Divorced"/>
    <n v="4127"/>
    <n v="19188"/>
    <n v="2"/>
    <s v="No"/>
    <n v="18"/>
    <n v="3"/>
    <n v="4"/>
    <n v="80"/>
    <n v="1"/>
    <n v="7"/>
    <n v="6"/>
    <n v="3"/>
    <n v="2"/>
    <n v="1"/>
    <n v="2"/>
    <n v="2"/>
    <n v="0"/>
    <n v="1"/>
    <s v="35-44"/>
    <s v="Low"/>
    <s v="0-5 Years"/>
  </r>
  <r>
    <n v="1294"/>
    <n v="43"/>
    <x v="1"/>
    <s v="Non-Travel"/>
    <n v="343"/>
    <s v="Research &amp; Development"/>
    <n v="9"/>
    <n v="3"/>
    <s v="Life Sciences"/>
    <n v="1813"/>
    <n v="1"/>
    <s v="Male"/>
    <n v="52"/>
    <n v="3"/>
    <n v="1"/>
    <s v="Research Scientist"/>
    <n v="3"/>
    <s v="Single"/>
    <n v="2438"/>
    <n v="24978"/>
    <n v="4"/>
    <s v="No"/>
    <n v="13"/>
    <n v="3"/>
    <n v="3"/>
    <n v="80"/>
    <n v="0"/>
    <n v="7"/>
    <n v="2"/>
    <n v="2"/>
    <n v="3"/>
    <n v="2"/>
    <n v="1"/>
    <n v="2"/>
    <n v="0"/>
    <n v="1"/>
    <s v="35-44"/>
    <s v="Low"/>
    <s v="0-5 Years"/>
  </r>
  <r>
    <n v="1295"/>
    <n v="41"/>
    <x v="1"/>
    <s v="Travel_Rarely"/>
    <n v="447"/>
    <s v="Research &amp; Development"/>
    <n v="5"/>
    <n v="3"/>
    <s v="Life Sciences"/>
    <n v="1814"/>
    <n v="2"/>
    <s v="Male"/>
    <n v="85"/>
    <n v="4"/>
    <n v="2"/>
    <s v="Healthcare Representative"/>
    <n v="2"/>
    <s v="Single"/>
    <n v="6870"/>
    <n v="15530"/>
    <n v="3"/>
    <s v="No"/>
    <n v="12"/>
    <n v="3"/>
    <n v="1"/>
    <n v="80"/>
    <n v="0"/>
    <n v="11"/>
    <n v="3"/>
    <n v="1"/>
    <n v="3"/>
    <n v="2"/>
    <n v="1"/>
    <n v="2"/>
    <n v="0"/>
    <n v="1"/>
    <s v="35-44"/>
    <s v="Medium"/>
    <s v="0-5 Years"/>
  </r>
  <r>
    <n v="1296"/>
    <n v="41"/>
    <x v="1"/>
    <s v="Travel_Rarely"/>
    <n v="796"/>
    <s v="Sales"/>
    <n v="4"/>
    <n v="1"/>
    <s v="Marketing"/>
    <n v="1815"/>
    <n v="3"/>
    <s v="Female"/>
    <n v="81"/>
    <n v="3"/>
    <n v="3"/>
    <s v="Sales Executive"/>
    <n v="3"/>
    <s v="Divorced"/>
    <n v="10447"/>
    <n v="26458"/>
    <n v="0"/>
    <s v="Yes"/>
    <n v="13"/>
    <n v="3"/>
    <n v="4"/>
    <n v="80"/>
    <n v="1"/>
    <n v="23"/>
    <n v="3"/>
    <n v="4"/>
    <n v="22"/>
    <n v="14"/>
    <n v="13"/>
    <n v="5"/>
    <n v="0"/>
    <n v="1"/>
    <s v="35-44"/>
    <s v="Upper Medium"/>
    <s v="21+ Years"/>
  </r>
  <r>
    <n v="1297"/>
    <n v="30"/>
    <x v="1"/>
    <s v="Travel_Rarely"/>
    <n v="1092"/>
    <s v="Research &amp; Development"/>
    <n v="10"/>
    <n v="3"/>
    <s v="Medical"/>
    <n v="1816"/>
    <n v="1"/>
    <s v="Female"/>
    <n v="64"/>
    <n v="3"/>
    <n v="3"/>
    <s v="Manufacturing Director"/>
    <n v="3"/>
    <s v="Single"/>
    <n v="9667"/>
    <n v="2739"/>
    <n v="9"/>
    <s v="No"/>
    <n v="14"/>
    <n v="3"/>
    <n v="2"/>
    <n v="80"/>
    <n v="0"/>
    <n v="9"/>
    <n v="3"/>
    <n v="3"/>
    <n v="7"/>
    <n v="7"/>
    <n v="0"/>
    <n v="2"/>
    <n v="0"/>
    <n v="1"/>
    <s v="25-34"/>
    <s v="Medium"/>
    <s v="6-10 Years"/>
  </r>
  <r>
    <n v="1298"/>
    <n v="26"/>
    <x v="0"/>
    <s v="Travel_Rarely"/>
    <n v="920"/>
    <s v="Human Resources"/>
    <n v="20"/>
    <n v="2"/>
    <s v="Medical"/>
    <n v="1818"/>
    <n v="4"/>
    <s v="Female"/>
    <n v="69"/>
    <n v="3"/>
    <n v="1"/>
    <s v="Human Resources"/>
    <n v="2"/>
    <s v="Married"/>
    <n v="2148"/>
    <n v="6889"/>
    <n v="0"/>
    <s v="Yes"/>
    <n v="11"/>
    <n v="3"/>
    <n v="3"/>
    <n v="80"/>
    <n v="0"/>
    <n v="6"/>
    <n v="3"/>
    <n v="3"/>
    <n v="5"/>
    <n v="1"/>
    <n v="1"/>
    <n v="4"/>
    <n v="1"/>
    <n v="0"/>
    <s v="25-34"/>
    <s v="Low"/>
    <s v="0-5 Years"/>
  </r>
  <r>
    <n v="1299"/>
    <n v="46"/>
    <x v="0"/>
    <s v="Travel_Rarely"/>
    <n v="261"/>
    <s v="Research &amp; Development"/>
    <n v="21"/>
    <n v="2"/>
    <s v="Medical"/>
    <n v="1821"/>
    <n v="4"/>
    <s v="Female"/>
    <n v="66"/>
    <n v="3"/>
    <n v="2"/>
    <s v="Healthcare Representative"/>
    <n v="2"/>
    <s v="Married"/>
    <n v="8926"/>
    <n v="10842"/>
    <n v="4"/>
    <s v="No"/>
    <n v="22"/>
    <n v="4"/>
    <n v="4"/>
    <n v="80"/>
    <n v="1"/>
    <n v="13"/>
    <n v="2"/>
    <n v="4"/>
    <n v="9"/>
    <n v="7"/>
    <n v="3"/>
    <n v="7"/>
    <n v="1"/>
    <n v="0"/>
    <s v="45-54"/>
    <s v="Medium"/>
    <s v="6-10 Years"/>
  </r>
  <r>
    <n v="1300"/>
    <n v="40"/>
    <x v="1"/>
    <s v="Travel_Rarely"/>
    <n v="1194"/>
    <s v="Research &amp; Development"/>
    <n v="1"/>
    <n v="3"/>
    <s v="Life Sciences"/>
    <n v="1822"/>
    <n v="3"/>
    <s v="Female"/>
    <n v="52"/>
    <n v="3"/>
    <n v="2"/>
    <s v="Healthcare Representative"/>
    <n v="4"/>
    <s v="Divorced"/>
    <n v="6513"/>
    <n v="9060"/>
    <n v="4"/>
    <s v="No"/>
    <n v="17"/>
    <n v="3"/>
    <n v="4"/>
    <n v="80"/>
    <n v="1"/>
    <n v="12"/>
    <n v="3"/>
    <n v="3"/>
    <n v="5"/>
    <n v="3"/>
    <n v="0"/>
    <n v="3"/>
    <n v="0"/>
    <n v="1"/>
    <s v="35-44"/>
    <s v="Medium"/>
    <s v="0-5 Years"/>
  </r>
  <r>
    <n v="1301"/>
    <n v="34"/>
    <x v="1"/>
    <s v="Travel_Rarely"/>
    <n v="810"/>
    <s v="Sales"/>
    <n v="8"/>
    <n v="2"/>
    <s v="Technical Degree"/>
    <n v="1823"/>
    <n v="2"/>
    <s v="Male"/>
    <n v="92"/>
    <n v="4"/>
    <n v="2"/>
    <s v="Sales Executive"/>
    <n v="3"/>
    <s v="Married"/>
    <n v="6799"/>
    <n v="22128"/>
    <n v="1"/>
    <s v="No"/>
    <n v="21"/>
    <n v="4"/>
    <n v="3"/>
    <n v="80"/>
    <n v="2"/>
    <n v="10"/>
    <n v="5"/>
    <n v="3"/>
    <n v="10"/>
    <n v="8"/>
    <n v="4"/>
    <n v="8"/>
    <n v="0"/>
    <n v="1"/>
    <s v="25-34"/>
    <s v="Medium"/>
    <s v="6-10 Years"/>
  </r>
  <r>
    <n v="1302"/>
    <n v="58"/>
    <x v="1"/>
    <s v="Non-Travel"/>
    <n v="350"/>
    <s v="Sales"/>
    <n v="2"/>
    <n v="3"/>
    <s v="Medical"/>
    <n v="1824"/>
    <n v="2"/>
    <s v="Male"/>
    <n v="52"/>
    <n v="3"/>
    <n v="4"/>
    <s v="Manager"/>
    <n v="2"/>
    <s v="Divorced"/>
    <n v="16291"/>
    <n v="22577"/>
    <n v="4"/>
    <s v="No"/>
    <n v="22"/>
    <n v="4"/>
    <n v="4"/>
    <n v="80"/>
    <n v="1"/>
    <n v="37"/>
    <n v="0"/>
    <n v="2"/>
    <n v="16"/>
    <n v="9"/>
    <n v="14"/>
    <n v="14"/>
    <n v="0"/>
    <n v="1"/>
    <s v="55+"/>
    <s v="High"/>
    <s v="11-20 Years"/>
  </r>
  <r>
    <n v="1303"/>
    <n v="35"/>
    <x v="1"/>
    <s v="Travel_Rarely"/>
    <n v="185"/>
    <s v="Research &amp; Development"/>
    <n v="23"/>
    <n v="4"/>
    <s v="Medical"/>
    <n v="1826"/>
    <n v="2"/>
    <s v="Male"/>
    <n v="91"/>
    <n v="1"/>
    <n v="1"/>
    <s v="Laboratory Technician"/>
    <n v="3"/>
    <s v="Married"/>
    <n v="2705"/>
    <n v="9696"/>
    <n v="0"/>
    <s v="No"/>
    <n v="16"/>
    <n v="3"/>
    <n v="2"/>
    <n v="80"/>
    <n v="1"/>
    <n v="6"/>
    <n v="2"/>
    <n v="4"/>
    <n v="5"/>
    <n v="4"/>
    <n v="0"/>
    <n v="3"/>
    <n v="0"/>
    <n v="1"/>
    <s v="35-44"/>
    <s v="Low"/>
    <s v="0-5 Years"/>
  </r>
  <r>
    <n v="1304"/>
    <n v="47"/>
    <x v="1"/>
    <s v="Travel_Rarely"/>
    <n v="1001"/>
    <s v="Research &amp; Development"/>
    <n v="4"/>
    <n v="3"/>
    <s v="Life Sciences"/>
    <n v="1827"/>
    <n v="3"/>
    <s v="Female"/>
    <n v="92"/>
    <n v="2"/>
    <n v="3"/>
    <s v="Manufacturing Director"/>
    <n v="2"/>
    <s v="Divorced"/>
    <n v="10333"/>
    <n v="19271"/>
    <n v="8"/>
    <s v="Yes"/>
    <n v="12"/>
    <n v="3"/>
    <n v="3"/>
    <n v="80"/>
    <n v="1"/>
    <n v="28"/>
    <n v="4"/>
    <n v="3"/>
    <n v="22"/>
    <n v="11"/>
    <n v="14"/>
    <n v="10"/>
    <n v="0"/>
    <n v="1"/>
    <s v="45-54"/>
    <s v="Upper Medium"/>
    <s v="21+ Years"/>
  </r>
  <r>
    <n v="1305"/>
    <n v="40"/>
    <x v="1"/>
    <s v="Travel_Rarely"/>
    <n v="750"/>
    <s v="Research &amp; Development"/>
    <n v="12"/>
    <n v="3"/>
    <s v="Life Sciences"/>
    <n v="1829"/>
    <n v="2"/>
    <s v="Female"/>
    <n v="47"/>
    <n v="3"/>
    <n v="2"/>
    <s v="Healthcare Representative"/>
    <n v="1"/>
    <s v="Divorced"/>
    <n v="4448"/>
    <n v="10748"/>
    <n v="2"/>
    <s v="No"/>
    <n v="12"/>
    <n v="3"/>
    <n v="2"/>
    <n v="80"/>
    <n v="1"/>
    <n v="15"/>
    <n v="3"/>
    <n v="3"/>
    <n v="7"/>
    <n v="4"/>
    <n v="7"/>
    <n v="7"/>
    <n v="0"/>
    <n v="1"/>
    <s v="35-44"/>
    <s v="Low"/>
    <s v="6-10 Years"/>
  </r>
  <r>
    <n v="1306"/>
    <n v="54"/>
    <x v="1"/>
    <s v="Travel_Rarely"/>
    <n v="431"/>
    <s v="Research &amp; Development"/>
    <n v="7"/>
    <n v="4"/>
    <s v="Medical"/>
    <n v="1830"/>
    <n v="4"/>
    <s v="Female"/>
    <n v="68"/>
    <n v="3"/>
    <n v="2"/>
    <s v="Research Scientist"/>
    <n v="4"/>
    <s v="Married"/>
    <n v="6854"/>
    <n v="15696"/>
    <n v="4"/>
    <s v="No"/>
    <n v="15"/>
    <n v="3"/>
    <n v="2"/>
    <n v="80"/>
    <n v="1"/>
    <n v="14"/>
    <n v="2"/>
    <n v="2"/>
    <n v="7"/>
    <n v="1"/>
    <n v="1"/>
    <n v="7"/>
    <n v="0"/>
    <n v="1"/>
    <s v="45-54"/>
    <s v="Medium"/>
    <s v="6-10 Years"/>
  </r>
  <r>
    <n v="1307"/>
    <n v="31"/>
    <x v="1"/>
    <s v="Travel_Frequently"/>
    <n v="1125"/>
    <s v="Sales"/>
    <n v="7"/>
    <n v="4"/>
    <s v="Marketing"/>
    <n v="1833"/>
    <n v="1"/>
    <s v="Female"/>
    <n v="68"/>
    <n v="3"/>
    <n v="3"/>
    <s v="Sales Executive"/>
    <n v="1"/>
    <s v="Married"/>
    <n v="9637"/>
    <n v="8277"/>
    <n v="2"/>
    <s v="No"/>
    <n v="14"/>
    <n v="3"/>
    <n v="4"/>
    <n v="80"/>
    <n v="2"/>
    <n v="9"/>
    <n v="3"/>
    <n v="3"/>
    <n v="3"/>
    <n v="2"/>
    <n v="2"/>
    <n v="2"/>
    <n v="0"/>
    <n v="1"/>
    <s v="25-34"/>
    <s v="Medium"/>
    <s v="0-5 Years"/>
  </r>
  <r>
    <n v="1308"/>
    <n v="28"/>
    <x v="1"/>
    <s v="Travel_Rarely"/>
    <n v="1217"/>
    <s v="Research &amp; Development"/>
    <n v="1"/>
    <n v="3"/>
    <s v="Medical"/>
    <n v="1834"/>
    <n v="3"/>
    <s v="Female"/>
    <n v="67"/>
    <n v="3"/>
    <n v="1"/>
    <s v="Research Scientist"/>
    <n v="1"/>
    <s v="Married"/>
    <n v="3591"/>
    <n v="12719"/>
    <n v="1"/>
    <s v="No"/>
    <n v="25"/>
    <n v="4"/>
    <n v="3"/>
    <n v="80"/>
    <n v="1"/>
    <n v="3"/>
    <n v="3"/>
    <n v="3"/>
    <n v="3"/>
    <n v="2"/>
    <n v="1"/>
    <n v="2"/>
    <n v="0"/>
    <n v="1"/>
    <s v="25-34"/>
    <s v="Low"/>
    <s v="0-5 Years"/>
  </r>
  <r>
    <n v="1309"/>
    <n v="38"/>
    <x v="1"/>
    <s v="Travel_Rarely"/>
    <n v="723"/>
    <s v="Sales"/>
    <n v="2"/>
    <n v="4"/>
    <s v="Marketing"/>
    <n v="1835"/>
    <n v="2"/>
    <s v="Female"/>
    <n v="77"/>
    <n v="1"/>
    <n v="2"/>
    <s v="Sales Representative"/>
    <n v="4"/>
    <s v="Married"/>
    <n v="5405"/>
    <n v="4244"/>
    <n v="2"/>
    <s v="Yes"/>
    <n v="20"/>
    <n v="4"/>
    <n v="1"/>
    <n v="80"/>
    <n v="2"/>
    <n v="20"/>
    <n v="4"/>
    <n v="2"/>
    <n v="4"/>
    <n v="2"/>
    <n v="0"/>
    <n v="3"/>
    <n v="0"/>
    <n v="1"/>
    <s v="35-44"/>
    <s v="Medium"/>
    <s v="0-5 Years"/>
  </r>
  <r>
    <n v="1310"/>
    <n v="26"/>
    <x v="1"/>
    <s v="Travel_Rarely"/>
    <n v="572"/>
    <s v="Sales"/>
    <n v="10"/>
    <n v="3"/>
    <s v="Medical"/>
    <n v="1836"/>
    <n v="3"/>
    <s v="Male"/>
    <n v="46"/>
    <n v="3"/>
    <n v="2"/>
    <s v="Sales Executive"/>
    <n v="4"/>
    <s v="Single"/>
    <n v="4684"/>
    <n v="9125"/>
    <n v="1"/>
    <s v="No"/>
    <n v="13"/>
    <n v="3"/>
    <n v="1"/>
    <n v="80"/>
    <n v="0"/>
    <n v="5"/>
    <n v="4"/>
    <n v="3"/>
    <n v="5"/>
    <n v="3"/>
    <n v="1"/>
    <n v="2"/>
    <n v="0"/>
    <n v="1"/>
    <s v="25-34"/>
    <s v="Low"/>
    <s v="0-5 Years"/>
  </r>
  <r>
    <n v="1311"/>
    <n v="58"/>
    <x v="1"/>
    <s v="Travel_Frequently"/>
    <n v="1216"/>
    <s v="Research &amp; Development"/>
    <n v="15"/>
    <n v="4"/>
    <s v="Life Sciences"/>
    <n v="1837"/>
    <n v="1"/>
    <s v="Male"/>
    <n v="87"/>
    <n v="3"/>
    <n v="4"/>
    <s v="Research Director"/>
    <n v="3"/>
    <s v="Married"/>
    <n v="15787"/>
    <n v="21624"/>
    <n v="2"/>
    <s v="Yes"/>
    <n v="14"/>
    <n v="3"/>
    <n v="2"/>
    <n v="80"/>
    <n v="0"/>
    <n v="23"/>
    <n v="3"/>
    <n v="3"/>
    <n v="2"/>
    <n v="2"/>
    <n v="2"/>
    <n v="2"/>
    <n v="0"/>
    <n v="1"/>
    <s v="55+"/>
    <s v="High"/>
    <s v="0-5 Years"/>
  </r>
  <r>
    <n v="1312"/>
    <n v="18"/>
    <x v="1"/>
    <s v="Non-Travel"/>
    <n v="1431"/>
    <s v="Research &amp; Development"/>
    <n v="14"/>
    <n v="3"/>
    <s v="Medical"/>
    <n v="1839"/>
    <n v="2"/>
    <s v="Female"/>
    <n v="33"/>
    <n v="3"/>
    <n v="1"/>
    <s v="Research Scientist"/>
    <n v="3"/>
    <s v="Single"/>
    <n v="1514"/>
    <n v="8018"/>
    <n v="1"/>
    <s v="No"/>
    <n v="16"/>
    <n v="3"/>
    <n v="3"/>
    <n v="80"/>
    <n v="0"/>
    <n v="0"/>
    <n v="4"/>
    <n v="1"/>
    <n v="0"/>
    <n v="0"/>
    <n v="0"/>
    <n v="0"/>
    <n v="0"/>
    <n v="1"/>
    <s v="Under 25"/>
    <s v="Low"/>
    <s v="0-5 Years"/>
  </r>
  <r>
    <n v="1313"/>
    <n v="31"/>
    <x v="0"/>
    <s v="Travel_Rarely"/>
    <n v="359"/>
    <s v="Human Resources"/>
    <n v="18"/>
    <n v="5"/>
    <s v="Human Resources"/>
    <n v="1842"/>
    <n v="4"/>
    <s v="Male"/>
    <n v="89"/>
    <n v="4"/>
    <n v="1"/>
    <s v="Human Resources"/>
    <n v="1"/>
    <s v="Married"/>
    <n v="2956"/>
    <n v="21495"/>
    <n v="0"/>
    <s v="No"/>
    <n v="17"/>
    <n v="3"/>
    <n v="3"/>
    <n v="80"/>
    <n v="0"/>
    <n v="2"/>
    <n v="4"/>
    <n v="3"/>
    <n v="1"/>
    <n v="0"/>
    <n v="0"/>
    <n v="0"/>
    <n v="1"/>
    <n v="0"/>
    <s v="25-34"/>
    <s v="Low"/>
    <s v="0-5 Years"/>
  </r>
  <r>
    <n v="1314"/>
    <n v="29"/>
    <x v="0"/>
    <s v="Travel_Rarely"/>
    <n v="350"/>
    <s v="Human Resources"/>
    <n v="13"/>
    <n v="3"/>
    <s v="Human Resources"/>
    <n v="1844"/>
    <n v="1"/>
    <s v="Male"/>
    <n v="56"/>
    <n v="2"/>
    <n v="1"/>
    <s v="Human Resources"/>
    <n v="1"/>
    <s v="Divorced"/>
    <n v="2335"/>
    <n v="3157"/>
    <n v="4"/>
    <s v="Yes"/>
    <n v="15"/>
    <n v="3"/>
    <n v="4"/>
    <n v="80"/>
    <n v="3"/>
    <n v="4"/>
    <n v="3"/>
    <n v="3"/>
    <n v="2"/>
    <n v="2"/>
    <n v="2"/>
    <n v="0"/>
    <n v="1"/>
    <n v="0"/>
    <s v="25-34"/>
    <s v="Low"/>
    <s v="0-5 Years"/>
  </r>
  <r>
    <n v="1315"/>
    <n v="45"/>
    <x v="1"/>
    <s v="Non-Travel"/>
    <n v="589"/>
    <s v="Sales"/>
    <n v="2"/>
    <n v="4"/>
    <s v="Life Sciences"/>
    <n v="1845"/>
    <n v="3"/>
    <s v="Female"/>
    <n v="67"/>
    <n v="3"/>
    <n v="2"/>
    <s v="Sales Executive"/>
    <n v="3"/>
    <s v="Married"/>
    <n v="5154"/>
    <n v="19665"/>
    <n v="4"/>
    <s v="No"/>
    <n v="22"/>
    <n v="4"/>
    <n v="2"/>
    <n v="80"/>
    <n v="2"/>
    <n v="10"/>
    <n v="3"/>
    <n v="4"/>
    <n v="8"/>
    <n v="7"/>
    <n v="5"/>
    <n v="7"/>
    <n v="0"/>
    <n v="1"/>
    <s v="45-54"/>
    <s v="Medium"/>
    <s v="6-10 Years"/>
  </r>
  <r>
    <n v="1316"/>
    <n v="36"/>
    <x v="1"/>
    <s v="Travel_Rarely"/>
    <n v="430"/>
    <s v="Research &amp; Development"/>
    <n v="2"/>
    <n v="4"/>
    <s v="Other"/>
    <n v="1847"/>
    <n v="4"/>
    <s v="Female"/>
    <n v="73"/>
    <n v="3"/>
    <n v="2"/>
    <s v="Research Scientist"/>
    <n v="2"/>
    <s v="Married"/>
    <n v="6962"/>
    <n v="19573"/>
    <n v="4"/>
    <s v="Yes"/>
    <n v="22"/>
    <n v="4"/>
    <n v="4"/>
    <n v="80"/>
    <n v="1"/>
    <n v="15"/>
    <n v="2"/>
    <n v="3"/>
    <n v="1"/>
    <n v="0"/>
    <n v="0"/>
    <n v="0"/>
    <n v="0"/>
    <n v="1"/>
    <s v="35-44"/>
    <s v="Medium"/>
    <s v="0-5 Years"/>
  </r>
  <r>
    <n v="1317"/>
    <n v="43"/>
    <x v="1"/>
    <s v="Travel_Frequently"/>
    <n v="1422"/>
    <s v="Sales"/>
    <n v="2"/>
    <n v="4"/>
    <s v="Life Sciences"/>
    <n v="1849"/>
    <n v="1"/>
    <s v="Male"/>
    <n v="92"/>
    <n v="3"/>
    <n v="2"/>
    <s v="Sales Executive"/>
    <n v="4"/>
    <s v="Married"/>
    <n v="5675"/>
    <n v="19246"/>
    <n v="1"/>
    <s v="No"/>
    <n v="20"/>
    <n v="4"/>
    <n v="3"/>
    <n v="80"/>
    <n v="1"/>
    <n v="7"/>
    <n v="5"/>
    <n v="3"/>
    <n v="7"/>
    <n v="7"/>
    <n v="7"/>
    <n v="7"/>
    <n v="0"/>
    <n v="1"/>
    <s v="35-44"/>
    <s v="Medium"/>
    <s v="6-10 Years"/>
  </r>
  <r>
    <n v="1318"/>
    <n v="27"/>
    <x v="1"/>
    <s v="Travel_Frequently"/>
    <n v="1297"/>
    <s v="Research &amp; Development"/>
    <n v="5"/>
    <n v="2"/>
    <s v="Life Sciences"/>
    <n v="1850"/>
    <n v="4"/>
    <s v="Female"/>
    <n v="53"/>
    <n v="3"/>
    <n v="1"/>
    <s v="Laboratory Technician"/>
    <n v="4"/>
    <s v="Single"/>
    <n v="2379"/>
    <n v="19826"/>
    <n v="0"/>
    <s v="Yes"/>
    <n v="14"/>
    <n v="3"/>
    <n v="3"/>
    <n v="80"/>
    <n v="0"/>
    <n v="6"/>
    <n v="3"/>
    <n v="2"/>
    <n v="5"/>
    <n v="4"/>
    <n v="0"/>
    <n v="2"/>
    <n v="0"/>
    <n v="1"/>
    <s v="25-34"/>
    <s v="Low"/>
    <s v="0-5 Years"/>
  </r>
  <r>
    <n v="1319"/>
    <n v="29"/>
    <x v="1"/>
    <s v="Travel_Frequently"/>
    <n v="574"/>
    <s v="Research &amp; Development"/>
    <n v="20"/>
    <n v="1"/>
    <s v="Medical"/>
    <n v="1852"/>
    <n v="4"/>
    <s v="Male"/>
    <n v="40"/>
    <n v="3"/>
    <n v="1"/>
    <s v="Laboratory Technician"/>
    <n v="4"/>
    <s v="Married"/>
    <n v="3812"/>
    <n v="7003"/>
    <n v="1"/>
    <s v="No"/>
    <n v="13"/>
    <n v="3"/>
    <n v="2"/>
    <n v="80"/>
    <n v="0"/>
    <n v="11"/>
    <n v="3"/>
    <n v="4"/>
    <n v="11"/>
    <n v="8"/>
    <n v="3"/>
    <n v="10"/>
    <n v="0"/>
    <n v="1"/>
    <s v="25-34"/>
    <s v="Low"/>
    <s v="11-20 Years"/>
  </r>
  <r>
    <n v="1320"/>
    <n v="32"/>
    <x v="1"/>
    <s v="Travel_Frequently"/>
    <n v="1318"/>
    <s v="Sales"/>
    <n v="10"/>
    <n v="4"/>
    <s v="Marketing"/>
    <n v="1853"/>
    <n v="4"/>
    <s v="Male"/>
    <n v="79"/>
    <n v="3"/>
    <n v="2"/>
    <s v="Sales Executive"/>
    <n v="4"/>
    <s v="Single"/>
    <n v="4648"/>
    <n v="26075"/>
    <n v="8"/>
    <s v="No"/>
    <n v="13"/>
    <n v="3"/>
    <n v="3"/>
    <n v="80"/>
    <n v="0"/>
    <n v="4"/>
    <n v="2"/>
    <n v="4"/>
    <n v="0"/>
    <n v="0"/>
    <n v="0"/>
    <n v="0"/>
    <n v="0"/>
    <n v="1"/>
    <s v="25-34"/>
    <s v="Low"/>
    <s v="0-5 Years"/>
  </r>
  <r>
    <n v="1321"/>
    <n v="42"/>
    <x v="1"/>
    <s v="Non-Travel"/>
    <n v="355"/>
    <s v="Research &amp; Development"/>
    <n v="10"/>
    <n v="4"/>
    <s v="Technical Degree"/>
    <n v="1854"/>
    <n v="3"/>
    <s v="Male"/>
    <n v="38"/>
    <n v="3"/>
    <n v="1"/>
    <s v="Research Scientist"/>
    <n v="3"/>
    <s v="Married"/>
    <n v="2936"/>
    <n v="6161"/>
    <n v="3"/>
    <s v="No"/>
    <n v="22"/>
    <n v="4"/>
    <n v="2"/>
    <n v="80"/>
    <n v="2"/>
    <n v="10"/>
    <n v="1"/>
    <n v="2"/>
    <n v="6"/>
    <n v="3"/>
    <n v="3"/>
    <n v="3"/>
    <n v="0"/>
    <n v="1"/>
    <s v="35-44"/>
    <s v="Low"/>
    <s v="6-10 Years"/>
  </r>
  <r>
    <n v="1322"/>
    <n v="47"/>
    <x v="1"/>
    <s v="Travel_Rarely"/>
    <n v="207"/>
    <s v="Research &amp; Development"/>
    <n v="9"/>
    <n v="4"/>
    <s v="Life Sciences"/>
    <n v="1856"/>
    <n v="2"/>
    <s v="Female"/>
    <n v="64"/>
    <n v="3"/>
    <n v="1"/>
    <s v="Laboratory Technician"/>
    <n v="3"/>
    <s v="Single"/>
    <n v="2105"/>
    <n v="5411"/>
    <n v="4"/>
    <s v="No"/>
    <n v="12"/>
    <n v="3"/>
    <n v="3"/>
    <n v="80"/>
    <n v="0"/>
    <n v="7"/>
    <n v="2"/>
    <n v="3"/>
    <n v="2"/>
    <n v="2"/>
    <n v="2"/>
    <n v="0"/>
    <n v="0"/>
    <n v="1"/>
    <s v="45-54"/>
    <s v="Low"/>
    <s v="0-5 Years"/>
  </r>
  <r>
    <n v="1323"/>
    <n v="46"/>
    <x v="1"/>
    <s v="Travel_Rarely"/>
    <n v="706"/>
    <s v="Research &amp; Development"/>
    <n v="2"/>
    <n v="2"/>
    <s v="Life Sciences"/>
    <n v="1857"/>
    <n v="4"/>
    <s v="Male"/>
    <n v="82"/>
    <n v="3"/>
    <n v="3"/>
    <s v="Manufacturing Director"/>
    <n v="4"/>
    <s v="Divorced"/>
    <n v="8578"/>
    <n v="19989"/>
    <n v="3"/>
    <s v="No"/>
    <n v="14"/>
    <n v="3"/>
    <n v="3"/>
    <n v="80"/>
    <n v="1"/>
    <n v="12"/>
    <n v="4"/>
    <n v="2"/>
    <n v="9"/>
    <n v="8"/>
    <n v="4"/>
    <n v="7"/>
    <n v="0"/>
    <n v="1"/>
    <s v="45-54"/>
    <s v="Medium"/>
    <s v="6-10 Years"/>
  </r>
  <r>
    <n v="1324"/>
    <n v="28"/>
    <x v="1"/>
    <s v="Non-Travel"/>
    <n v="280"/>
    <s v="Human Resources"/>
    <n v="1"/>
    <n v="2"/>
    <s v="Life Sciences"/>
    <n v="1858"/>
    <n v="3"/>
    <s v="Male"/>
    <n v="43"/>
    <n v="3"/>
    <n v="1"/>
    <s v="Human Resources"/>
    <n v="4"/>
    <s v="Divorced"/>
    <n v="2706"/>
    <n v="10494"/>
    <n v="1"/>
    <s v="No"/>
    <n v="15"/>
    <n v="3"/>
    <n v="2"/>
    <n v="80"/>
    <n v="1"/>
    <n v="3"/>
    <n v="2"/>
    <n v="3"/>
    <n v="3"/>
    <n v="2"/>
    <n v="2"/>
    <n v="2"/>
    <n v="0"/>
    <n v="1"/>
    <s v="25-34"/>
    <s v="Low"/>
    <s v="0-5 Years"/>
  </r>
  <r>
    <n v="1325"/>
    <n v="29"/>
    <x v="1"/>
    <s v="Travel_Rarely"/>
    <n v="726"/>
    <s v="Research &amp; Development"/>
    <n v="29"/>
    <n v="1"/>
    <s v="Life Sciences"/>
    <n v="1859"/>
    <n v="4"/>
    <s v="Male"/>
    <n v="93"/>
    <n v="1"/>
    <n v="2"/>
    <s v="Healthcare Representative"/>
    <n v="3"/>
    <s v="Divorced"/>
    <n v="6384"/>
    <n v="21143"/>
    <n v="8"/>
    <s v="No"/>
    <n v="17"/>
    <n v="3"/>
    <n v="4"/>
    <n v="80"/>
    <n v="2"/>
    <n v="11"/>
    <n v="3"/>
    <n v="3"/>
    <n v="7"/>
    <n v="0"/>
    <n v="1"/>
    <n v="6"/>
    <n v="0"/>
    <n v="1"/>
    <s v="25-34"/>
    <s v="Medium"/>
    <s v="6-10 Years"/>
  </r>
  <r>
    <n v="1326"/>
    <n v="42"/>
    <x v="1"/>
    <s v="Travel_Rarely"/>
    <n v="1142"/>
    <s v="Research &amp; Development"/>
    <n v="8"/>
    <n v="3"/>
    <s v="Life Sciences"/>
    <n v="1860"/>
    <n v="4"/>
    <s v="Male"/>
    <n v="81"/>
    <n v="3"/>
    <n v="1"/>
    <s v="Laboratory Technician"/>
    <n v="3"/>
    <s v="Single"/>
    <n v="3968"/>
    <n v="13624"/>
    <n v="4"/>
    <s v="No"/>
    <n v="13"/>
    <n v="3"/>
    <n v="4"/>
    <n v="80"/>
    <n v="0"/>
    <n v="8"/>
    <n v="3"/>
    <n v="3"/>
    <n v="0"/>
    <n v="0"/>
    <n v="0"/>
    <n v="0"/>
    <n v="0"/>
    <n v="1"/>
    <s v="35-44"/>
    <s v="Low"/>
    <s v="0-5 Years"/>
  </r>
  <r>
    <n v="1327"/>
    <n v="32"/>
    <x v="0"/>
    <s v="Travel_Rarely"/>
    <n v="414"/>
    <s v="Sales"/>
    <n v="2"/>
    <n v="4"/>
    <s v="Marketing"/>
    <n v="1862"/>
    <n v="3"/>
    <s v="Male"/>
    <n v="82"/>
    <n v="2"/>
    <n v="2"/>
    <s v="Sales Executive"/>
    <n v="2"/>
    <s v="Single"/>
    <n v="9907"/>
    <n v="26186"/>
    <n v="7"/>
    <s v="Yes"/>
    <n v="12"/>
    <n v="3"/>
    <n v="3"/>
    <n v="80"/>
    <n v="0"/>
    <n v="7"/>
    <n v="3"/>
    <n v="2"/>
    <n v="2"/>
    <n v="2"/>
    <n v="2"/>
    <n v="2"/>
    <n v="1"/>
    <n v="0"/>
    <s v="25-34"/>
    <s v="Medium"/>
    <s v="0-5 Years"/>
  </r>
  <r>
    <n v="1328"/>
    <n v="46"/>
    <x v="1"/>
    <s v="Travel_Rarely"/>
    <n v="1319"/>
    <s v="Sales"/>
    <n v="3"/>
    <n v="3"/>
    <s v="Technical Degree"/>
    <n v="1863"/>
    <n v="1"/>
    <s v="Female"/>
    <n v="45"/>
    <n v="4"/>
    <n v="4"/>
    <s v="Sales Executive"/>
    <n v="1"/>
    <s v="Divorced"/>
    <n v="13225"/>
    <n v="7739"/>
    <n v="2"/>
    <s v="No"/>
    <n v="12"/>
    <n v="3"/>
    <n v="4"/>
    <n v="80"/>
    <n v="1"/>
    <n v="25"/>
    <n v="5"/>
    <n v="3"/>
    <n v="19"/>
    <n v="17"/>
    <n v="2"/>
    <n v="8"/>
    <n v="0"/>
    <n v="1"/>
    <s v="45-54"/>
    <s v="Upper Medium"/>
    <s v="11-20 Years"/>
  </r>
  <r>
    <n v="1329"/>
    <n v="27"/>
    <x v="1"/>
    <s v="Travel_Rarely"/>
    <n v="728"/>
    <s v="Sales"/>
    <n v="23"/>
    <n v="1"/>
    <s v="Medical"/>
    <n v="1864"/>
    <n v="2"/>
    <s v="Female"/>
    <n v="36"/>
    <n v="2"/>
    <n v="2"/>
    <s v="Sales Representative"/>
    <n v="3"/>
    <s v="Married"/>
    <n v="3540"/>
    <n v="7018"/>
    <n v="1"/>
    <s v="No"/>
    <n v="21"/>
    <n v="4"/>
    <n v="4"/>
    <n v="80"/>
    <n v="1"/>
    <n v="9"/>
    <n v="5"/>
    <n v="3"/>
    <n v="9"/>
    <n v="8"/>
    <n v="5"/>
    <n v="8"/>
    <n v="0"/>
    <n v="1"/>
    <s v="25-34"/>
    <s v="Low"/>
    <s v="6-10 Years"/>
  </r>
  <r>
    <n v="1330"/>
    <n v="29"/>
    <x v="1"/>
    <s v="Travel_Rarely"/>
    <n v="352"/>
    <s v="Human Resources"/>
    <n v="6"/>
    <n v="1"/>
    <s v="Medical"/>
    <n v="1865"/>
    <n v="4"/>
    <s v="Male"/>
    <n v="87"/>
    <n v="2"/>
    <n v="1"/>
    <s v="Human Resources"/>
    <n v="2"/>
    <s v="Married"/>
    <n v="2804"/>
    <n v="15434"/>
    <n v="1"/>
    <s v="No"/>
    <n v="11"/>
    <n v="3"/>
    <n v="4"/>
    <n v="80"/>
    <n v="0"/>
    <n v="1"/>
    <n v="3"/>
    <n v="3"/>
    <n v="1"/>
    <n v="0"/>
    <n v="0"/>
    <n v="0"/>
    <n v="0"/>
    <n v="1"/>
    <s v="25-34"/>
    <s v="Low"/>
    <s v="0-5 Years"/>
  </r>
  <r>
    <n v="1331"/>
    <n v="43"/>
    <x v="1"/>
    <s v="Travel_Rarely"/>
    <n v="823"/>
    <s v="Research &amp; Development"/>
    <n v="6"/>
    <n v="3"/>
    <s v="Medical"/>
    <n v="1866"/>
    <n v="1"/>
    <s v="Female"/>
    <n v="81"/>
    <n v="2"/>
    <n v="5"/>
    <s v="Manager"/>
    <n v="3"/>
    <s v="Married"/>
    <n v="19392"/>
    <n v="22539"/>
    <n v="7"/>
    <s v="No"/>
    <n v="13"/>
    <n v="3"/>
    <n v="4"/>
    <n v="80"/>
    <n v="0"/>
    <n v="21"/>
    <n v="2"/>
    <n v="3"/>
    <n v="16"/>
    <n v="12"/>
    <n v="6"/>
    <n v="14"/>
    <n v="0"/>
    <n v="1"/>
    <s v="35-44"/>
    <s v="High"/>
    <s v="11-20 Years"/>
  </r>
  <r>
    <n v="1332"/>
    <n v="48"/>
    <x v="1"/>
    <s v="Travel_Rarely"/>
    <n v="1224"/>
    <s v="Research &amp; Development"/>
    <n v="10"/>
    <n v="3"/>
    <s v="Life Sciences"/>
    <n v="1867"/>
    <n v="4"/>
    <s v="Male"/>
    <n v="91"/>
    <n v="2"/>
    <n v="5"/>
    <s v="Research Director"/>
    <n v="2"/>
    <s v="Married"/>
    <n v="19665"/>
    <n v="13583"/>
    <n v="4"/>
    <s v="No"/>
    <n v="12"/>
    <n v="3"/>
    <n v="4"/>
    <n v="80"/>
    <n v="0"/>
    <n v="29"/>
    <n v="3"/>
    <n v="3"/>
    <n v="22"/>
    <n v="10"/>
    <n v="12"/>
    <n v="9"/>
    <n v="0"/>
    <n v="1"/>
    <s v="45-54"/>
    <s v="High"/>
    <s v="21+ Years"/>
  </r>
  <r>
    <n v="1333"/>
    <n v="29"/>
    <x v="0"/>
    <s v="Travel_Frequently"/>
    <n v="459"/>
    <s v="Research &amp; Development"/>
    <n v="24"/>
    <n v="2"/>
    <s v="Life Sciences"/>
    <n v="1868"/>
    <n v="4"/>
    <s v="Male"/>
    <n v="73"/>
    <n v="2"/>
    <n v="1"/>
    <s v="Research Scientist"/>
    <n v="4"/>
    <s v="Single"/>
    <n v="2439"/>
    <n v="14753"/>
    <n v="1"/>
    <s v="Yes"/>
    <n v="24"/>
    <n v="4"/>
    <n v="2"/>
    <n v="80"/>
    <n v="0"/>
    <n v="1"/>
    <n v="3"/>
    <n v="2"/>
    <n v="1"/>
    <n v="0"/>
    <n v="1"/>
    <n v="0"/>
    <n v="1"/>
    <n v="0"/>
    <s v="25-34"/>
    <s v="Low"/>
    <s v="0-5 Years"/>
  </r>
  <r>
    <n v="1334"/>
    <n v="46"/>
    <x v="0"/>
    <s v="Travel_Rarely"/>
    <n v="1254"/>
    <s v="Sales"/>
    <n v="10"/>
    <n v="3"/>
    <s v="Life Sciences"/>
    <n v="1869"/>
    <n v="3"/>
    <s v="Female"/>
    <n v="64"/>
    <n v="3"/>
    <n v="3"/>
    <s v="Sales Executive"/>
    <n v="2"/>
    <s v="Married"/>
    <n v="7314"/>
    <n v="14011"/>
    <n v="5"/>
    <s v="No"/>
    <n v="21"/>
    <n v="4"/>
    <n v="3"/>
    <n v="80"/>
    <n v="3"/>
    <n v="14"/>
    <n v="2"/>
    <n v="3"/>
    <n v="8"/>
    <n v="7"/>
    <n v="0"/>
    <n v="7"/>
    <n v="1"/>
    <n v="0"/>
    <s v="45-54"/>
    <s v="Medium"/>
    <s v="6-10 Years"/>
  </r>
  <r>
    <n v="1335"/>
    <n v="27"/>
    <x v="1"/>
    <s v="Travel_Frequently"/>
    <n v="1131"/>
    <s v="Research &amp; Development"/>
    <n v="15"/>
    <n v="3"/>
    <s v="Life Sciences"/>
    <n v="1870"/>
    <n v="4"/>
    <s v="Female"/>
    <n v="77"/>
    <n v="2"/>
    <n v="1"/>
    <s v="Research Scientist"/>
    <n v="1"/>
    <s v="Married"/>
    <n v="4774"/>
    <n v="23844"/>
    <n v="0"/>
    <s v="No"/>
    <n v="19"/>
    <n v="3"/>
    <n v="4"/>
    <n v="80"/>
    <n v="1"/>
    <n v="8"/>
    <n v="2"/>
    <n v="2"/>
    <n v="7"/>
    <n v="6"/>
    <n v="7"/>
    <n v="3"/>
    <n v="0"/>
    <n v="1"/>
    <s v="25-34"/>
    <s v="Low"/>
    <s v="6-10 Years"/>
  </r>
  <r>
    <n v="1336"/>
    <n v="39"/>
    <x v="1"/>
    <s v="Travel_Rarely"/>
    <n v="835"/>
    <s v="Research &amp; Development"/>
    <n v="19"/>
    <n v="4"/>
    <s v="Other"/>
    <n v="1871"/>
    <n v="4"/>
    <s v="Male"/>
    <n v="41"/>
    <n v="3"/>
    <n v="2"/>
    <s v="Research Scientist"/>
    <n v="4"/>
    <s v="Divorced"/>
    <n v="3902"/>
    <n v="5141"/>
    <n v="8"/>
    <s v="No"/>
    <n v="14"/>
    <n v="3"/>
    <n v="2"/>
    <n v="80"/>
    <n v="3"/>
    <n v="7"/>
    <n v="2"/>
    <n v="3"/>
    <n v="2"/>
    <n v="2"/>
    <n v="2"/>
    <n v="2"/>
    <n v="0"/>
    <n v="1"/>
    <s v="35-44"/>
    <s v="Low"/>
    <s v="0-5 Years"/>
  </r>
  <r>
    <n v="1337"/>
    <n v="55"/>
    <x v="1"/>
    <s v="Travel_Rarely"/>
    <n v="836"/>
    <s v="Research &amp; Development"/>
    <n v="2"/>
    <n v="4"/>
    <s v="Technical Degree"/>
    <n v="1873"/>
    <n v="2"/>
    <s v="Male"/>
    <n v="98"/>
    <n v="2"/>
    <n v="1"/>
    <s v="Research Scientist"/>
    <n v="4"/>
    <s v="Married"/>
    <n v="2662"/>
    <n v="7975"/>
    <n v="8"/>
    <s v="No"/>
    <n v="20"/>
    <n v="4"/>
    <n v="2"/>
    <n v="80"/>
    <n v="1"/>
    <n v="19"/>
    <n v="2"/>
    <n v="4"/>
    <n v="5"/>
    <n v="2"/>
    <n v="0"/>
    <n v="4"/>
    <n v="0"/>
    <n v="1"/>
    <s v="55+"/>
    <s v="Low"/>
    <s v="0-5 Years"/>
  </r>
  <r>
    <n v="1338"/>
    <n v="28"/>
    <x v="1"/>
    <s v="Travel_Rarely"/>
    <n v="1172"/>
    <s v="Sales"/>
    <n v="3"/>
    <n v="3"/>
    <s v="Medical"/>
    <n v="1875"/>
    <n v="2"/>
    <s v="Female"/>
    <n v="78"/>
    <n v="3"/>
    <n v="1"/>
    <s v="Sales Representative"/>
    <n v="2"/>
    <s v="Married"/>
    <n v="2856"/>
    <n v="3692"/>
    <n v="1"/>
    <s v="No"/>
    <n v="19"/>
    <n v="3"/>
    <n v="4"/>
    <n v="80"/>
    <n v="1"/>
    <n v="1"/>
    <n v="3"/>
    <n v="3"/>
    <n v="1"/>
    <n v="0"/>
    <n v="0"/>
    <n v="0"/>
    <n v="0"/>
    <n v="1"/>
    <s v="25-34"/>
    <s v="Low"/>
    <s v="0-5 Years"/>
  </r>
  <r>
    <n v="1339"/>
    <n v="30"/>
    <x v="0"/>
    <s v="Travel_Rarely"/>
    <n v="945"/>
    <s v="Sales"/>
    <n v="9"/>
    <n v="3"/>
    <s v="Medical"/>
    <n v="1876"/>
    <n v="2"/>
    <s v="Male"/>
    <n v="89"/>
    <n v="3"/>
    <n v="1"/>
    <s v="Sales Representative"/>
    <n v="4"/>
    <s v="Single"/>
    <n v="1081"/>
    <n v="16019"/>
    <n v="1"/>
    <s v="No"/>
    <n v="13"/>
    <n v="3"/>
    <n v="3"/>
    <n v="80"/>
    <n v="0"/>
    <n v="1"/>
    <n v="3"/>
    <n v="2"/>
    <n v="1"/>
    <n v="0"/>
    <n v="0"/>
    <n v="0"/>
    <n v="1"/>
    <n v="0"/>
    <s v="25-34"/>
    <s v="Low"/>
    <s v="0-5 Years"/>
  </r>
  <r>
    <n v="1340"/>
    <n v="22"/>
    <x v="0"/>
    <s v="Travel_Rarely"/>
    <n v="391"/>
    <s v="Research &amp; Development"/>
    <n v="7"/>
    <n v="1"/>
    <s v="Life Sciences"/>
    <n v="1878"/>
    <n v="4"/>
    <s v="Male"/>
    <n v="75"/>
    <n v="3"/>
    <n v="1"/>
    <s v="Research Scientist"/>
    <n v="2"/>
    <s v="Single"/>
    <n v="2472"/>
    <n v="26092"/>
    <n v="1"/>
    <s v="Yes"/>
    <n v="23"/>
    <n v="4"/>
    <n v="1"/>
    <n v="80"/>
    <n v="0"/>
    <n v="1"/>
    <n v="2"/>
    <n v="3"/>
    <n v="1"/>
    <n v="0"/>
    <n v="0"/>
    <n v="0"/>
    <n v="1"/>
    <n v="0"/>
    <s v="Under 25"/>
    <s v="Low"/>
    <s v="0-5 Years"/>
  </r>
  <r>
    <n v="1341"/>
    <n v="36"/>
    <x v="1"/>
    <s v="Travel_Rarely"/>
    <n v="1266"/>
    <s v="Sales"/>
    <n v="10"/>
    <n v="4"/>
    <s v="Technical Degree"/>
    <n v="1880"/>
    <n v="2"/>
    <s v="Female"/>
    <n v="63"/>
    <n v="2"/>
    <n v="2"/>
    <s v="Sales Executive"/>
    <n v="3"/>
    <s v="Married"/>
    <n v="5673"/>
    <n v="6060"/>
    <n v="1"/>
    <s v="Yes"/>
    <n v="13"/>
    <n v="3"/>
    <n v="1"/>
    <n v="80"/>
    <n v="1"/>
    <n v="10"/>
    <n v="4"/>
    <n v="3"/>
    <n v="10"/>
    <n v="9"/>
    <n v="1"/>
    <n v="7"/>
    <n v="0"/>
    <n v="1"/>
    <s v="35-44"/>
    <s v="Medium"/>
    <s v="6-10 Years"/>
  </r>
  <r>
    <n v="1342"/>
    <n v="31"/>
    <x v="1"/>
    <s v="Travel_Rarely"/>
    <n v="311"/>
    <s v="Research &amp; Development"/>
    <n v="20"/>
    <n v="3"/>
    <s v="Life Sciences"/>
    <n v="1881"/>
    <n v="2"/>
    <s v="Male"/>
    <n v="89"/>
    <n v="3"/>
    <n v="2"/>
    <s v="Laboratory Technician"/>
    <n v="3"/>
    <s v="Divorced"/>
    <n v="4197"/>
    <n v="18624"/>
    <n v="1"/>
    <s v="No"/>
    <n v="11"/>
    <n v="3"/>
    <n v="1"/>
    <n v="80"/>
    <n v="1"/>
    <n v="10"/>
    <n v="2"/>
    <n v="3"/>
    <n v="10"/>
    <n v="8"/>
    <n v="0"/>
    <n v="2"/>
    <n v="0"/>
    <n v="1"/>
    <s v="25-34"/>
    <s v="Low"/>
    <s v="6-10 Years"/>
  </r>
  <r>
    <n v="1343"/>
    <n v="34"/>
    <x v="1"/>
    <s v="Travel_Rarely"/>
    <n v="1480"/>
    <s v="Sales"/>
    <n v="4"/>
    <n v="3"/>
    <s v="Life Sciences"/>
    <n v="1882"/>
    <n v="3"/>
    <s v="Male"/>
    <n v="64"/>
    <n v="3"/>
    <n v="3"/>
    <s v="Sales Executive"/>
    <n v="4"/>
    <s v="Married"/>
    <n v="9713"/>
    <n v="24444"/>
    <n v="2"/>
    <s v="Yes"/>
    <n v="13"/>
    <n v="3"/>
    <n v="4"/>
    <n v="80"/>
    <n v="3"/>
    <n v="9"/>
    <n v="3"/>
    <n v="3"/>
    <n v="5"/>
    <n v="3"/>
    <n v="1"/>
    <n v="0"/>
    <n v="0"/>
    <n v="1"/>
    <s v="25-34"/>
    <s v="Medium"/>
    <s v="0-5 Years"/>
  </r>
  <r>
    <n v="1344"/>
    <n v="29"/>
    <x v="1"/>
    <s v="Travel_Rarely"/>
    <n v="592"/>
    <s v="Research &amp; Development"/>
    <n v="7"/>
    <n v="3"/>
    <s v="Life Sciences"/>
    <n v="1883"/>
    <n v="4"/>
    <s v="Male"/>
    <n v="59"/>
    <n v="3"/>
    <n v="1"/>
    <s v="Laboratory Technician"/>
    <n v="1"/>
    <s v="Single"/>
    <n v="2062"/>
    <n v="19384"/>
    <n v="3"/>
    <s v="No"/>
    <n v="14"/>
    <n v="3"/>
    <n v="2"/>
    <n v="80"/>
    <n v="0"/>
    <n v="11"/>
    <n v="2"/>
    <n v="3"/>
    <n v="3"/>
    <n v="2"/>
    <n v="1"/>
    <n v="2"/>
    <n v="0"/>
    <n v="1"/>
    <s v="25-34"/>
    <s v="Low"/>
    <s v="0-5 Years"/>
  </r>
  <r>
    <n v="1345"/>
    <n v="37"/>
    <x v="1"/>
    <s v="Travel_Rarely"/>
    <n v="783"/>
    <s v="Research &amp; Development"/>
    <n v="7"/>
    <n v="4"/>
    <s v="Medical"/>
    <n v="1885"/>
    <n v="4"/>
    <s v="Male"/>
    <n v="78"/>
    <n v="3"/>
    <n v="2"/>
    <s v="Research Scientist"/>
    <n v="1"/>
    <s v="Married"/>
    <n v="4284"/>
    <n v="13588"/>
    <n v="5"/>
    <s v="Yes"/>
    <n v="22"/>
    <n v="4"/>
    <n v="3"/>
    <n v="80"/>
    <n v="1"/>
    <n v="16"/>
    <n v="2"/>
    <n v="3"/>
    <n v="5"/>
    <n v="3"/>
    <n v="0"/>
    <n v="4"/>
    <n v="0"/>
    <n v="1"/>
    <s v="35-44"/>
    <s v="Low"/>
    <s v="0-5 Years"/>
  </r>
  <r>
    <n v="1346"/>
    <n v="35"/>
    <x v="1"/>
    <s v="Travel_Rarely"/>
    <n v="219"/>
    <s v="Research &amp; Development"/>
    <n v="16"/>
    <n v="2"/>
    <s v="Other"/>
    <n v="1886"/>
    <n v="4"/>
    <s v="Female"/>
    <n v="44"/>
    <n v="2"/>
    <n v="2"/>
    <s v="Manufacturing Director"/>
    <n v="2"/>
    <s v="Married"/>
    <n v="4788"/>
    <n v="25388"/>
    <n v="0"/>
    <s v="Yes"/>
    <n v="11"/>
    <n v="3"/>
    <n v="4"/>
    <n v="80"/>
    <n v="0"/>
    <n v="4"/>
    <n v="2"/>
    <n v="3"/>
    <n v="3"/>
    <n v="2"/>
    <n v="0"/>
    <n v="2"/>
    <n v="0"/>
    <n v="1"/>
    <s v="35-44"/>
    <s v="Low"/>
    <s v="0-5 Years"/>
  </r>
  <r>
    <n v="1347"/>
    <n v="45"/>
    <x v="1"/>
    <s v="Travel_Rarely"/>
    <n v="556"/>
    <s v="Research &amp; Development"/>
    <n v="25"/>
    <n v="2"/>
    <s v="Life Sciences"/>
    <n v="1888"/>
    <n v="2"/>
    <s v="Female"/>
    <n v="93"/>
    <n v="2"/>
    <n v="2"/>
    <s v="Manufacturing Director"/>
    <n v="4"/>
    <s v="Married"/>
    <n v="5906"/>
    <n v="23888"/>
    <n v="0"/>
    <s v="No"/>
    <n v="13"/>
    <n v="3"/>
    <n v="4"/>
    <n v="80"/>
    <n v="2"/>
    <n v="10"/>
    <n v="2"/>
    <n v="2"/>
    <n v="9"/>
    <n v="8"/>
    <n v="3"/>
    <n v="8"/>
    <n v="0"/>
    <n v="1"/>
    <s v="45-54"/>
    <s v="Medium"/>
    <s v="6-10 Years"/>
  </r>
  <r>
    <n v="1348"/>
    <n v="36"/>
    <x v="1"/>
    <s v="Travel_Frequently"/>
    <n v="1213"/>
    <s v="Human Resources"/>
    <n v="2"/>
    <n v="1"/>
    <s v="Human Resources"/>
    <n v="1890"/>
    <n v="2"/>
    <s v="Male"/>
    <n v="94"/>
    <n v="2"/>
    <n v="2"/>
    <s v="Human Resources"/>
    <n v="4"/>
    <s v="Single"/>
    <n v="3886"/>
    <n v="4223"/>
    <n v="1"/>
    <s v="No"/>
    <n v="21"/>
    <n v="4"/>
    <n v="4"/>
    <n v="80"/>
    <n v="0"/>
    <n v="10"/>
    <n v="2"/>
    <n v="2"/>
    <n v="10"/>
    <n v="1"/>
    <n v="0"/>
    <n v="8"/>
    <n v="0"/>
    <n v="1"/>
    <s v="35-44"/>
    <s v="Low"/>
    <s v="6-10 Years"/>
  </r>
  <r>
    <n v="1349"/>
    <n v="40"/>
    <x v="1"/>
    <s v="Travel_Rarely"/>
    <n v="1137"/>
    <s v="Research &amp; Development"/>
    <n v="1"/>
    <n v="4"/>
    <s v="Life Sciences"/>
    <n v="1892"/>
    <n v="1"/>
    <s v="Male"/>
    <n v="98"/>
    <n v="3"/>
    <n v="4"/>
    <s v="Manager"/>
    <n v="1"/>
    <s v="Divorced"/>
    <n v="16823"/>
    <n v="18991"/>
    <n v="2"/>
    <s v="No"/>
    <n v="11"/>
    <n v="3"/>
    <n v="1"/>
    <n v="80"/>
    <n v="1"/>
    <n v="22"/>
    <n v="3"/>
    <n v="3"/>
    <n v="19"/>
    <n v="7"/>
    <n v="11"/>
    <n v="16"/>
    <n v="0"/>
    <n v="1"/>
    <s v="35-44"/>
    <s v="High"/>
    <s v="11-20 Years"/>
  </r>
  <r>
    <n v="1350"/>
    <n v="26"/>
    <x v="1"/>
    <s v="Travel_Rarely"/>
    <n v="482"/>
    <s v="Research &amp; Development"/>
    <n v="1"/>
    <n v="2"/>
    <s v="Life Sciences"/>
    <n v="1893"/>
    <n v="2"/>
    <s v="Female"/>
    <n v="90"/>
    <n v="2"/>
    <n v="1"/>
    <s v="Research Scientist"/>
    <n v="3"/>
    <s v="Married"/>
    <n v="2933"/>
    <n v="14908"/>
    <n v="1"/>
    <s v="Yes"/>
    <n v="13"/>
    <n v="3"/>
    <n v="3"/>
    <n v="80"/>
    <n v="1"/>
    <n v="1"/>
    <n v="3"/>
    <n v="2"/>
    <n v="1"/>
    <n v="0"/>
    <n v="1"/>
    <n v="0"/>
    <n v="0"/>
    <n v="1"/>
    <s v="25-34"/>
    <s v="Low"/>
    <s v="0-5 Years"/>
  </r>
  <r>
    <n v="1351"/>
    <n v="27"/>
    <x v="1"/>
    <s v="Travel_Rarely"/>
    <n v="511"/>
    <s v="Sales"/>
    <n v="2"/>
    <n v="2"/>
    <s v="Medical"/>
    <n v="1898"/>
    <n v="1"/>
    <s v="Female"/>
    <n v="89"/>
    <n v="4"/>
    <n v="2"/>
    <s v="Sales Executive"/>
    <n v="3"/>
    <s v="Single"/>
    <n v="6500"/>
    <n v="26997"/>
    <n v="0"/>
    <s v="No"/>
    <n v="14"/>
    <n v="3"/>
    <n v="2"/>
    <n v="80"/>
    <n v="0"/>
    <n v="9"/>
    <n v="5"/>
    <n v="2"/>
    <n v="8"/>
    <n v="7"/>
    <n v="0"/>
    <n v="7"/>
    <n v="0"/>
    <n v="1"/>
    <s v="25-34"/>
    <s v="Medium"/>
    <s v="6-10 Years"/>
  </r>
  <r>
    <n v="1352"/>
    <n v="48"/>
    <x v="1"/>
    <s v="Travel_Frequently"/>
    <n v="117"/>
    <s v="Research &amp; Development"/>
    <n v="22"/>
    <n v="3"/>
    <s v="Medical"/>
    <n v="1900"/>
    <n v="4"/>
    <s v="Female"/>
    <n v="58"/>
    <n v="3"/>
    <n v="4"/>
    <s v="Manager"/>
    <n v="4"/>
    <s v="Divorced"/>
    <n v="17174"/>
    <n v="2437"/>
    <n v="3"/>
    <s v="No"/>
    <n v="11"/>
    <n v="3"/>
    <n v="2"/>
    <n v="80"/>
    <n v="1"/>
    <n v="24"/>
    <n v="3"/>
    <n v="3"/>
    <n v="22"/>
    <n v="17"/>
    <n v="4"/>
    <n v="7"/>
    <n v="0"/>
    <n v="1"/>
    <s v="45-54"/>
    <s v="High"/>
    <s v="21+ Years"/>
  </r>
  <r>
    <n v="1353"/>
    <n v="44"/>
    <x v="1"/>
    <s v="Travel_Rarely"/>
    <n v="170"/>
    <s v="Research &amp; Development"/>
    <n v="1"/>
    <n v="4"/>
    <s v="Life Sciences"/>
    <n v="1903"/>
    <n v="2"/>
    <s v="Male"/>
    <n v="78"/>
    <n v="4"/>
    <n v="2"/>
    <s v="Healthcare Representative"/>
    <n v="1"/>
    <s v="Married"/>
    <n v="5033"/>
    <n v="9364"/>
    <n v="2"/>
    <s v="No"/>
    <n v="15"/>
    <n v="3"/>
    <n v="4"/>
    <n v="80"/>
    <n v="1"/>
    <n v="10"/>
    <n v="5"/>
    <n v="3"/>
    <n v="2"/>
    <n v="0"/>
    <n v="2"/>
    <n v="2"/>
    <n v="0"/>
    <n v="1"/>
    <s v="35-44"/>
    <s v="Medium"/>
    <s v="0-5 Years"/>
  </r>
  <r>
    <n v="1354"/>
    <n v="34"/>
    <x v="0"/>
    <s v="Non-Travel"/>
    <n v="967"/>
    <s v="Research &amp; Development"/>
    <n v="16"/>
    <n v="4"/>
    <s v="Technical Degree"/>
    <n v="1905"/>
    <n v="4"/>
    <s v="Male"/>
    <n v="85"/>
    <n v="1"/>
    <n v="1"/>
    <s v="Research Scientist"/>
    <n v="1"/>
    <s v="Married"/>
    <n v="2307"/>
    <n v="14460"/>
    <n v="1"/>
    <s v="Yes"/>
    <n v="23"/>
    <n v="4"/>
    <n v="2"/>
    <n v="80"/>
    <n v="1"/>
    <n v="5"/>
    <n v="2"/>
    <n v="3"/>
    <n v="5"/>
    <n v="2"/>
    <n v="3"/>
    <n v="0"/>
    <n v="1"/>
    <n v="0"/>
    <s v="25-34"/>
    <s v="Low"/>
    <s v="0-5 Years"/>
  </r>
  <r>
    <n v="1355"/>
    <n v="56"/>
    <x v="0"/>
    <s v="Travel_Rarely"/>
    <n v="1162"/>
    <s v="Research &amp; Development"/>
    <n v="24"/>
    <n v="2"/>
    <s v="Life Sciences"/>
    <n v="1907"/>
    <n v="1"/>
    <s v="Male"/>
    <n v="97"/>
    <n v="3"/>
    <n v="1"/>
    <s v="Laboratory Technician"/>
    <n v="4"/>
    <s v="Single"/>
    <n v="2587"/>
    <n v="10261"/>
    <n v="1"/>
    <s v="No"/>
    <n v="16"/>
    <n v="3"/>
    <n v="4"/>
    <n v="80"/>
    <n v="0"/>
    <n v="5"/>
    <n v="3"/>
    <n v="3"/>
    <n v="4"/>
    <n v="2"/>
    <n v="1"/>
    <n v="0"/>
    <n v="1"/>
    <n v="0"/>
    <s v="55+"/>
    <s v="Low"/>
    <s v="0-5 Years"/>
  </r>
  <r>
    <n v="1356"/>
    <n v="36"/>
    <x v="1"/>
    <s v="Travel_Rarely"/>
    <n v="335"/>
    <s v="Sales"/>
    <n v="17"/>
    <n v="2"/>
    <s v="Marketing"/>
    <n v="1908"/>
    <n v="3"/>
    <s v="Male"/>
    <n v="33"/>
    <n v="2"/>
    <n v="2"/>
    <s v="Sales Executive"/>
    <n v="2"/>
    <s v="Married"/>
    <n v="5507"/>
    <n v="16822"/>
    <n v="2"/>
    <s v="No"/>
    <n v="16"/>
    <n v="3"/>
    <n v="3"/>
    <n v="80"/>
    <n v="2"/>
    <n v="12"/>
    <n v="1"/>
    <n v="1"/>
    <n v="4"/>
    <n v="2"/>
    <n v="1"/>
    <n v="3"/>
    <n v="0"/>
    <n v="1"/>
    <s v="35-44"/>
    <s v="Medium"/>
    <s v="0-5 Years"/>
  </r>
  <r>
    <n v="1357"/>
    <n v="41"/>
    <x v="1"/>
    <s v="Travel_Rarely"/>
    <n v="337"/>
    <s v="Sales"/>
    <n v="8"/>
    <n v="3"/>
    <s v="Marketing"/>
    <n v="1909"/>
    <n v="3"/>
    <s v="Female"/>
    <n v="54"/>
    <n v="3"/>
    <n v="2"/>
    <s v="Sales Executive"/>
    <n v="2"/>
    <s v="Married"/>
    <n v="4393"/>
    <n v="26841"/>
    <n v="5"/>
    <s v="No"/>
    <n v="21"/>
    <n v="4"/>
    <n v="3"/>
    <n v="80"/>
    <n v="1"/>
    <n v="14"/>
    <n v="3"/>
    <n v="3"/>
    <n v="5"/>
    <n v="4"/>
    <n v="1"/>
    <n v="4"/>
    <n v="0"/>
    <n v="1"/>
    <s v="35-44"/>
    <s v="Low"/>
    <s v="0-5 Years"/>
  </r>
  <r>
    <n v="1358"/>
    <n v="42"/>
    <x v="1"/>
    <s v="Travel_Rarely"/>
    <n v="1396"/>
    <s v="Research &amp; Development"/>
    <n v="6"/>
    <n v="3"/>
    <s v="Medical"/>
    <n v="1911"/>
    <n v="3"/>
    <s v="Male"/>
    <n v="83"/>
    <n v="3"/>
    <n v="3"/>
    <s v="Research Director"/>
    <n v="1"/>
    <s v="Married"/>
    <n v="13348"/>
    <n v="14842"/>
    <n v="9"/>
    <s v="No"/>
    <n v="13"/>
    <n v="3"/>
    <n v="2"/>
    <n v="80"/>
    <n v="1"/>
    <n v="18"/>
    <n v="3"/>
    <n v="4"/>
    <n v="13"/>
    <n v="7"/>
    <n v="5"/>
    <n v="7"/>
    <n v="0"/>
    <n v="1"/>
    <s v="35-44"/>
    <s v="Upper Medium"/>
    <s v="11-20 Years"/>
  </r>
  <r>
    <n v="1359"/>
    <n v="31"/>
    <x v="1"/>
    <s v="Travel_Rarely"/>
    <n v="1079"/>
    <s v="Sales"/>
    <n v="10"/>
    <n v="2"/>
    <s v="Medical"/>
    <n v="1912"/>
    <n v="3"/>
    <s v="Female"/>
    <n v="86"/>
    <n v="3"/>
    <n v="2"/>
    <s v="Sales Executive"/>
    <n v="4"/>
    <s v="Divorced"/>
    <n v="6583"/>
    <n v="20115"/>
    <n v="2"/>
    <s v="Yes"/>
    <n v="11"/>
    <n v="3"/>
    <n v="4"/>
    <n v="80"/>
    <n v="1"/>
    <n v="8"/>
    <n v="2"/>
    <n v="3"/>
    <n v="5"/>
    <n v="2"/>
    <n v="1"/>
    <n v="4"/>
    <n v="0"/>
    <n v="1"/>
    <s v="25-34"/>
    <s v="Medium"/>
    <s v="0-5 Years"/>
  </r>
  <r>
    <n v="1360"/>
    <n v="34"/>
    <x v="1"/>
    <s v="Travel_Rarely"/>
    <n v="735"/>
    <s v="Sales"/>
    <n v="3"/>
    <n v="1"/>
    <s v="Medical"/>
    <n v="1915"/>
    <n v="4"/>
    <s v="Female"/>
    <n v="75"/>
    <n v="2"/>
    <n v="2"/>
    <s v="Sales Executive"/>
    <n v="4"/>
    <s v="Married"/>
    <n v="8103"/>
    <n v="16495"/>
    <n v="3"/>
    <s v="Yes"/>
    <n v="12"/>
    <n v="3"/>
    <n v="3"/>
    <n v="80"/>
    <n v="0"/>
    <n v="9"/>
    <n v="3"/>
    <n v="2"/>
    <n v="4"/>
    <n v="2"/>
    <n v="0"/>
    <n v="1"/>
    <n v="0"/>
    <n v="1"/>
    <s v="25-34"/>
    <s v="Medium"/>
    <s v="0-5 Years"/>
  </r>
  <r>
    <n v="1361"/>
    <n v="31"/>
    <x v="1"/>
    <s v="Travel_Rarely"/>
    <n v="471"/>
    <s v="Research &amp; Development"/>
    <n v="4"/>
    <n v="3"/>
    <s v="Medical"/>
    <n v="1916"/>
    <n v="1"/>
    <s v="Female"/>
    <n v="62"/>
    <n v="4"/>
    <n v="1"/>
    <s v="Laboratory Technician"/>
    <n v="3"/>
    <s v="Divorced"/>
    <n v="3978"/>
    <n v="16031"/>
    <n v="8"/>
    <s v="No"/>
    <n v="12"/>
    <n v="3"/>
    <n v="2"/>
    <n v="80"/>
    <n v="1"/>
    <n v="4"/>
    <n v="0"/>
    <n v="2"/>
    <n v="2"/>
    <n v="2"/>
    <n v="2"/>
    <n v="2"/>
    <n v="0"/>
    <n v="1"/>
    <s v="25-34"/>
    <s v="Low"/>
    <s v="0-5 Years"/>
  </r>
  <r>
    <n v="1362"/>
    <n v="26"/>
    <x v="1"/>
    <s v="Travel_Frequently"/>
    <n v="1096"/>
    <s v="Research &amp; Development"/>
    <n v="6"/>
    <n v="3"/>
    <s v="Other"/>
    <n v="1918"/>
    <n v="3"/>
    <s v="Male"/>
    <n v="61"/>
    <n v="4"/>
    <n v="1"/>
    <s v="Laboratory Technician"/>
    <n v="4"/>
    <s v="Married"/>
    <n v="2544"/>
    <n v="7102"/>
    <n v="0"/>
    <s v="No"/>
    <n v="18"/>
    <n v="3"/>
    <n v="1"/>
    <n v="80"/>
    <n v="1"/>
    <n v="8"/>
    <n v="3"/>
    <n v="3"/>
    <n v="7"/>
    <n v="7"/>
    <n v="7"/>
    <n v="7"/>
    <n v="0"/>
    <n v="1"/>
    <s v="25-34"/>
    <s v="Low"/>
    <s v="6-10 Years"/>
  </r>
  <r>
    <n v="1363"/>
    <n v="45"/>
    <x v="1"/>
    <s v="Travel_Frequently"/>
    <n v="1297"/>
    <s v="Research &amp; Development"/>
    <n v="1"/>
    <n v="4"/>
    <s v="Medical"/>
    <n v="1922"/>
    <n v="2"/>
    <s v="Male"/>
    <n v="44"/>
    <n v="3"/>
    <n v="2"/>
    <s v="Healthcare Representative"/>
    <n v="3"/>
    <s v="Single"/>
    <n v="5399"/>
    <n v="14511"/>
    <n v="4"/>
    <s v="No"/>
    <n v="12"/>
    <n v="3"/>
    <n v="3"/>
    <n v="80"/>
    <n v="0"/>
    <n v="12"/>
    <n v="3"/>
    <n v="3"/>
    <n v="4"/>
    <n v="2"/>
    <n v="0"/>
    <n v="3"/>
    <n v="0"/>
    <n v="1"/>
    <s v="45-54"/>
    <s v="Medium"/>
    <s v="0-5 Years"/>
  </r>
  <r>
    <n v="1364"/>
    <n v="33"/>
    <x v="1"/>
    <s v="Travel_Rarely"/>
    <n v="217"/>
    <s v="Sales"/>
    <n v="10"/>
    <n v="4"/>
    <s v="Marketing"/>
    <n v="1924"/>
    <n v="2"/>
    <s v="Male"/>
    <n v="43"/>
    <n v="3"/>
    <n v="2"/>
    <s v="Sales Executive"/>
    <n v="3"/>
    <s v="Single"/>
    <n v="5487"/>
    <n v="10410"/>
    <n v="1"/>
    <s v="No"/>
    <n v="14"/>
    <n v="3"/>
    <n v="2"/>
    <n v="80"/>
    <n v="0"/>
    <n v="10"/>
    <n v="2"/>
    <n v="2"/>
    <n v="10"/>
    <n v="4"/>
    <n v="0"/>
    <n v="9"/>
    <n v="0"/>
    <n v="1"/>
    <s v="25-34"/>
    <s v="Medium"/>
    <s v="6-10 Years"/>
  </r>
  <r>
    <n v="1365"/>
    <n v="28"/>
    <x v="1"/>
    <s v="Travel_Frequently"/>
    <n v="783"/>
    <s v="Sales"/>
    <n v="1"/>
    <n v="2"/>
    <s v="Life Sciences"/>
    <n v="1927"/>
    <n v="3"/>
    <s v="Male"/>
    <n v="42"/>
    <n v="2"/>
    <n v="2"/>
    <s v="Sales Executive"/>
    <n v="4"/>
    <s v="Married"/>
    <n v="6834"/>
    <n v="19255"/>
    <n v="1"/>
    <s v="Yes"/>
    <n v="12"/>
    <n v="3"/>
    <n v="3"/>
    <n v="80"/>
    <n v="1"/>
    <n v="7"/>
    <n v="2"/>
    <n v="3"/>
    <n v="7"/>
    <n v="7"/>
    <n v="0"/>
    <n v="7"/>
    <n v="0"/>
    <n v="1"/>
    <s v="25-34"/>
    <s v="Medium"/>
    <s v="6-10 Years"/>
  </r>
  <r>
    <n v="1366"/>
    <n v="29"/>
    <x v="0"/>
    <s v="Travel_Frequently"/>
    <n v="746"/>
    <s v="Sales"/>
    <n v="24"/>
    <n v="3"/>
    <s v="Technical Degree"/>
    <n v="1928"/>
    <n v="3"/>
    <s v="Male"/>
    <n v="45"/>
    <n v="4"/>
    <n v="1"/>
    <s v="Sales Representative"/>
    <n v="1"/>
    <s v="Single"/>
    <n v="1091"/>
    <n v="10642"/>
    <n v="1"/>
    <s v="No"/>
    <n v="17"/>
    <n v="3"/>
    <n v="4"/>
    <n v="80"/>
    <n v="0"/>
    <n v="1"/>
    <n v="3"/>
    <n v="3"/>
    <n v="1"/>
    <n v="0"/>
    <n v="0"/>
    <n v="0"/>
    <n v="1"/>
    <n v="0"/>
    <s v="25-34"/>
    <s v="Low"/>
    <s v="0-5 Years"/>
  </r>
  <r>
    <n v="1367"/>
    <n v="39"/>
    <x v="1"/>
    <s v="Non-Travel"/>
    <n v="1251"/>
    <s v="Sales"/>
    <n v="21"/>
    <n v="4"/>
    <s v="Life Sciences"/>
    <n v="1929"/>
    <n v="1"/>
    <s v="Female"/>
    <n v="32"/>
    <n v="1"/>
    <n v="2"/>
    <s v="Sales Executive"/>
    <n v="3"/>
    <s v="Married"/>
    <n v="5736"/>
    <n v="3987"/>
    <n v="6"/>
    <s v="No"/>
    <n v="19"/>
    <n v="3"/>
    <n v="3"/>
    <n v="80"/>
    <n v="1"/>
    <n v="10"/>
    <n v="1"/>
    <n v="3"/>
    <n v="3"/>
    <n v="2"/>
    <n v="1"/>
    <n v="2"/>
    <n v="0"/>
    <n v="1"/>
    <s v="35-44"/>
    <s v="Medium"/>
    <s v="0-5 Years"/>
  </r>
  <r>
    <n v="1368"/>
    <n v="27"/>
    <x v="1"/>
    <s v="Travel_Rarely"/>
    <n v="1354"/>
    <s v="Research &amp; Development"/>
    <n v="2"/>
    <n v="4"/>
    <s v="Technical Degree"/>
    <n v="1931"/>
    <n v="2"/>
    <s v="Male"/>
    <n v="41"/>
    <n v="3"/>
    <n v="1"/>
    <s v="Research Scientist"/>
    <n v="2"/>
    <s v="Married"/>
    <n v="2226"/>
    <n v="6073"/>
    <n v="1"/>
    <s v="No"/>
    <n v="11"/>
    <n v="3"/>
    <n v="3"/>
    <n v="80"/>
    <n v="1"/>
    <n v="6"/>
    <n v="3"/>
    <n v="2"/>
    <n v="5"/>
    <n v="3"/>
    <n v="1"/>
    <n v="2"/>
    <n v="0"/>
    <n v="1"/>
    <s v="25-34"/>
    <s v="Low"/>
    <s v="0-5 Years"/>
  </r>
  <r>
    <n v="1369"/>
    <n v="34"/>
    <x v="1"/>
    <s v="Travel_Frequently"/>
    <n v="735"/>
    <s v="Research &amp; Development"/>
    <n v="22"/>
    <n v="4"/>
    <s v="Other"/>
    <n v="1932"/>
    <n v="3"/>
    <s v="Male"/>
    <n v="86"/>
    <n v="2"/>
    <n v="2"/>
    <s v="Research Scientist"/>
    <n v="4"/>
    <s v="Married"/>
    <n v="5747"/>
    <n v="26496"/>
    <n v="1"/>
    <s v="Yes"/>
    <n v="15"/>
    <n v="3"/>
    <n v="2"/>
    <n v="80"/>
    <n v="0"/>
    <n v="16"/>
    <n v="3"/>
    <n v="3"/>
    <n v="15"/>
    <n v="10"/>
    <n v="6"/>
    <n v="11"/>
    <n v="0"/>
    <n v="1"/>
    <s v="25-34"/>
    <s v="Medium"/>
    <s v="11-20 Years"/>
  </r>
  <r>
    <n v="1370"/>
    <n v="28"/>
    <x v="0"/>
    <s v="Travel_Rarely"/>
    <n v="1475"/>
    <s v="Sales"/>
    <n v="13"/>
    <n v="2"/>
    <s v="Marketing"/>
    <n v="1933"/>
    <n v="4"/>
    <s v="Female"/>
    <n v="84"/>
    <n v="3"/>
    <n v="2"/>
    <s v="Sales Executive"/>
    <n v="3"/>
    <s v="Single"/>
    <n v="9854"/>
    <n v="23352"/>
    <n v="3"/>
    <s v="Yes"/>
    <n v="11"/>
    <n v="3"/>
    <n v="4"/>
    <n v="80"/>
    <n v="0"/>
    <n v="6"/>
    <n v="0"/>
    <n v="3"/>
    <n v="2"/>
    <n v="0"/>
    <n v="2"/>
    <n v="2"/>
    <n v="1"/>
    <n v="0"/>
    <s v="25-34"/>
    <s v="Medium"/>
    <s v="0-5 Years"/>
  </r>
  <r>
    <n v="1371"/>
    <n v="47"/>
    <x v="1"/>
    <s v="Non-Travel"/>
    <n v="1169"/>
    <s v="Research &amp; Development"/>
    <n v="14"/>
    <n v="4"/>
    <s v="Technical Degree"/>
    <n v="1934"/>
    <n v="3"/>
    <s v="Male"/>
    <n v="64"/>
    <n v="3"/>
    <n v="2"/>
    <s v="Research Scientist"/>
    <n v="2"/>
    <s v="Married"/>
    <n v="5467"/>
    <n v="2125"/>
    <n v="8"/>
    <s v="No"/>
    <n v="18"/>
    <n v="3"/>
    <n v="3"/>
    <n v="80"/>
    <n v="1"/>
    <n v="16"/>
    <n v="4"/>
    <n v="4"/>
    <n v="8"/>
    <n v="7"/>
    <n v="1"/>
    <n v="7"/>
    <n v="0"/>
    <n v="1"/>
    <s v="45-54"/>
    <s v="Medium"/>
    <s v="6-10 Years"/>
  </r>
  <r>
    <n v="1372"/>
    <n v="56"/>
    <x v="1"/>
    <s v="Travel_Rarely"/>
    <n v="1443"/>
    <s v="Sales"/>
    <n v="11"/>
    <n v="5"/>
    <s v="Marketing"/>
    <n v="1935"/>
    <n v="4"/>
    <s v="Female"/>
    <n v="89"/>
    <n v="2"/>
    <n v="2"/>
    <s v="Sales Executive"/>
    <n v="1"/>
    <s v="Married"/>
    <n v="5380"/>
    <n v="20328"/>
    <n v="4"/>
    <s v="No"/>
    <n v="16"/>
    <n v="3"/>
    <n v="3"/>
    <n v="80"/>
    <n v="1"/>
    <n v="6"/>
    <n v="3"/>
    <n v="3"/>
    <n v="0"/>
    <n v="0"/>
    <n v="0"/>
    <n v="0"/>
    <n v="0"/>
    <n v="1"/>
    <s v="55+"/>
    <s v="Medium"/>
    <s v="0-5 Years"/>
  </r>
  <r>
    <n v="1373"/>
    <n v="39"/>
    <x v="1"/>
    <s v="Travel_Rarely"/>
    <n v="867"/>
    <s v="Research &amp; Development"/>
    <n v="9"/>
    <n v="2"/>
    <s v="Medical"/>
    <n v="1936"/>
    <n v="1"/>
    <s v="Male"/>
    <n v="87"/>
    <n v="3"/>
    <n v="2"/>
    <s v="Manufacturing Director"/>
    <n v="1"/>
    <s v="Married"/>
    <n v="5151"/>
    <n v="12315"/>
    <n v="1"/>
    <s v="No"/>
    <n v="25"/>
    <n v="4"/>
    <n v="4"/>
    <n v="80"/>
    <n v="1"/>
    <n v="10"/>
    <n v="3"/>
    <n v="3"/>
    <n v="10"/>
    <n v="0"/>
    <n v="7"/>
    <n v="9"/>
    <n v="0"/>
    <n v="1"/>
    <s v="35-44"/>
    <s v="Medium"/>
    <s v="6-10 Years"/>
  </r>
  <r>
    <n v="1374"/>
    <n v="38"/>
    <x v="1"/>
    <s v="Travel_Frequently"/>
    <n v="1394"/>
    <s v="Research &amp; Development"/>
    <n v="8"/>
    <n v="3"/>
    <s v="Medical"/>
    <n v="1937"/>
    <n v="4"/>
    <s v="Female"/>
    <n v="58"/>
    <n v="2"/>
    <n v="2"/>
    <s v="Research Scientist"/>
    <n v="2"/>
    <s v="Divorced"/>
    <n v="2133"/>
    <n v="18115"/>
    <n v="1"/>
    <s v="Yes"/>
    <n v="16"/>
    <n v="3"/>
    <n v="3"/>
    <n v="80"/>
    <n v="1"/>
    <n v="20"/>
    <n v="3"/>
    <n v="3"/>
    <n v="20"/>
    <n v="11"/>
    <n v="0"/>
    <n v="7"/>
    <n v="0"/>
    <n v="1"/>
    <s v="35-44"/>
    <s v="Low"/>
    <s v="11-20 Years"/>
  </r>
  <r>
    <n v="1375"/>
    <n v="58"/>
    <x v="1"/>
    <s v="Travel_Rarely"/>
    <n v="605"/>
    <s v="Sales"/>
    <n v="21"/>
    <n v="3"/>
    <s v="Life Sciences"/>
    <n v="1938"/>
    <n v="4"/>
    <s v="Female"/>
    <n v="72"/>
    <n v="3"/>
    <n v="4"/>
    <s v="Manager"/>
    <n v="4"/>
    <s v="Married"/>
    <n v="17875"/>
    <n v="11761"/>
    <n v="4"/>
    <s v="Yes"/>
    <n v="13"/>
    <n v="3"/>
    <n v="3"/>
    <n v="80"/>
    <n v="1"/>
    <n v="29"/>
    <n v="2"/>
    <n v="2"/>
    <n v="1"/>
    <n v="0"/>
    <n v="0"/>
    <n v="0"/>
    <n v="0"/>
    <n v="1"/>
    <s v="55+"/>
    <s v="High"/>
    <s v="0-5 Years"/>
  </r>
  <r>
    <n v="1376"/>
    <n v="32"/>
    <x v="0"/>
    <s v="Travel_Frequently"/>
    <n v="238"/>
    <s v="Research &amp; Development"/>
    <n v="5"/>
    <n v="2"/>
    <s v="Life Sciences"/>
    <n v="1939"/>
    <n v="1"/>
    <s v="Female"/>
    <n v="47"/>
    <n v="4"/>
    <n v="1"/>
    <s v="Research Scientist"/>
    <n v="3"/>
    <s v="Single"/>
    <n v="2432"/>
    <n v="15318"/>
    <n v="3"/>
    <s v="Yes"/>
    <n v="14"/>
    <n v="3"/>
    <n v="1"/>
    <n v="80"/>
    <n v="0"/>
    <n v="8"/>
    <n v="2"/>
    <n v="3"/>
    <n v="4"/>
    <n v="1"/>
    <n v="0"/>
    <n v="3"/>
    <n v="1"/>
    <n v="0"/>
    <s v="25-34"/>
    <s v="Low"/>
    <s v="0-5 Years"/>
  </r>
  <r>
    <n v="1377"/>
    <n v="38"/>
    <x v="1"/>
    <s v="Travel_Rarely"/>
    <n v="1206"/>
    <s v="Research &amp; Development"/>
    <n v="9"/>
    <n v="2"/>
    <s v="Life Sciences"/>
    <n v="1940"/>
    <n v="2"/>
    <s v="Male"/>
    <n v="71"/>
    <n v="3"/>
    <n v="1"/>
    <s v="Research Scientist"/>
    <n v="4"/>
    <s v="Divorced"/>
    <n v="4771"/>
    <n v="14293"/>
    <n v="2"/>
    <s v="No"/>
    <n v="19"/>
    <n v="3"/>
    <n v="4"/>
    <n v="80"/>
    <n v="2"/>
    <n v="10"/>
    <n v="0"/>
    <n v="4"/>
    <n v="5"/>
    <n v="2"/>
    <n v="0"/>
    <n v="3"/>
    <n v="0"/>
    <n v="1"/>
    <s v="35-44"/>
    <s v="Low"/>
    <s v="0-5 Years"/>
  </r>
  <r>
    <n v="1378"/>
    <n v="49"/>
    <x v="1"/>
    <s v="Travel_Frequently"/>
    <n v="1064"/>
    <s v="Research &amp; Development"/>
    <n v="2"/>
    <n v="1"/>
    <s v="Life Sciences"/>
    <n v="1941"/>
    <n v="2"/>
    <s v="Male"/>
    <n v="42"/>
    <n v="3"/>
    <n v="5"/>
    <s v="Research Director"/>
    <n v="4"/>
    <s v="Married"/>
    <n v="19161"/>
    <n v="13738"/>
    <n v="3"/>
    <s v="No"/>
    <n v="15"/>
    <n v="3"/>
    <n v="4"/>
    <n v="80"/>
    <n v="0"/>
    <n v="28"/>
    <n v="3"/>
    <n v="3"/>
    <n v="5"/>
    <n v="4"/>
    <n v="4"/>
    <n v="3"/>
    <n v="0"/>
    <n v="1"/>
    <s v="45-54"/>
    <s v="High"/>
    <s v="0-5 Years"/>
  </r>
  <r>
    <n v="1379"/>
    <n v="42"/>
    <x v="1"/>
    <s v="Travel_Rarely"/>
    <n v="419"/>
    <s v="Sales"/>
    <n v="12"/>
    <n v="4"/>
    <s v="Marketing"/>
    <n v="1943"/>
    <n v="2"/>
    <s v="Male"/>
    <n v="77"/>
    <n v="3"/>
    <n v="2"/>
    <s v="Sales Executive"/>
    <n v="4"/>
    <s v="Divorced"/>
    <n v="5087"/>
    <n v="2900"/>
    <n v="3"/>
    <s v="Yes"/>
    <n v="12"/>
    <n v="3"/>
    <n v="3"/>
    <n v="80"/>
    <n v="2"/>
    <n v="14"/>
    <n v="4"/>
    <n v="3"/>
    <n v="0"/>
    <n v="0"/>
    <n v="0"/>
    <n v="0"/>
    <n v="0"/>
    <n v="1"/>
    <s v="35-44"/>
    <s v="Medium"/>
    <s v="0-5 Years"/>
  </r>
  <r>
    <n v="1380"/>
    <n v="27"/>
    <x v="0"/>
    <s v="Travel_Frequently"/>
    <n v="1337"/>
    <s v="Human Resources"/>
    <n v="22"/>
    <n v="3"/>
    <s v="Human Resources"/>
    <n v="1944"/>
    <n v="1"/>
    <s v="Female"/>
    <n v="58"/>
    <n v="2"/>
    <n v="1"/>
    <s v="Human Resources"/>
    <n v="2"/>
    <s v="Married"/>
    <n v="2863"/>
    <n v="19555"/>
    <n v="1"/>
    <s v="No"/>
    <n v="12"/>
    <n v="3"/>
    <n v="1"/>
    <n v="80"/>
    <n v="0"/>
    <n v="1"/>
    <n v="2"/>
    <n v="3"/>
    <n v="1"/>
    <n v="0"/>
    <n v="0"/>
    <n v="0"/>
    <n v="1"/>
    <n v="0"/>
    <s v="25-34"/>
    <s v="Low"/>
    <s v="0-5 Years"/>
  </r>
  <r>
    <n v="1381"/>
    <n v="35"/>
    <x v="1"/>
    <s v="Travel_Rarely"/>
    <n v="682"/>
    <s v="Sales"/>
    <n v="18"/>
    <n v="4"/>
    <s v="Medical"/>
    <n v="1945"/>
    <n v="2"/>
    <s v="Male"/>
    <n v="71"/>
    <n v="3"/>
    <n v="2"/>
    <s v="Sales Executive"/>
    <n v="1"/>
    <s v="Married"/>
    <n v="5561"/>
    <n v="15975"/>
    <n v="0"/>
    <s v="No"/>
    <n v="16"/>
    <n v="3"/>
    <n v="4"/>
    <n v="80"/>
    <n v="1"/>
    <n v="6"/>
    <n v="2"/>
    <n v="1"/>
    <n v="5"/>
    <n v="3"/>
    <n v="0"/>
    <n v="4"/>
    <n v="0"/>
    <n v="1"/>
    <s v="35-44"/>
    <s v="Medium"/>
    <s v="0-5 Years"/>
  </r>
  <r>
    <n v="1382"/>
    <n v="28"/>
    <x v="1"/>
    <s v="Non-Travel"/>
    <n v="1103"/>
    <s v="Research &amp; Development"/>
    <n v="16"/>
    <n v="3"/>
    <s v="Medical"/>
    <n v="1947"/>
    <n v="3"/>
    <s v="Male"/>
    <n v="49"/>
    <n v="3"/>
    <n v="1"/>
    <s v="Research Scientist"/>
    <n v="3"/>
    <s v="Single"/>
    <n v="2144"/>
    <n v="2122"/>
    <n v="1"/>
    <s v="No"/>
    <n v="14"/>
    <n v="3"/>
    <n v="3"/>
    <n v="80"/>
    <n v="0"/>
    <n v="5"/>
    <n v="3"/>
    <n v="2"/>
    <n v="5"/>
    <n v="3"/>
    <n v="1"/>
    <n v="4"/>
    <n v="0"/>
    <n v="1"/>
    <s v="25-34"/>
    <s v="Low"/>
    <s v="0-5 Years"/>
  </r>
  <r>
    <n v="1383"/>
    <n v="31"/>
    <x v="1"/>
    <s v="Non-Travel"/>
    <n v="976"/>
    <s v="Research &amp; Development"/>
    <n v="3"/>
    <n v="2"/>
    <s v="Medical"/>
    <n v="1948"/>
    <n v="3"/>
    <s v="Male"/>
    <n v="48"/>
    <n v="3"/>
    <n v="1"/>
    <s v="Research Scientist"/>
    <n v="1"/>
    <s v="Divorced"/>
    <n v="3065"/>
    <n v="3995"/>
    <n v="1"/>
    <s v="Yes"/>
    <n v="13"/>
    <n v="3"/>
    <n v="4"/>
    <n v="80"/>
    <n v="1"/>
    <n v="4"/>
    <n v="3"/>
    <n v="4"/>
    <n v="4"/>
    <n v="2"/>
    <n v="2"/>
    <n v="3"/>
    <n v="0"/>
    <n v="1"/>
    <s v="25-34"/>
    <s v="Low"/>
    <s v="0-5 Years"/>
  </r>
  <r>
    <n v="1384"/>
    <n v="36"/>
    <x v="1"/>
    <s v="Non-Travel"/>
    <n v="1351"/>
    <s v="Research &amp; Development"/>
    <n v="9"/>
    <n v="4"/>
    <s v="Life Sciences"/>
    <n v="1949"/>
    <n v="1"/>
    <s v="Male"/>
    <n v="66"/>
    <n v="4"/>
    <n v="1"/>
    <s v="Laboratory Technician"/>
    <n v="2"/>
    <s v="Married"/>
    <n v="2810"/>
    <n v="9238"/>
    <n v="1"/>
    <s v="No"/>
    <n v="22"/>
    <n v="4"/>
    <n v="2"/>
    <n v="80"/>
    <n v="0"/>
    <n v="5"/>
    <n v="3"/>
    <n v="3"/>
    <n v="5"/>
    <n v="4"/>
    <n v="0"/>
    <n v="2"/>
    <n v="0"/>
    <n v="1"/>
    <s v="35-44"/>
    <s v="Low"/>
    <s v="0-5 Years"/>
  </r>
  <r>
    <n v="1385"/>
    <n v="34"/>
    <x v="1"/>
    <s v="Travel_Rarely"/>
    <n v="937"/>
    <s v="Sales"/>
    <n v="1"/>
    <n v="3"/>
    <s v="Marketing"/>
    <n v="1950"/>
    <n v="1"/>
    <s v="Male"/>
    <n v="32"/>
    <n v="3"/>
    <n v="3"/>
    <s v="Sales Executive"/>
    <n v="4"/>
    <s v="Single"/>
    <n v="9888"/>
    <n v="6770"/>
    <n v="1"/>
    <s v="No"/>
    <n v="21"/>
    <n v="4"/>
    <n v="1"/>
    <n v="80"/>
    <n v="0"/>
    <n v="14"/>
    <n v="3"/>
    <n v="2"/>
    <n v="14"/>
    <n v="8"/>
    <n v="2"/>
    <n v="1"/>
    <n v="0"/>
    <n v="1"/>
    <s v="25-34"/>
    <s v="Medium"/>
    <s v="11-20 Years"/>
  </r>
  <r>
    <n v="1386"/>
    <n v="34"/>
    <x v="1"/>
    <s v="Travel_Rarely"/>
    <n v="1239"/>
    <s v="Sales"/>
    <n v="13"/>
    <n v="4"/>
    <s v="Medical"/>
    <n v="1951"/>
    <n v="4"/>
    <s v="Male"/>
    <n v="39"/>
    <n v="3"/>
    <n v="3"/>
    <s v="Sales Executive"/>
    <n v="3"/>
    <s v="Divorced"/>
    <n v="8628"/>
    <n v="22914"/>
    <n v="1"/>
    <s v="No"/>
    <n v="18"/>
    <n v="3"/>
    <n v="3"/>
    <n v="80"/>
    <n v="1"/>
    <n v="9"/>
    <n v="2"/>
    <n v="2"/>
    <n v="8"/>
    <n v="7"/>
    <n v="1"/>
    <n v="1"/>
    <n v="0"/>
    <n v="1"/>
    <s v="25-34"/>
    <s v="Medium"/>
    <s v="6-10 Years"/>
  </r>
  <r>
    <n v="1387"/>
    <n v="26"/>
    <x v="1"/>
    <s v="Travel_Rarely"/>
    <n v="157"/>
    <s v="Research &amp; Development"/>
    <n v="1"/>
    <n v="3"/>
    <s v="Medical"/>
    <n v="1952"/>
    <n v="3"/>
    <s v="Male"/>
    <n v="95"/>
    <n v="3"/>
    <n v="1"/>
    <s v="Laboratory Technician"/>
    <n v="1"/>
    <s v="Single"/>
    <n v="2867"/>
    <n v="20006"/>
    <n v="0"/>
    <s v="No"/>
    <n v="13"/>
    <n v="3"/>
    <n v="4"/>
    <n v="80"/>
    <n v="0"/>
    <n v="8"/>
    <n v="6"/>
    <n v="2"/>
    <n v="7"/>
    <n v="7"/>
    <n v="7"/>
    <n v="6"/>
    <n v="0"/>
    <n v="1"/>
    <s v="25-34"/>
    <s v="Low"/>
    <s v="6-10 Years"/>
  </r>
  <r>
    <n v="1388"/>
    <n v="29"/>
    <x v="1"/>
    <s v="Travel_Rarely"/>
    <n v="136"/>
    <s v="Research &amp; Development"/>
    <n v="1"/>
    <n v="3"/>
    <s v="Life Sciences"/>
    <n v="1954"/>
    <n v="1"/>
    <s v="Male"/>
    <n v="89"/>
    <n v="3"/>
    <n v="2"/>
    <s v="Healthcare Representative"/>
    <n v="1"/>
    <s v="Married"/>
    <n v="5373"/>
    <n v="6225"/>
    <n v="0"/>
    <s v="No"/>
    <n v="12"/>
    <n v="3"/>
    <n v="1"/>
    <n v="80"/>
    <n v="1"/>
    <n v="6"/>
    <n v="5"/>
    <n v="2"/>
    <n v="5"/>
    <n v="3"/>
    <n v="0"/>
    <n v="2"/>
    <n v="0"/>
    <n v="1"/>
    <s v="25-34"/>
    <s v="Medium"/>
    <s v="0-5 Years"/>
  </r>
  <r>
    <n v="1389"/>
    <n v="32"/>
    <x v="1"/>
    <s v="Non-Travel"/>
    <n v="1146"/>
    <s v="Research &amp; Development"/>
    <n v="15"/>
    <n v="4"/>
    <s v="Medical"/>
    <n v="1955"/>
    <n v="3"/>
    <s v="Female"/>
    <n v="34"/>
    <n v="3"/>
    <n v="2"/>
    <s v="Healthcare Representative"/>
    <n v="4"/>
    <s v="Divorced"/>
    <n v="6667"/>
    <n v="16542"/>
    <n v="5"/>
    <s v="No"/>
    <n v="18"/>
    <n v="3"/>
    <n v="2"/>
    <n v="80"/>
    <n v="1"/>
    <n v="9"/>
    <n v="6"/>
    <n v="3"/>
    <n v="5"/>
    <n v="1"/>
    <n v="1"/>
    <n v="2"/>
    <n v="0"/>
    <n v="1"/>
    <s v="25-34"/>
    <s v="Medium"/>
    <s v="0-5 Years"/>
  </r>
  <r>
    <n v="1390"/>
    <n v="31"/>
    <x v="1"/>
    <s v="Travel_Frequently"/>
    <n v="1125"/>
    <s v="Research &amp; Development"/>
    <n v="1"/>
    <n v="3"/>
    <s v="Life Sciences"/>
    <n v="1956"/>
    <n v="4"/>
    <s v="Male"/>
    <n v="48"/>
    <n v="1"/>
    <n v="2"/>
    <s v="Research Scientist"/>
    <n v="1"/>
    <s v="Married"/>
    <n v="5003"/>
    <n v="5771"/>
    <n v="1"/>
    <s v="No"/>
    <n v="21"/>
    <n v="4"/>
    <n v="2"/>
    <n v="80"/>
    <n v="0"/>
    <n v="10"/>
    <n v="6"/>
    <n v="3"/>
    <n v="10"/>
    <n v="8"/>
    <n v="8"/>
    <n v="7"/>
    <n v="0"/>
    <n v="1"/>
    <s v="25-34"/>
    <s v="Medium"/>
    <s v="6-10 Years"/>
  </r>
  <r>
    <n v="1391"/>
    <n v="28"/>
    <x v="0"/>
    <s v="Travel_Rarely"/>
    <n v="1404"/>
    <s v="Research &amp; Development"/>
    <n v="17"/>
    <n v="3"/>
    <s v="Technical Degree"/>
    <n v="1960"/>
    <n v="3"/>
    <s v="Male"/>
    <n v="32"/>
    <n v="2"/>
    <n v="1"/>
    <s v="Laboratory Technician"/>
    <n v="4"/>
    <s v="Divorced"/>
    <n v="2367"/>
    <n v="18779"/>
    <n v="5"/>
    <s v="No"/>
    <n v="12"/>
    <n v="3"/>
    <n v="1"/>
    <n v="80"/>
    <n v="1"/>
    <n v="6"/>
    <n v="2"/>
    <n v="2"/>
    <n v="4"/>
    <n v="1"/>
    <n v="0"/>
    <n v="3"/>
    <n v="1"/>
    <n v="0"/>
    <s v="25-34"/>
    <s v="Low"/>
    <s v="0-5 Years"/>
  </r>
  <r>
    <n v="1392"/>
    <n v="38"/>
    <x v="1"/>
    <s v="Travel_Rarely"/>
    <n v="1404"/>
    <s v="Sales"/>
    <n v="1"/>
    <n v="3"/>
    <s v="Life Sciences"/>
    <n v="1961"/>
    <n v="1"/>
    <s v="Male"/>
    <n v="59"/>
    <n v="2"/>
    <n v="1"/>
    <s v="Sales Representative"/>
    <n v="1"/>
    <s v="Single"/>
    <n v="2858"/>
    <n v="11473"/>
    <n v="4"/>
    <s v="No"/>
    <n v="14"/>
    <n v="3"/>
    <n v="1"/>
    <n v="80"/>
    <n v="0"/>
    <n v="20"/>
    <n v="3"/>
    <n v="2"/>
    <n v="1"/>
    <n v="0"/>
    <n v="0"/>
    <n v="0"/>
    <n v="0"/>
    <n v="1"/>
    <s v="35-44"/>
    <s v="Low"/>
    <s v="0-5 Years"/>
  </r>
  <r>
    <n v="1393"/>
    <n v="35"/>
    <x v="1"/>
    <s v="Travel_Rarely"/>
    <n v="1224"/>
    <s v="Sales"/>
    <n v="7"/>
    <n v="4"/>
    <s v="Life Sciences"/>
    <n v="1962"/>
    <n v="3"/>
    <s v="Female"/>
    <n v="55"/>
    <n v="3"/>
    <n v="2"/>
    <s v="Sales Executive"/>
    <n v="4"/>
    <s v="Married"/>
    <n v="5204"/>
    <n v="13586"/>
    <n v="1"/>
    <s v="Yes"/>
    <n v="11"/>
    <n v="3"/>
    <n v="4"/>
    <n v="80"/>
    <n v="0"/>
    <n v="10"/>
    <n v="2"/>
    <n v="3"/>
    <n v="10"/>
    <n v="8"/>
    <n v="0"/>
    <n v="9"/>
    <n v="0"/>
    <n v="1"/>
    <s v="35-44"/>
    <s v="Medium"/>
    <s v="6-10 Years"/>
  </r>
  <r>
    <n v="1394"/>
    <n v="27"/>
    <x v="1"/>
    <s v="Travel_Rarely"/>
    <n v="954"/>
    <s v="Sales"/>
    <n v="9"/>
    <n v="3"/>
    <s v="Marketing"/>
    <n v="1965"/>
    <n v="4"/>
    <s v="Male"/>
    <n v="44"/>
    <n v="3"/>
    <n v="2"/>
    <s v="Sales Executive"/>
    <n v="4"/>
    <s v="Single"/>
    <n v="4105"/>
    <n v="5099"/>
    <n v="1"/>
    <s v="No"/>
    <n v="14"/>
    <n v="3"/>
    <n v="1"/>
    <n v="80"/>
    <n v="0"/>
    <n v="7"/>
    <n v="5"/>
    <n v="3"/>
    <n v="7"/>
    <n v="7"/>
    <n v="0"/>
    <n v="7"/>
    <n v="0"/>
    <n v="1"/>
    <s v="25-34"/>
    <s v="Low"/>
    <s v="6-10 Years"/>
  </r>
  <r>
    <n v="1395"/>
    <n v="32"/>
    <x v="1"/>
    <s v="Travel_Rarely"/>
    <n v="1373"/>
    <s v="Research &amp; Development"/>
    <n v="5"/>
    <n v="4"/>
    <s v="Life Sciences"/>
    <n v="1966"/>
    <n v="4"/>
    <s v="Male"/>
    <n v="56"/>
    <n v="2"/>
    <n v="2"/>
    <s v="Manufacturing Director"/>
    <n v="4"/>
    <s v="Single"/>
    <n v="9679"/>
    <n v="10138"/>
    <n v="8"/>
    <s v="No"/>
    <n v="24"/>
    <n v="4"/>
    <n v="2"/>
    <n v="80"/>
    <n v="0"/>
    <n v="8"/>
    <n v="1"/>
    <n v="3"/>
    <n v="1"/>
    <n v="0"/>
    <n v="0"/>
    <n v="0"/>
    <n v="0"/>
    <n v="1"/>
    <s v="25-34"/>
    <s v="Medium"/>
    <s v="0-5 Years"/>
  </r>
  <r>
    <n v="1396"/>
    <n v="31"/>
    <x v="0"/>
    <s v="Travel_Frequently"/>
    <n v="754"/>
    <s v="Sales"/>
    <n v="26"/>
    <n v="4"/>
    <s v="Marketing"/>
    <n v="1967"/>
    <n v="1"/>
    <s v="Male"/>
    <n v="63"/>
    <n v="3"/>
    <n v="2"/>
    <s v="Sales Executive"/>
    <n v="4"/>
    <s v="Married"/>
    <n v="5617"/>
    <n v="21075"/>
    <n v="1"/>
    <s v="Yes"/>
    <n v="11"/>
    <n v="3"/>
    <n v="3"/>
    <n v="80"/>
    <n v="0"/>
    <n v="10"/>
    <n v="4"/>
    <n v="3"/>
    <n v="10"/>
    <n v="7"/>
    <n v="0"/>
    <n v="8"/>
    <n v="1"/>
    <n v="0"/>
    <s v="25-34"/>
    <s v="Medium"/>
    <s v="6-10 Years"/>
  </r>
  <r>
    <n v="1397"/>
    <n v="53"/>
    <x v="0"/>
    <s v="Travel_Rarely"/>
    <n v="1168"/>
    <s v="Sales"/>
    <n v="24"/>
    <n v="4"/>
    <s v="Life Sciences"/>
    <n v="1968"/>
    <n v="1"/>
    <s v="Male"/>
    <n v="66"/>
    <n v="3"/>
    <n v="3"/>
    <s v="Sales Executive"/>
    <n v="1"/>
    <s v="Single"/>
    <n v="10448"/>
    <n v="5843"/>
    <n v="6"/>
    <s v="Yes"/>
    <n v="13"/>
    <n v="3"/>
    <n v="2"/>
    <n v="80"/>
    <n v="0"/>
    <n v="15"/>
    <n v="2"/>
    <n v="2"/>
    <n v="2"/>
    <n v="2"/>
    <n v="2"/>
    <n v="2"/>
    <n v="1"/>
    <n v="0"/>
    <s v="45-54"/>
    <s v="Upper Medium"/>
    <s v="0-5 Years"/>
  </r>
  <r>
    <n v="1398"/>
    <n v="54"/>
    <x v="1"/>
    <s v="Travel_Rarely"/>
    <n v="155"/>
    <s v="Research &amp; Development"/>
    <n v="9"/>
    <n v="2"/>
    <s v="Life Sciences"/>
    <n v="1969"/>
    <n v="1"/>
    <s v="Female"/>
    <n v="67"/>
    <n v="3"/>
    <n v="2"/>
    <s v="Research Scientist"/>
    <n v="3"/>
    <s v="Married"/>
    <n v="2897"/>
    <n v="22474"/>
    <n v="3"/>
    <s v="No"/>
    <n v="11"/>
    <n v="3"/>
    <n v="3"/>
    <n v="80"/>
    <n v="2"/>
    <n v="9"/>
    <n v="6"/>
    <n v="2"/>
    <n v="4"/>
    <n v="3"/>
    <n v="2"/>
    <n v="3"/>
    <n v="0"/>
    <n v="1"/>
    <s v="45-54"/>
    <s v="Low"/>
    <s v="0-5 Years"/>
  </r>
  <r>
    <n v="1399"/>
    <n v="33"/>
    <x v="1"/>
    <s v="Travel_Frequently"/>
    <n v="1303"/>
    <s v="Research &amp; Development"/>
    <n v="7"/>
    <n v="2"/>
    <s v="Life Sciences"/>
    <n v="1970"/>
    <n v="4"/>
    <s v="Male"/>
    <n v="36"/>
    <n v="3"/>
    <n v="2"/>
    <s v="Healthcare Representative"/>
    <n v="3"/>
    <s v="Divorced"/>
    <n v="5968"/>
    <n v="18079"/>
    <n v="1"/>
    <s v="No"/>
    <n v="20"/>
    <n v="4"/>
    <n v="3"/>
    <n v="80"/>
    <n v="3"/>
    <n v="9"/>
    <n v="2"/>
    <n v="3"/>
    <n v="9"/>
    <n v="7"/>
    <n v="2"/>
    <n v="8"/>
    <n v="0"/>
    <n v="1"/>
    <s v="25-34"/>
    <s v="Medium"/>
    <s v="6-10 Years"/>
  </r>
  <r>
    <n v="1400"/>
    <n v="43"/>
    <x v="1"/>
    <s v="Travel_Rarely"/>
    <n v="574"/>
    <s v="Research &amp; Development"/>
    <n v="11"/>
    <n v="3"/>
    <s v="Life Sciences"/>
    <n v="1971"/>
    <n v="1"/>
    <s v="Male"/>
    <n v="30"/>
    <n v="3"/>
    <n v="3"/>
    <s v="Healthcare Representative"/>
    <n v="3"/>
    <s v="Married"/>
    <n v="7510"/>
    <n v="16873"/>
    <n v="1"/>
    <s v="No"/>
    <n v="17"/>
    <n v="3"/>
    <n v="2"/>
    <n v="80"/>
    <n v="1"/>
    <n v="10"/>
    <n v="1"/>
    <n v="3"/>
    <n v="10"/>
    <n v="9"/>
    <n v="0"/>
    <n v="9"/>
    <n v="0"/>
    <n v="1"/>
    <s v="35-44"/>
    <s v="Medium"/>
    <s v="6-10 Years"/>
  </r>
  <r>
    <n v="1401"/>
    <n v="38"/>
    <x v="1"/>
    <s v="Travel_Frequently"/>
    <n v="1444"/>
    <s v="Human Resources"/>
    <n v="1"/>
    <n v="4"/>
    <s v="Other"/>
    <n v="1972"/>
    <n v="4"/>
    <s v="Male"/>
    <n v="88"/>
    <n v="3"/>
    <n v="1"/>
    <s v="Human Resources"/>
    <n v="2"/>
    <s v="Married"/>
    <n v="2991"/>
    <n v="5224"/>
    <n v="0"/>
    <s v="Yes"/>
    <n v="11"/>
    <n v="3"/>
    <n v="2"/>
    <n v="80"/>
    <n v="1"/>
    <n v="7"/>
    <n v="2"/>
    <n v="3"/>
    <n v="6"/>
    <n v="2"/>
    <n v="1"/>
    <n v="2"/>
    <n v="0"/>
    <n v="1"/>
    <s v="35-44"/>
    <s v="Low"/>
    <s v="6-10 Years"/>
  </r>
  <r>
    <n v="1402"/>
    <n v="55"/>
    <x v="1"/>
    <s v="Travel_Rarely"/>
    <n v="189"/>
    <s v="Human Resources"/>
    <n v="26"/>
    <n v="4"/>
    <s v="Human Resources"/>
    <n v="1973"/>
    <n v="3"/>
    <s v="Male"/>
    <n v="71"/>
    <n v="4"/>
    <n v="5"/>
    <s v="Manager"/>
    <n v="2"/>
    <s v="Married"/>
    <n v="19636"/>
    <n v="25811"/>
    <n v="4"/>
    <s v="Yes"/>
    <n v="18"/>
    <n v="3"/>
    <n v="1"/>
    <n v="80"/>
    <n v="1"/>
    <n v="35"/>
    <n v="0"/>
    <n v="3"/>
    <n v="10"/>
    <n v="9"/>
    <n v="1"/>
    <n v="4"/>
    <n v="0"/>
    <n v="1"/>
    <s v="55+"/>
    <s v="High"/>
    <s v="6-10 Years"/>
  </r>
  <r>
    <n v="1403"/>
    <n v="31"/>
    <x v="1"/>
    <s v="Travel_Rarely"/>
    <n v="1276"/>
    <s v="Research &amp; Development"/>
    <n v="2"/>
    <n v="1"/>
    <s v="Medical"/>
    <n v="1974"/>
    <n v="4"/>
    <s v="Female"/>
    <n v="59"/>
    <n v="1"/>
    <n v="1"/>
    <s v="Laboratory Technician"/>
    <n v="4"/>
    <s v="Divorced"/>
    <n v="1129"/>
    <n v="17536"/>
    <n v="1"/>
    <s v="Yes"/>
    <n v="11"/>
    <n v="3"/>
    <n v="3"/>
    <n v="80"/>
    <n v="3"/>
    <n v="1"/>
    <n v="4"/>
    <n v="3"/>
    <n v="1"/>
    <n v="0"/>
    <n v="0"/>
    <n v="0"/>
    <n v="0"/>
    <n v="1"/>
    <s v="25-34"/>
    <s v="Low"/>
    <s v="0-5 Years"/>
  </r>
  <r>
    <n v="1404"/>
    <n v="39"/>
    <x v="1"/>
    <s v="Travel_Rarely"/>
    <n v="119"/>
    <s v="Sales"/>
    <n v="15"/>
    <n v="4"/>
    <s v="Marketing"/>
    <n v="1975"/>
    <n v="2"/>
    <s v="Male"/>
    <n v="77"/>
    <n v="3"/>
    <n v="4"/>
    <s v="Sales Executive"/>
    <n v="1"/>
    <s v="Single"/>
    <n v="13341"/>
    <n v="25098"/>
    <n v="0"/>
    <s v="No"/>
    <n v="12"/>
    <n v="3"/>
    <n v="1"/>
    <n v="80"/>
    <n v="0"/>
    <n v="21"/>
    <n v="3"/>
    <n v="3"/>
    <n v="20"/>
    <n v="8"/>
    <n v="11"/>
    <n v="10"/>
    <n v="0"/>
    <n v="1"/>
    <s v="35-44"/>
    <s v="Upper Medium"/>
    <s v="11-20 Years"/>
  </r>
  <r>
    <n v="1405"/>
    <n v="42"/>
    <x v="1"/>
    <s v="Non-Travel"/>
    <n v="335"/>
    <s v="Research &amp; Development"/>
    <n v="23"/>
    <n v="2"/>
    <s v="Life Sciences"/>
    <n v="1976"/>
    <n v="4"/>
    <s v="Male"/>
    <n v="37"/>
    <n v="2"/>
    <n v="2"/>
    <s v="Research Scientist"/>
    <n v="3"/>
    <s v="Single"/>
    <n v="4332"/>
    <n v="14811"/>
    <n v="1"/>
    <s v="No"/>
    <n v="12"/>
    <n v="3"/>
    <n v="4"/>
    <n v="80"/>
    <n v="0"/>
    <n v="20"/>
    <n v="2"/>
    <n v="3"/>
    <n v="20"/>
    <n v="9"/>
    <n v="3"/>
    <n v="7"/>
    <n v="0"/>
    <n v="1"/>
    <s v="35-44"/>
    <s v="Low"/>
    <s v="11-20 Years"/>
  </r>
  <r>
    <n v="1406"/>
    <n v="31"/>
    <x v="1"/>
    <s v="Non-Travel"/>
    <n v="697"/>
    <s v="Research &amp; Development"/>
    <n v="10"/>
    <n v="3"/>
    <s v="Medical"/>
    <n v="1979"/>
    <n v="3"/>
    <s v="Female"/>
    <n v="40"/>
    <n v="3"/>
    <n v="3"/>
    <s v="Research Director"/>
    <n v="3"/>
    <s v="Married"/>
    <n v="11031"/>
    <n v="26862"/>
    <n v="4"/>
    <s v="No"/>
    <n v="20"/>
    <n v="4"/>
    <n v="3"/>
    <n v="80"/>
    <n v="1"/>
    <n v="13"/>
    <n v="2"/>
    <n v="4"/>
    <n v="11"/>
    <n v="7"/>
    <n v="4"/>
    <n v="8"/>
    <n v="0"/>
    <n v="1"/>
    <s v="25-34"/>
    <s v="Upper Medium"/>
    <s v="11-20 Years"/>
  </r>
  <r>
    <n v="1407"/>
    <n v="54"/>
    <x v="1"/>
    <s v="Travel_Rarely"/>
    <n v="157"/>
    <s v="Research &amp; Development"/>
    <n v="10"/>
    <n v="3"/>
    <s v="Medical"/>
    <n v="1980"/>
    <n v="3"/>
    <s v="Female"/>
    <n v="77"/>
    <n v="3"/>
    <n v="2"/>
    <s v="Manufacturing Director"/>
    <n v="1"/>
    <s v="Single"/>
    <n v="4440"/>
    <n v="25198"/>
    <n v="6"/>
    <s v="Yes"/>
    <n v="19"/>
    <n v="3"/>
    <n v="4"/>
    <n v="80"/>
    <n v="0"/>
    <n v="9"/>
    <n v="3"/>
    <n v="3"/>
    <n v="5"/>
    <n v="2"/>
    <n v="1"/>
    <n v="4"/>
    <n v="0"/>
    <n v="1"/>
    <s v="45-54"/>
    <s v="Low"/>
    <s v="0-5 Years"/>
  </r>
  <r>
    <n v="1408"/>
    <n v="24"/>
    <x v="1"/>
    <s v="Travel_Rarely"/>
    <n v="771"/>
    <s v="Research &amp; Development"/>
    <n v="1"/>
    <n v="2"/>
    <s v="Life Sciences"/>
    <n v="1981"/>
    <n v="2"/>
    <s v="Male"/>
    <n v="45"/>
    <n v="2"/>
    <n v="2"/>
    <s v="Healthcare Representative"/>
    <n v="3"/>
    <s v="Single"/>
    <n v="4617"/>
    <n v="14120"/>
    <n v="1"/>
    <s v="No"/>
    <n v="12"/>
    <n v="3"/>
    <n v="2"/>
    <n v="80"/>
    <n v="0"/>
    <n v="4"/>
    <n v="2"/>
    <n v="2"/>
    <n v="4"/>
    <n v="3"/>
    <n v="1"/>
    <n v="2"/>
    <n v="0"/>
    <n v="1"/>
    <s v="Under 25"/>
    <s v="Low"/>
    <s v="0-5 Years"/>
  </r>
  <r>
    <n v="1409"/>
    <n v="23"/>
    <x v="1"/>
    <s v="Travel_Rarely"/>
    <n v="571"/>
    <s v="Research &amp; Development"/>
    <n v="12"/>
    <n v="2"/>
    <s v="Other"/>
    <n v="1982"/>
    <n v="4"/>
    <s v="Male"/>
    <n v="78"/>
    <n v="3"/>
    <n v="1"/>
    <s v="Laboratory Technician"/>
    <n v="4"/>
    <s v="Single"/>
    <n v="2647"/>
    <n v="13672"/>
    <n v="1"/>
    <s v="No"/>
    <n v="13"/>
    <n v="3"/>
    <n v="3"/>
    <n v="80"/>
    <n v="0"/>
    <n v="5"/>
    <n v="6"/>
    <n v="4"/>
    <n v="5"/>
    <n v="2"/>
    <n v="1"/>
    <n v="4"/>
    <n v="0"/>
    <n v="1"/>
    <s v="Under 25"/>
    <s v="Low"/>
    <s v="0-5 Years"/>
  </r>
  <r>
    <n v="1410"/>
    <n v="40"/>
    <x v="1"/>
    <s v="Travel_Frequently"/>
    <n v="692"/>
    <s v="Research &amp; Development"/>
    <n v="11"/>
    <n v="3"/>
    <s v="Technical Degree"/>
    <n v="1985"/>
    <n v="4"/>
    <s v="Female"/>
    <n v="73"/>
    <n v="3"/>
    <n v="2"/>
    <s v="Laboratory Technician"/>
    <n v="3"/>
    <s v="Married"/>
    <n v="6323"/>
    <n v="26849"/>
    <n v="1"/>
    <s v="No"/>
    <n v="11"/>
    <n v="3"/>
    <n v="1"/>
    <n v="80"/>
    <n v="1"/>
    <n v="10"/>
    <n v="2"/>
    <n v="4"/>
    <n v="10"/>
    <n v="9"/>
    <n v="9"/>
    <n v="4"/>
    <n v="0"/>
    <n v="1"/>
    <s v="35-44"/>
    <s v="Medium"/>
    <s v="6-10 Years"/>
  </r>
  <r>
    <n v="1411"/>
    <n v="40"/>
    <x v="1"/>
    <s v="Travel_Rarely"/>
    <n v="444"/>
    <s v="Sales"/>
    <n v="2"/>
    <n v="2"/>
    <s v="Marketing"/>
    <n v="1986"/>
    <n v="2"/>
    <s v="Female"/>
    <n v="92"/>
    <n v="3"/>
    <n v="2"/>
    <s v="Sales Executive"/>
    <n v="2"/>
    <s v="Married"/>
    <n v="5677"/>
    <n v="4258"/>
    <n v="3"/>
    <s v="No"/>
    <n v="14"/>
    <n v="3"/>
    <n v="3"/>
    <n v="80"/>
    <n v="1"/>
    <n v="15"/>
    <n v="4"/>
    <n v="3"/>
    <n v="11"/>
    <n v="8"/>
    <n v="5"/>
    <n v="10"/>
    <n v="0"/>
    <n v="1"/>
    <s v="35-44"/>
    <s v="Medium"/>
    <s v="11-20 Years"/>
  </r>
  <r>
    <n v="1412"/>
    <n v="25"/>
    <x v="1"/>
    <s v="Travel_Rarely"/>
    <n v="309"/>
    <s v="Human Resources"/>
    <n v="2"/>
    <n v="3"/>
    <s v="Human Resources"/>
    <n v="1987"/>
    <n v="3"/>
    <s v="Female"/>
    <n v="82"/>
    <n v="3"/>
    <n v="1"/>
    <s v="Human Resources"/>
    <n v="2"/>
    <s v="Married"/>
    <n v="2187"/>
    <n v="19655"/>
    <n v="4"/>
    <s v="No"/>
    <n v="14"/>
    <n v="3"/>
    <n v="3"/>
    <n v="80"/>
    <n v="0"/>
    <n v="6"/>
    <n v="3"/>
    <n v="3"/>
    <n v="2"/>
    <n v="0"/>
    <n v="1"/>
    <n v="2"/>
    <n v="0"/>
    <n v="1"/>
    <s v="25-34"/>
    <s v="Low"/>
    <s v="0-5 Years"/>
  </r>
  <r>
    <n v="1413"/>
    <n v="30"/>
    <x v="1"/>
    <s v="Travel_Rarely"/>
    <n v="911"/>
    <s v="Research &amp; Development"/>
    <n v="1"/>
    <n v="2"/>
    <s v="Medical"/>
    <n v="1989"/>
    <n v="4"/>
    <s v="Male"/>
    <n v="76"/>
    <n v="3"/>
    <n v="1"/>
    <s v="Laboratory Technician"/>
    <n v="2"/>
    <s v="Married"/>
    <n v="3748"/>
    <n v="4077"/>
    <n v="1"/>
    <s v="No"/>
    <n v="13"/>
    <n v="3"/>
    <n v="3"/>
    <n v="80"/>
    <n v="0"/>
    <n v="12"/>
    <n v="6"/>
    <n v="2"/>
    <n v="12"/>
    <n v="8"/>
    <n v="1"/>
    <n v="7"/>
    <n v="0"/>
    <n v="1"/>
    <s v="25-34"/>
    <s v="Low"/>
    <s v="11-20 Years"/>
  </r>
  <r>
    <n v="1414"/>
    <n v="25"/>
    <x v="1"/>
    <s v="Travel_Rarely"/>
    <n v="977"/>
    <s v="Research &amp; Development"/>
    <n v="2"/>
    <n v="1"/>
    <s v="Other"/>
    <n v="1992"/>
    <n v="4"/>
    <s v="Male"/>
    <n v="57"/>
    <n v="3"/>
    <n v="1"/>
    <s v="Laboratory Technician"/>
    <n v="3"/>
    <s v="Divorced"/>
    <n v="3977"/>
    <n v="7298"/>
    <n v="6"/>
    <s v="Yes"/>
    <n v="19"/>
    <n v="3"/>
    <n v="3"/>
    <n v="80"/>
    <n v="1"/>
    <n v="7"/>
    <n v="2"/>
    <n v="2"/>
    <n v="2"/>
    <n v="2"/>
    <n v="0"/>
    <n v="2"/>
    <n v="0"/>
    <n v="1"/>
    <s v="25-34"/>
    <s v="Low"/>
    <s v="0-5 Years"/>
  </r>
  <r>
    <n v="1415"/>
    <n v="47"/>
    <x v="1"/>
    <s v="Travel_Rarely"/>
    <n v="1180"/>
    <s v="Research &amp; Development"/>
    <n v="25"/>
    <n v="3"/>
    <s v="Medical"/>
    <n v="1993"/>
    <n v="1"/>
    <s v="Male"/>
    <n v="84"/>
    <n v="3"/>
    <n v="3"/>
    <s v="Healthcare Representative"/>
    <n v="3"/>
    <s v="Single"/>
    <n v="8633"/>
    <n v="13084"/>
    <n v="2"/>
    <s v="No"/>
    <n v="23"/>
    <n v="4"/>
    <n v="2"/>
    <n v="80"/>
    <n v="0"/>
    <n v="25"/>
    <n v="3"/>
    <n v="3"/>
    <n v="17"/>
    <n v="14"/>
    <n v="12"/>
    <n v="11"/>
    <n v="0"/>
    <n v="1"/>
    <s v="45-54"/>
    <s v="Medium"/>
    <s v="11-20 Years"/>
  </r>
  <r>
    <n v="1416"/>
    <n v="33"/>
    <x v="1"/>
    <s v="Non-Travel"/>
    <n v="1313"/>
    <s v="Research &amp; Development"/>
    <n v="1"/>
    <n v="2"/>
    <s v="Medical"/>
    <n v="1994"/>
    <n v="2"/>
    <s v="Male"/>
    <n v="59"/>
    <n v="2"/>
    <n v="1"/>
    <s v="Laboratory Technician"/>
    <n v="3"/>
    <s v="Divorced"/>
    <n v="2008"/>
    <n v="20439"/>
    <n v="1"/>
    <s v="No"/>
    <n v="12"/>
    <n v="3"/>
    <n v="3"/>
    <n v="80"/>
    <n v="3"/>
    <n v="1"/>
    <n v="2"/>
    <n v="2"/>
    <n v="1"/>
    <n v="1"/>
    <n v="0"/>
    <n v="0"/>
    <n v="0"/>
    <n v="1"/>
    <s v="25-34"/>
    <s v="Low"/>
    <s v="0-5 Years"/>
  </r>
  <r>
    <n v="1417"/>
    <n v="38"/>
    <x v="1"/>
    <s v="Travel_Rarely"/>
    <n v="1321"/>
    <s v="Sales"/>
    <n v="1"/>
    <n v="4"/>
    <s v="Life Sciences"/>
    <n v="1995"/>
    <n v="4"/>
    <s v="Male"/>
    <n v="86"/>
    <n v="3"/>
    <n v="2"/>
    <s v="Sales Executive"/>
    <n v="2"/>
    <s v="Married"/>
    <n v="4440"/>
    <n v="7636"/>
    <n v="0"/>
    <s v="No"/>
    <n v="15"/>
    <n v="3"/>
    <n v="1"/>
    <n v="80"/>
    <n v="2"/>
    <n v="16"/>
    <n v="3"/>
    <n v="3"/>
    <n v="15"/>
    <n v="13"/>
    <n v="5"/>
    <n v="8"/>
    <n v="0"/>
    <n v="1"/>
    <s v="35-44"/>
    <s v="Low"/>
    <s v="11-20 Years"/>
  </r>
  <r>
    <n v="1418"/>
    <n v="31"/>
    <x v="1"/>
    <s v="Travel_Rarely"/>
    <n v="1154"/>
    <s v="Sales"/>
    <n v="2"/>
    <n v="2"/>
    <s v="Life Sciences"/>
    <n v="1996"/>
    <n v="1"/>
    <s v="Male"/>
    <n v="54"/>
    <n v="3"/>
    <n v="1"/>
    <s v="Sales Representative"/>
    <n v="3"/>
    <s v="Married"/>
    <n v="3067"/>
    <n v="6393"/>
    <n v="0"/>
    <s v="No"/>
    <n v="19"/>
    <n v="3"/>
    <n v="3"/>
    <n v="80"/>
    <n v="1"/>
    <n v="3"/>
    <n v="1"/>
    <n v="3"/>
    <n v="2"/>
    <n v="2"/>
    <n v="1"/>
    <n v="2"/>
    <n v="0"/>
    <n v="1"/>
    <s v="25-34"/>
    <s v="Low"/>
    <s v="0-5 Years"/>
  </r>
  <r>
    <n v="1419"/>
    <n v="38"/>
    <x v="1"/>
    <s v="Travel_Frequently"/>
    <n v="508"/>
    <s v="Research &amp; Development"/>
    <n v="6"/>
    <n v="4"/>
    <s v="Life Sciences"/>
    <n v="1997"/>
    <n v="1"/>
    <s v="Male"/>
    <n v="72"/>
    <n v="2"/>
    <n v="2"/>
    <s v="Manufacturing Director"/>
    <n v="3"/>
    <s v="Married"/>
    <n v="5321"/>
    <n v="14284"/>
    <n v="2"/>
    <s v="No"/>
    <n v="11"/>
    <n v="3"/>
    <n v="4"/>
    <n v="80"/>
    <n v="1"/>
    <n v="10"/>
    <n v="1"/>
    <n v="3"/>
    <n v="8"/>
    <n v="3"/>
    <n v="7"/>
    <n v="7"/>
    <n v="0"/>
    <n v="1"/>
    <s v="35-44"/>
    <s v="Medium"/>
    <s v="6-10 Years"/>
  </r>
  <r>
    <n v="1420"/>
    <n v="42"/>
    <x v="1"/>
    <s v="Travel_Rarely"/>
    <n v="557"/>
    <s v="Research &amp; Development"/>
    <n v="18"/>
    <n v="4"/>
    <s v="Life Sciences"/>
    <n v="1998"/>
    <n v="4"/>
    <s v="Male"/>
    <n v="35"/>
    <n v="3"/>
    <n v="2"/>
    <s v="Research Scientist"/>
    <n v="1"/>
    <s v="Divorced"/>
    <n v="5410"/>
    <n v="11189"/>
    <n v="6"/>
    <s v="Yes"/>
    <n v="17"/>
    <n v="3"/>
    <n v="3"/>
    <n v="80"/>
    <n v="1"/>
    <n v="9"/>
    <n v="3"/>
    <n v="2"/>
    <n v="4"/>
    <n v="3"/>
    <n v="1"/>
    <n v="2"/>
    <n v="0"/>
    <n v="1"/>
    <s v="35-44"/>
    <s v="Medium"/>
    <s v="0-5 Years"/>
  </r>
  <r>
    <n v="1421"/>
    <n v="41"/>
    <x v="1"/>
    <s v="Travel_Rarely"/>
    <n v="642"/>
    <s v="Research &amp; Development"/>
    <n v="1"/>
    <n v="3"/>
    <s v="Life Sciences"/>
    <n v="1999"/>
    <n v="4"/>
    <s v="Male"/>
    <n v="76"/>
    <n v="3"/>
    <n v="1"/>
    <s v="Research Scientist"/>
    <n v="4"/>
    <s v="Married"/>
    <n v="2782"/>
    <n v="21412"/>
    <n v="3"/>
    <s v="No"/>
    <n v="22"/>
    <n v="4"/>
    <n v="1"/>
    <n v="80"/>
    <n v="1"/>
    <n v="12"/>
    <n v="3"/>
    <n v="3"/>
    <n v="5"/>
    <n v="3"/>
    <n v="1"/>
    <n v="0"/>
    <n v="0"/>
    <n v="1"/>
    <s v="35-44"/>
    <s v="Low"/>
    <s v="0-5 Years"/>
  </r>
  <r>
    <n v="1422"/>
    <n v="47"/>
    <x v="1"/>
    <s v="Non-Travel"/>
    <n v="1162"/>
    <s v="Research &amp; Development"/>
    <n v="1"/>
    <n v="1"/>
    <s v="Medical"/>
    <n v="2000"/>
    <n v="3"/>
    <s v="Female"/>
    <n v="98"/>
    <n v="3"/>
    <n v="3"/>
    <s v="Research Director"/>
    <n v="2"/>
    <s v="Married"/>
    <n v="11957"/>
    <n v="17231"/>
    <n v="0"/>
    <s v="No"/>
    <n v="18"/>
    <n v="3"/>
    <n v="1"/>
    <n v="80"/>
    <n v="2"/>
    <n v="14"/>
    <n v="3"/>
    <n v="1"/>
    <n v="13"/>
    <n v="8"/>
    <n v="5"/>
    <n v="12"/>
    <n v="0"/>
    <n v="1"/>
    <s v="45-54"/>
    <s v="Upper Medium"/>
    <s v="11-20 Years"/>
  </r>
  <r>
    <n v="1423"/>
    <n v="35"/>
    <x v="1"/>
    <s v="Travel_Rarely"/>
    <n v="1490"/>
    <s v="Research &amp; Development"/>
    <n v="11"/>
    <n v="4"/>
    <s v="Medical"/>
    <n v="2003"/>
    <n v="4"/>
    <s v="Male"/>
    <n v="43"/>
    <n v="3"/>
    <n v="1"/>
    <s v="Laboratory Technician"/>
    <n v="3"/>
    <s v="Married"/>
    <n v="2660"/>
    <n v="20232"/>
    <n v="7"/>
    <s v="Yes"/>
    <n v="11"/>
    <n v="3"/>
    <n v="3"/>
    <n v="80"/>
    <n v="1"/>
    <n v="5"/>
    <n v="3"/>
    <n v="3"/>
    <n v="2"/>
    <n v="2"/>
    <n v="2"/>
    <n v="2"/>
    <n v="0"/>
    <n v="1"/>
    <s v="35-44"/>
    <s v="Low"/>
    <s v="0-5 Years"/>
  </r>
  <r>
    <n v="1424"/>
    <n v="22"/>
    <x v="1"/>
    <s v="Travel_Rarely"/>
    <n v="581"/>
    <s v="Research &amp; Development"/>
    <n v="1"/>
    <n v="2"/>
    <s v="Life Sciences"/>
    <n v="2007"/>
    <n v="4"/>
    <s v="Male"/>
    <n v="63"/>
    <n v="3"/>
    <n v="1"/>
    <s v="Research Scientist"/>
    <n v="3"/>
    <s v="Single"/>
    <n v="3375"/>
    <n v="17624"/>
    <n v="0"/>
    <s v="No"/>
    <n v="12"/>
    <n v="3"/>
    <n v="4"/>
    <n v="80"/>
    <n v="0"/>
    <n v="4"/>
    <n v="2"/>
    <n v="4"/>
    <n v="3"/>
    <n v="2"/>
    <n v="1"/>
    <n v="2"/>
    <n v="0"/>
    <n v="1"/>
    <s v="Under 25"/>
    <s v="Low"/>
    <s v="0-5 Years"/>
  </r>
  <r>
    <n v="1425"/>
    <n v="35"/>
    <x v="1"/>
    <s v="Travel_Rarely"/>
    <n v="1395"/>
    <s v="Research &amp; Development"/>
    <n v="9"/>
    <n v="4"/>
    <s v="Medical"/>
    <n v="2008"/>
    <n v="2"/>
    <s v="Male"/>
    <n v="48"/>
    <n v="3"/>
    <n v="2"/>
    <s v="Research Scientist"/>
    <n v="3"/>
    <s v="Single"/>
    <n v="5098"/>
    <n v="18698"/>
    <n v="1"/>
    <s v="No"/>
    <n v="19"/>
    <n v="3"/>
    <n v="2"/>
    <n v="80"/>
    <n v="0"/>
    <n v="10"/>
    <n v="5"/>
    <n v="3"/>
    <n v="10"/>
    <n v="7"/>
    <n v="0"/>
    <n v="8"/>
    <n v="0"/>
    <n v="1"/>
    <s v="35-44"/>
    <s v="Medium"/>
    <s v="6-10 Years"/>
  </r>
  <r>
    <n v="1426"/>
    <n v="33"/>
    <x v="1"/>
    <s v="Travel_Rarely"/>
    <n v="501"/>
    <s v="Research &amp; Development"/>
    <n v="15"/>
    <n v="2"/>
    <s v="Medical"/>
    <n v="2009"/>
    <n v="2"/>
    <s v="Female"/>
    <n v="95"/>
    <n v="3"/>
    <n v="2"/>
    <s v="Healthcare Representative"/>
    <n v="4"/>
    <s v="Married"/>
    <n v="4878"/>
    <n v="21653"/>
    <n v="0"/>
    <s v="Yes"/>
    <n v="13"/>
    <n v="3"/>
    <n v="1"/>
    <n v="80"/>
    <n v="1"/>
    <n v="10"/>
    <n v="6"/>
    <n v="3"/>
    <n v="9"/>
    <n v="7"/>
    <n v="8"/>
    <n v="1"/>
    <n v="0"/>
    <n v="1"/>
    <s v="25-34"/>
    <s v="Low"/>
    <s v="6-10 Years"/>
  </r>
  <r>
    <n v="1427"/>
    <n v="32"/>
    <x v="1"/>
    <s v="Travel_Rarely"/>
    <n v="267"/>
    <s v="Research &amp; Development"/>
    <n v="29"/>
    <n v="4"/>
    <s v="Life Sciences"/>
    <n v="2010"/>
    <n v="3"/>
    <s v="Female"/>
    <n v="49"/>
    <n v="2"/>
    <n v="1"/>
    <s v="Laboratory Technician"/>
    <n v="2"/>
    <s v="Single"/>
    <n v="2837"/>
    <n v="15919"/>
    <n v="1"/>
    <s v="No"/>
    <n v="13"/>
    <n v="3"/>
    <n v="3"/>
    <n v="80"/>
    <n v="0"/>
    <n v="6"/>
    <n v="3"/>
    <n v="3"/>
    <n v="6"/>
    <n v="2"/>
    <n v="4"/>
    <n v="1"/>
    <n v="0"/>
    <n v="1"/>
    <s v="25-34"/>
    <s v="Low"/>
    <s v="6-10 Years"/>
  </r>
  <r>
    <n v="1428"/>
    <n v="40"/>
    <x v="1"/>
    <s v="Travel_Rarely"/>
    <n v="543"/>
    <s v="Research &amp; Development"/>
    <n v="1"/>
    <n v="4"/>
    <s v="Life Sciences"/>
    <n v="2012"/>
    <n v="1"/>
    <s v="Male"/>
    <n v="83"/>
    <n v="3"/>
    <n v="1"/>
    <s v="Laboratory Technician"/>
    <n v="4"/>
    <s v="Married"/>
    <n v="2406"/>
    <n v="4060"/>
    <n v="8"/>
    <s v="No"/>
    <n v="19"/>
    <n v="3"/>
    <n v="3"/>
    <n v="80"/>
    <n v="2"/>
    <n v="8"/>
    <n v="3"/>
    <n v="2"/>
    <n v="1"/>
    <n v="0"/>
    <n v="0"/>
    <n v="0"/>
    <n v="0"/>
    <n v="1"/>
    <s v="35-44"/>
    <s v="Low"/>
    <s v="0-5 Years"/>
  </r>
  <r>
    <n v="1429"/>
    <n v="32"/>
    <x v="1"/>
    <s v="Travel_Rarely"/>
    <n v="234"/>
    <s v="Sales"/>
    <n v="1"/>
    <n v="4"/>
    <s v="Medical"/>
    <n v="2013"/>
    <n v="2"/>
    <s v="Male"/>
    <n v="68"/>
    <n v="2"/>
    <n v="1"/>
    <s v="Sales Representative"/>
    <n v="2"/>
    <s v="Married"/>
    <n v="2269"/>
    <n v="18024"/>
    <n v="0"/>
    <s v="No"/>
    <n v="14"/>
    <n v="3"/>
    <n v="2"/>
    <n v="80"/>
    <n v="1"/>
    <n v="3"/>
    <n v="2"/>
    <n v="3"/>
    <n v="2"/>
    <n v="2"/>
    <n v="2"/>
    <n v="2"/>
    <n v="0"/>
    <n v="1"/>
    <s v="25-34"/>
    <s v="Low"/>
    <s v="0-5 Years"/>
  </r>
  <r>
    <n v="1430"/>
    <n v="39"/>
    <x v="1"/>
    <s v="Travel_Rarely"/>
    <n v="116"/>
    <s v="Research &amp; Development"/>
    <n v="24"/>
    <n v="1"/>
    <s v="Life Sciences"/>
    <n v="2014"/>
    <n v="1"/>
    <s v="Male"/>
    <n v="52"/>
    <n v="3"/>
    <n v="2"/>
    <s v="Research Scientist"/>
    <n v="4"/>
    <s v="Single"/>
    <n v="4108"/>
    <n v="5340"/>
    <n v="7"/>
    <s v="No"/>
    <n v="13"/>
    <n v="3"/>
    <n v="1"/>
    <n v="80"/>
    <n v="0"/>
    <n v="18"/>
    <n v="2"/>
    <n v="3"/>
    <n v="7"/>
    <n v="7"/>
    <n v="1"/>
    <n v="7"/>
    <n v="0"/>
    <n v="1"/>
    <s v="35-44"/>
    <s v="Low"/>
    <s v="6-10 Years"/>
  </r>
  <r>
    <n v="1431"/>
    <n v="38"/>
    <x v="1"/>
    <s v="Travel_Rarely"/>
    <n v="201"/>
    <s v="Research &amp; Development"/>
    <n v="10"/>
    <n v="3"/>
    <s v="Medical"/>
    <n v="2015"/>
    <n v="2"/>
    <s v="Female"/>
    <n v="99"/>
    <n v="1"/>
    <n v="3"/>
    <s v="Research Director"/>
    <n v="3"/>
    <s v="Married"/>
    <n v="13206"/>
    <n v="3376"/>
    <n v="3"/>
    <s v="No"/>
    <n v="12"/>
    <n v="3"/>
    <n v="1"/>
    <n v="80"/>
    <n v="1"/>
    <n v="20"/>
    <n v="3"/>
    <n v="3"/>
    <n v="18"/>
    <n v="16"/>
    <n v="1"/>
    <n v="11"/>
    <n v="0"/>
    <n v="1"/>
    <s v="35-44"/>
    <s v="Upper Medium"/>
    <s v="11-20 Years"/>
  </r>
  <r>
    <n v="1432"/>
    <n v="32"/>
    <x v="1"/>
    <s v="Travel_Rarely"/>
    <n v="801"/>
    <s v="Sales"/>
    <n v="1"/>
    <n v="4"/>
    <s v="Marketing"/>
    <n v="2016"/>
    <n v="3"/>
    <s v="Female"/>
    <n v="48"/>
    <n v="3"/>
    <n v="3"/>
    <s v="Sales Executive"/>
    <n v="4"/>
    <s v="Married"/>
    <n v="10422"/>
    <n v="24032"/>
    <n v="1"/>
    <s v="No"/>
    <n v="19"/>
    <n v="3"/>
    <n v="3"/>
    <n v="80"/>
    <n v="2"/>
    <n v="14"/>
    <n v="3"/>
    <n v="3"/>
    <n v="14"/>
    <n v="10"/>
    <n v="5"/>
    <n v="7"/>
    <n v="0"/>
    <n v="1"/>
    <s v="25-34"/>
    <s v="Upper Medium"/>
    <s v="11-20 Years"/>
  </r>
  <r>
    <n v="1433"/>
    <n v="37"/>
    <x v="1"/>
    <s v="Travel_Rarely"/>
    <n v="161"/>
    <s v="Research &amp; Development"/>
    <n v="10"/>
    <n v="3"/>
    <s v="Life Sciences"/>
    <n v="2017"/>
    <n v="3"/>
    <s v="Female"/>
    <n v="42"/>
    <n v="4"/>
    <n v="3"/>
    <s v="Research Director"/>
    <n v="4"/>
    <s v="Married"/>
    <n v="13744"/>
    <n v="15471"/>
    <n v="1"/>
    <s v="Yes"/>
    <n v="25"/>
    <n v="4"/>
    <n v="1"/>
    <n v="80"/>
    <n v="1"/>
    <n v="16"/>
    <n v="2"/>
    <n v="3"/>
    <n v="16"/>
    <n v="11"/>
    <n v="6"/>
    <n v="8"/>
    <n v="0"/>
    <n v="1"/>
    <s v="35-44"/>
    <s v="Upper Medium"/>
    <s v="11-20 Years"/>
  </r>
  <r>
    <n v="1434"/>
    <n v="25"/>
    <x v="1"/>
    <s v="Travel_Rarely"/>
    <n v="1382"/>
    <s v="Sales"/>
    <n v="8"/>
    <n v="2"/>
    <s v="Other"/>
    <n v="2018"/>
    <n v="1"/>
    <s v="Female"/>
    <n v="85"/>
    <n v="3"/>
    <n v="2"/>
    <s v="Sales Executive"/>
    <n v="3"/>
    <s v="Divorced"/>
    <n v="4907"/>
    <n v="13684"/>
    <n v="0"/>
    <s v="Yes"/>
    <n v="22"/>
    <n v="4"/>
    <n v="2"/>
    <n v="80"/>
    <n v="1"/>
    <n v="6"/>
    <n v="3"/>
    <n v="2"/>
    <n v="5"/>
    <n v="3"/>
    <n v="0"/>
    <n v="4"/>
    <n v="0"/>
    <n v="1"/>
    <s v="25-34"/>
    <s v="Low"/>
    <s v="0-5 Years"/>
  </r>
  <r>
    <n v="1435"/>
    <n v="52"/>
    <x v="1"/>
    <s v="Non-Travel"/>
    <n v="585"/>
    <s v="Sales"/>
    <n v="29"/>
    <n v="4"/>
    <s v="Life Sciences"/>
    <n v="2019"/>
    <n v="1"/>
    <s v="Male"/>
    <n v="40"/>
    <n v="3"/>
    <n v="1"/>
    <s v="Sales Representative"/>
    <n v="4"/>
    <s v="Divorced"/>
    <n v="3482"/>
    <n v="19788"/>
    <n v="2"/>
    <s v="No"/>
    <n v="15"/>
    <n v="3"/>
    <n v="2"/>
    <n v="80"/>
    <n v="2"/>
    <n v="16"/>
    <n v="3"/>
    <n v="2"/>
    <n v="9"/>
    <n v="8"/>
    <n v="0"/>
    <n v="0"/>
    <n v="0"/>
    <n v="1"/>
    <s v="45-54"/>
    <s v="Low"/>
    <s v="6-10 Years"/>
  </r>
  <r>
    <n v="1436"/>
    <n v="44"/>
    <x v="1"/>
    <s v="Travel_Rarely"/>
    <n v="1037"/>
    <s v="Research &amp; Development"/>
    <n v="1"/>
    <n v="3"/>
    <s v="Medical"/>
    <n v="2020"/>
    <n v="2"/>
    <s v="Male"/>
    <n v="42"/>
    <n v="3"/>
    <n v="1"/>
    <s v="Research Scientist"/>
    <n v="4"/>
    <s v="Single"/>
    <n v="2436"/>
    <n v="13422"/>
    <n v="6"/>
    <s v="Yes"/>
    <n v="12"/>
    <n v="3"/>
    <n v="3"/>
    <n v="80"/>
    <n v="0"/>
    <n v="6"/>
    <n v="2"/>
    <n v="3"/>
    <n v="4"/>
    <n v="3"/>
    <n v="1"/>
    <n v="2"/>
    <n v="0"/>
    <n v="1"/>
    <s v="35-44"/>
    <s v="Low"/>
    <s v="0-5 Years"/>
  </r>
  <r>
    <n v="1437"/>
    <n v="21"/>
    <x v="1"/>
    <s v="Travel_Rarely"/>
    <n v="501"/>
    <s v="Sales"/>
    <n v="5"/>
    <n v="1"/>
    <s v="Medical"/>
    <n v="2021"/>
    <n v="3"/>
    <s v="Male"/>
    <n v="58"/>
    <n v="3"/>
    <n v="1"/>
    <s v="Sales Representative"/>
    <n v="1"/>
    <s v="Single"/>
    <n v="2380"/>
    <n v="25479"/>
    <n v="1"/>
    <s v="Yes"/>
    <n v="11"/>
    <n v="3"/>
    <n v="4"/>
    <n v="80"/>
    <n v="0"/>
    <n v="2"/>
    <n v="6"/>
    <n v="3"/>
    <n v="2"/>
    <n v="2"/>
    <n v="1"/>
    <n v="2"/>
    <n v="0"/>
    <n v="1"/>
    <s v="Under 25"/>
    <s v="Low"/>
    <s v="0-5 Years"/>
  </r>
  <r>
    <n v="1438"/>
    <n v="39"/>
    <x v="1"/>
    <s v="Non-Travel"/>
    <n v="105"/>
    <s v="Research &amp; Development"/>
    <n v="9"/>
    <n v="3"/>
    <s v="Life Sciences"/>
    <n v="2022"/>
    <n v="4"/>
    <s v="Male"/>
    <n v="87"/>
    <n v="3"/>
    <n v="5"/>
    <s v="Manager"/>
    <n v="4"/>
    <s v="Single"/>
    <n v="19431"/>
    <n v="15302"/>
    <n v="2"/>
    <s v="No"/>
    <n v="13"/>
    <n v="3"/>
    <n v="3"/>
    <n v="80"/>
    <n v="0"/>
    <n v="21"/>
    <n v="3"/>
    <n v="2"/>
    <n v="6"/>
    <n v="0"/>
    <n v="1"/>
    <n v="3"/>
    <n v="0"/>
    <n v="1"/>
    <s v="35-44"/>
    <s v="High"/>
    <s v="6-10 Years"/>
  </r>
  <r>
    <n v="1439"/>
    <n v="23"/>
    <x v="0"/>
    <s v="Travel_Frequently"/>
    <n v="638"/>
    <s v="Sales"/>
    <n v="9"/>
    <n v="3"/>
    <s v="Marketing"/>
    <n v="2023"/>
    <n v="4"/>
    <s v="Male"/>
    <n v="33"/>
    <n v="3"/>
    <n v="1"/>
    <s v="Sales Representative"/>
    <n v="1"/>
    <s v="Married"/>
    <n v="1790"/>
    <n v="26956"/>
    <n v="1"/>
    <s v="No"/>
    <n v="19"/>
    <n v="3"/>
    <n v="1"/>
    <n v="80"/>
    <n v="1"/>
    <n v="1"/>
    <n v="3"/>
    <n v="2"/>
    <n v="1"/>
    <n v="0"/>
    <n v="1"/>
    <n v="0"/>
    <n v="1"/>
    <n v="0"/>
    <s v="Under 25"/>
    <s v="Low"/>
    <s v="0-5 Years"/>
  </r>
  <r>
    <n v="1440"/>
    <n v="36"/>
    <x v="1"/>
    <s v="Travel_Rarely"/>
    <n v="557"/>
    <s v="Sales"/>
    <n v="3"/>
    <n v="3"/>
    <s v="Medical"/>
    <n v="2024"/>
    <n v="1"/>
    <s v="Female"/>
    <n v="94"/>
    <n v="2"/>
    <n v="3"/>
    <s v="Sales Executive"/>
    <n v="4"/>
    <s v="Married"/>
    <n v="7644"/>
    <n v="12695"/>
    <n v="0"/>
    <s v="No"/>
    <n v="19"/>
    <n v="3"/>
    <n v="3"/>
    <n v="80"/>
    <n v="2"/>
    <n v="10"/>
    <n v="2"/>
    <n v="3"/>
    <n v="9"/>
    <n v="7"/>
    <n v="3"/>
    <n v="4"/>
    <n v="0"/>
    <n v="1"/>
    <s v="35-44"/>
    <s v="Medium"/>
    <s v="6-10 Years"/>
  </r>
  <r>
    <n v="1441"/>
    <n v="36"/>
    <x v="1"/>
    <s v="Travel_Frequently"/>
    <n v="688"/>
    <s v="Research &amp; Development"/>
    <n v="4"/>
    <n v="2"/>
    <s v="Life Sciences"/>
    <n v="2025"/>
    <n v="4"/>
    <s v="Female"/>
    <n v="97"/>
    <n v="3"/>
    <n v="2"/>
    <s v="Manufacturing Director"/>
    <n v="2"/>
    <s v="Divorced"/>
    <n v="5131"/>
    <n v="9192"/>
    <n v="7"/>
    <s v="No"/>
    <n v="13"/>
    <n v="3"/>
    <n v="2"/>
    <n v="80"/>
    <n v="3"/>
    <n v="18"/>
    <n v="3"/>
    <n v="3"/>
    <n v="4"/>
    <n v="2"/>
    <n v="0"/>
    <n v="2"/>
    <n v="0"/>
    <n v="1"/>
    <s v="35-44"/>
    <s v="Medium"/>
    <s v="0-5 Years"/>
  </r>
  <r>
    <n v="1442"/>
    <n v="56"/>
    <x v="1"/>
    <s v="Non-Travel"/>
    <n v="667"/>
    <s v="Research &amp; Development"/>
    <n v="1"/>
    <n v="4"/>
    <s v="Life Sciences"/>
    <n v="2026"/>
    <n v="3"/>
    <s v="Male"/>
    <n v="57"/>
    <n v="3"/>
    <n v="2"/>
    <s v="Healthcare Representative"/>
    <n v="3"/>
    <s v="Divorced"/>
    <n v="6306"/>
    <n v="26236"/>
    <n v="1"/>
    <s v="No"/>
    <n v="21"/>
    <n v="4"/>
    <n v="1"/>
    <n v="80"/>
    <n v="1"/>
    <n v="13"/>
    <n v="2"/>
    <n v="2"/>
    <n v="13"/>
    <n v="12"/>
    <n v="1"/>
    <n v="9"/>
    <n v="0"/>
    <n v="1"/>
    <s v="55+"/>
    <s v="Medium"/>
    <s v="11-20 Years"/>
  </r>
  <r>
    <n v="1443"/>
    <n v="29"/>
    <x v="0"/>
    <s v="Travel_Rarely"/>
    <n v="1092"/>
    <s v="Research &amp; Development"/>
    <n v="1"/>
    <n v="4"/>
    <s v="Medical"/>
    <n v="2027"/>
    <n v="1"/>
    <s v="Male"/>
    <n v="36"/>
    <n v="3"/>
    <n v="1"/>
    <s v="Research Scientist"/>
    <n v="4"/>
    <s v="Married"/>
    <n v="4787"/>
    <n v="26124"/>
    <n v="9"/>
    <s v="Yes"/>
    <n v="14"/>
    <n v="3"/>
    <n v="2"/>
    <n v="80"/>
    <n v="3"/>
    <n v="4"/>
    <n v="3"/>
    <n v="4"/>
    <n v="2"/>
    <n v="2"/>
    <n v="2"/>
    <n v="2"/>
    <n v="1"/>
    <n v="0"/>
    <s v="25-34"/>
    <s v="Low"/>
    <s v="0-5 Years"/>
  </r>
  <r>
    <n v="1444"/>
    <n v="42"/>
    <x v="1"/>
    <s v="Travel_Rarely"/>
    <n v="300"/>
    <s v="Research &amp; Development"/>
    <n v="2"/>
    <n v="3"/>
    <s v="Life Sciences"/>
    <n v="2031"/>
    <n v="1"/>
    <s v="Male"/>
    <n v="56"/>
    <n v="3"/>
    <n v="5"/>
    <s v="Manager"/>
    <n v="3"/>
    <s v="Married"/>
    <n v="18880"/>
    <n v="17312"/>
    <n v="5"/>
    <s v="No"/>
    <n v="11"/>
    <n v="3"/>
    <n v="1"/>
    <n v="80"/>
    <n v="0"/>
    <n v="24"/>
    <n v="2"/>
    <n v="2"/>
    <n v="22"/>
    <n v="6"/>
    <n v="4"/>
    <n v="14"/>
    <n v="0"/>
    <n v="1"/>
    <s v="35-44"/>
    <s v="High"/>
    <s v="21+ Years"/>
  </r>
  <r>
    <n v="1445"/>
    <n v="56"/>
    <x v="0"/>
    <s v="Travel_Rarely"/>
    <n v="310"/>
    <s v="Research &amp; Development"/>
    <n v="7"/>
    <n v="2"/>
    <s v="Technical Degree"/>
    <n v="2032"/>
    <n v="4"/>
    <s v="Male"/>
    <n v="72"/>
    <n v="3"/>
    <n v="1"/>
    <s v="Laboratory Technician"/>
    <n v="3"/>
    <s v="Married"/>
    <n v="2339"/>
    <n v="3666"/>
    <n v="8"/>
    <s v="No"/>
    <n v="11"/>
    <n v="3"/>
    <n v="4"/>
    <n v="80"/>
    <n v="1"/>
    <n v="14"/>
    <n v="4"/>
    <n v="1"/>
    <n v="10"/>
    <n v="9"/>
    <n v="9"/>
    <n v="8"/>
    <n v="1"/>
    <n v="0"/>
    <s v="55+"/>
    <s v="Low"/>
    <s v="6-10 Years"/>
  </r>
  <r>
    <n v="1446"/>
    <n v="41"/>
    <x v="1"/>
    <s v="Travel_Rarely"/>
    <n v="582"/>
    <s v="Research &amp; Development"/>
    <n v="28"/>
    <n v="4"/>
    <s v="Life Sciences"/>
    <n v="2034"/>
    <n v="1"/>
    <s v="Female"/>
    <n v="60"/>
    <n v="2"/>
    <n v="4"/>
    <s v="Manufacturing Director"/>
    <n v="2"/>
    <s v="Married"/>
    <n v="13570"/>
    <n v="5640"/>
    <n v="0"/>
    <s v="No"/>
    <n v="23"/>
    <n v="4"/>
    <n v="3"/>
    <n v="80"/>
    <n v="1"/>
    <n v="21"/>
    <n v="3"/>
    <n v="3"/>
    <n v="20"/>
    <n v="7"/>
    <n v="0"/>
    <n v="10"/>
    <n v="0"/>
    <n v="1"/>
    <s v="35-44"/>
    <s v="Upper Medium"/>
    <s v="11-20 Years"/>
  </r>
  <r>
    <n v="1447"/>
    <n v="34"/>
    <x v="1"/>
    <s v="Travel_Rarely"/>
    <n v="704"/>
    <s v="Sales"/>
    <n v="28"/>
    <n v="3"/>
    <s v="Marketing"/>
    <n v="2035"/>
    <n v="4"/>
    <s v="Female"/>
    <n v="95"/>
    <n v="2"/>
    <n v="2"/>
    <s v="Sales Executive"/>
    <n v="3"/>
    <s v="Married"/>
    <n v="6712"/>
    <n v="8978"/>
    <n v="1"/>
    <s v="No"/>
    <n v="21"/>
    <n v="4"/>
    <n v="4"/>
    <n v="80"/>
    <n v="2"/>
    <n v="8"/>
    <n v="2"/>
    <n v="3"/>
    <n v="8"/>
    <n v="7"/>
    <n v="1"/>
    <n v="7"/>
    <n v="0"/>
    <n v="1"/>
    <s v="25-34"/>
    <s v="Medium"/>
    <s v="6-10 Years"/>
  </r>
  <r>
    <n v="1448"/>
    <n v="36"/>
    <x v="1"/>
    <s v="Non-Travel"/>
    <n v="301"/>
    <s v="Sales"/>
    <n v="15"/>
    <n v="4"/>
    <s v="Marketing"/>
    <n v="2036"/>
    <n v="4"/>
    <s v="Male"/>
    <n v="88"/>
    <n v="1"/>
    <n v="2"/>
    <s v="Sales Executive"/>
    <n v="4"/>
    <s v="Divorced"/>
    <n v="5406"/>
    <n v="10436"/>
    <n v="1"/>
    <s v="No"/>
    <n v="24"/>
    <n v="4"/>
    <n v="1"/>
    <n v="80"/>
    <n v="1"/>
    <n v="15"/>
    <n v="4"/>
    <n v="2"/>
    <n v="15"/>
    <n v="12"/>
    <n v="11"/>
    <n v="11"/>
    <n v="0"/>
    <n v="1"/>
    <s v="35-44"/>
    <s v="Medium"/>
    <s v="11-20 Years"/>
  </r>
  <r>
    <n v="1449"/>
    <n v="41"/>
    <x v="1"/>
    <s v="Travel_Rarely"/>
    <n v="930"/>
    <s v="Sales"/>
    <n v="3"/>
    <n v="3"/>
    <s v="Life Sciences"/>
    <n v="2037"/>
    <n v="3"/>
    <s v="Male"/>
    <n v="57"/>
    <n v="2"/>
    <n v="2"/>
    <s v="Sales Executive"/>
    <n v="2"/>
    <s v="Divorced"/>
    <n v="8938"/>
    <n v="12227"/>
    <n v="2"/>
    <s v="No"/>
    <n v="11"/>
    <n v="3"/>
    <n v="3"/>
    <n v="80"/>
    <n v="1"/>
    <n v="14"/>
    <n v="5"/>
    <n v="3"/>
    <n v="5"/>
    <n v="4"/>
    <n v="0"/>
    <n v="4"/>
    <n v="0"/>
    <n v="1"/>
    <s v="35-44"/>
    <s v="Medium"/>
    <s v="0-5 Years"/>
  </r>
  <r>
    <n v="1450"/>
    <n v="32"/>
    <x v="1"/>
    <s v="Travel_Rarely"/>
    <n v="529"/>
    <s v="Research &amp; Development"/>
    <n v="2"/>
    <n v="3"/>
    <s v="Technical Degree"/>
    <n v="2038"/>
    <n v="4"/>
    <s v="Male"/>
    <n v="78"/>
    <n v="3"/>
    <n v="1"/>
    <s v="Research Scientist"/>
    <n v="1"/>
    <s v="Single"/>
    <n v="2439"/>
    <n v="11288"/>
    <n v="1"/>
    <s v="No"/>
    <n v="14"/>
    <n v="3"/>
    <n v="4"/>
    <n v="80"/>
    <n v="0"/>
    <n v="4"/>
    <n v="4"/>
    <n v="3"/>
    <n v="4"/>
    <n v="2"/>
    <n v="1"/>
    <n v="2"/>
    <n v="0"/>
    <n v="1"/>
    <s v="25-34"/>
    <s v="Low"/>
    <s v="0-5 Years"/>
  </r>
  <r>
    <n v="1451"/>
    <n v="35"/>
    <x v="1"/>
    <s v="Travel_Rarely"/>
    <n v="1146"/>
    <s v="Human Resources"/>
    <n v="26"/>
    <n v="4"/>
    <s v="Life Sciences"/>
    <n v="2040"/>
    <n v="3"/>
    <s v="Female"/>
    <n v="31"/>
    <n v="3"/>
    <n v="3"/>
    <s v="Human Resources"/>
    <n v="4"/>
    <s v="Single"/>
    <n v="8837"/>
    <n v="16642"/>
    <n v="1"/>
    <s v="Yes"/>
    <n v="16"/>
    <n v="3"/>
    <n v="3"/>
    <n v="80"/>
    <n v="0"/>
    <n v="9"/>
    <n v="2"/>
    <n v="3"/>
    <n v="9"/>
    <n v="0"/>
    <n v="1"/>
    <n v="7"/>
    <n v="0"/>
    <n v="1"/>
    <s v="35-44"/>
    <s v="Medium"/>
    <s v="6-10 Years"/>
  </r>
  <r>
    <n v="1452"/>
    <n v="38"/>
    <x v="1"/>
    <s v="Travel_Rarely"/>
    <n v="345"/>
    <s v="Sales"/>
    <n v="10"/>
    <n v="2"/>
    <s v="Life Sciences"/>
    <n v="2041"/>
    <n v="1"/>
    <s v="Female"/>
    <n v="100"/>
    <n v="3"/>
    <n v="2"/>
    <s v="Sales Executive"/>
    <n v="4"/>
    <s v="Married"/>
    <n v="5343"/>
    <n v="5982"/>
    <n v="1"/>
    <s v="No"/>
    <n v="11"/>
    <n v="3"/>
    <n v="3"/>
    <n v="80"/>
    <n v="1"/>
    <n v="10"/>
    <n v="1"/>
    <n v="3"/>
    <n v="10"/>
    <n v="7"/>
    <n v="1"/>
    <n v="9"/>
    <n v="0"/>
    <n v="1"/>
    <s v="35-44"/>
    <s v="Medium"/>
    <s v="6-10 Years"/>
  </r>
  <r>
    <n v="1453"/>
    <n v="50"/>
    <x v="0"/>
    <s v="Travel_Frequently"/>
    <n v="878"/>
    <s v="Sales"/>
    <n v="1"/>
    <n v="4"/>
    <s v="Life Sciences"/>
    <n v="2044"/>
    <n v="2"/>
    <s v="Male"/>
    <n v="94"/>
    <n v="3"/>
    <n v="2"/>
    <s v="Sales Executive"/>
    <n v="3"/>
    <s v="Divorced"/>
    <n v="6728"/>
    <n v="14255"/>
    <n v="7"/>
    <s v="No"/>
    <n v="12"/>
    <n v="3"/>
    <n v="4"/>
    <n v="80"/>
    <n v="2"/>
    <n v="12"/>
    <n v="3"/>
    <n v="3"/>
    <n v="6"/>
    <n v="3"/>
    <n v="0"/>
    <n v="1"/>
    <n v="1"/>
    <n v="0"/>
    <s v="45-54"/>
    <s v="Medium"/>
    <s v="6-10 Years"/>
  </r>
  <r>
    <n v="1454"/>
    <n v="36"/>
    <x v="1"/>
    <s v="Travel_Rarely"/>
    <n v="1120"/>
    <s v="Sales"/>
    <n v="11"/>
    <n v="4"/>
    <s v="Marketing"/>
    <n v="2045"/>
    <n v="2"/>
    <s v="Female"/>
    <n v="100"/>
    <n v="2"/>
    <n v="2"/>
    <s v="Sales Executive"/>
    <n v="4"/>
    <s v="Married"/>
    <n v="6652"/>
    <n v="14369"/>
    <n v="4"/>
    <s v="No"/>
    <n v="13"/>
    <n v="3"/>
    <n v="1"/>
    <n v="80"/>
    <n v="1"/>
    <n v="8"/>
    <n v="2"/>
    <n v="2"/>
    <n v="6"/>
    <n v="3"/>
    <n v="0"/>
    <n v="0"/>
    <n v="0"/>
    <n v="1"/>
    <s v="35-44"/>
    <s v="Medium"/>
    <s v="6-10 Years"/>
  </r>
  <r>
    <n v="1455"/>
    <n v="45"/>
    <x v="1"/>
    <s v="Travel_Rarely"/>
    <n v="374"/>
    <s v="Sales"/>
    <n v="20"/>
    <n v="3"/>
    <s v="Life Sciences"/>
    <n v="2046"/>
    <n v="4"/>
    <s v="Female"/>
    <n v="50"/>
    <n v="3"/>
    <n v="2"/>
    <s v="Sales Executive"/>
    <n v="3"/>
    <s v="Single"/>
    <n v="4850"/>
    <n v="23333"/>
    <n v="8"/>
    <s v="No"/>
    <n v="15"/>
    <n v="3"/>
    <n v="3"/>
    <n v="80"/>
    <n v="0"/>
    <n v="8"/>
    <n v="3"/>
    <n v="3"/>
    <n v="5"/>
    <n v="3"/>
    <n v="0"/>
    <n v="1"/>
    <n v="0"/>
    <n v="1"/>
    <s v="45-54"/>
    <s v="Low"/>
    <s v="0-5 Years"/>
  </r>
  <r>
    <n v="1456"/>
    <n v="40"/>
    <x v="1"/>
    <s v="Travel_Rarely"/>
    <n v="1322"/>
    <s v="Research &amp; Development"/>
    <n v="2"/>
    <n v="4"/>
    <s v="Life Sciences"/>
    <n v="2048"/>
    <n v="3"/>
    <s v="Male"/>
    <n v="52"/>
    <n v="2"/>
    <n v="1"/>
    <s v="Research Scientist"/>
    <n v="3"/>
    <s v="Single"/>
    <n v="2809"/>
    <n v="2725"/>
    <n v="2"/>
    <s v="No"/>
    <n v="14"/>
    <n v="3"/>
    <n v="4"/>
    <n v="80"/>
    <n v="0"/>
    <n v="8"/>
    <n v="2"/>
    <n v="3"/>
    <n v="2"/>
    <n v="2"/>
    <n v="2"/>
    <n v="2"/>
    <n v="0"/>
    <n v="1"/>
    <s v="35-44"/>
    <s v="Low"/>
    <s v="0-5 Years"/>
  </r>
  <r>
    <n v="1457"/>
    <n v="35"/>
    <x v="1"/>
    <s v="Travel_Frequently"/>
    <n v="1199"/>
    <s v="Research &amp; Development"/>
    <n v="18"/>
    <n v="4"/>
    <s v="Life Sciences"/>
    <n v="2049"/>
    <n v="3"/>
    <s v="Male"/>
    <n v="80"/>
    <n v="3"/>
    <n v="2"/>
    <s v="Healthcare Representative"/>
    <n v="3"/>
    <s v="Married"/>
    <n v="5689"/>
    <n v="24594"/>
    <n v="1"/>
    <s v="Yes"/>
    <n v="14"/>
    <n v="3"/>
    <n v="4"/>
    <n v="80"/>
    <n v="2"/>
    <n v="10"/>
    <n v="2"/>
    <n v="4"/>
    <n v="10"/>
    <n v="2"/>
    <n v="0"/>
    <n v="2"/>
    <n v="0"/>
    <n v="1"/>
    <s v="35-44"/>
    <s v="Medium"/>
    <s v="6-10 Years"/>
  </r>
  <r>
    <n v="1458"/>
    <n v="40"/>
    <x v="1"/>
    <s v="Travel_Rarely"/>
    <n v="1194"/>
    <s v="Research &amp; Development"/>
    <n v="2"/>
    <n v="4"/>
    <s v="Medical"/>
    <n v="2051"/>
    <n v="3"/>
    <s v="Female"/>
    <n v="98"/>
    <n v="3"/>
    <n v="1"/>
    <s v="Research Scientist"/>
    <n v="3"/>
    <s v="Married"/>
    <n v="2001"/>
    <n v="12549"/>
    <n v="2"/>
    <s v="No"/>
    <n v="14"/>
    <n v="3"/>
    <n v="2"/>
    <n v="80"/>
    <n v="3"/>
    <n v="20"/>
    <n v="2"/>
    <n v="3"/>
    <n v="5"/>
    <n v="3"/>
    <n v="0"/>
    <n v="2"/>
    <n v="0"/>
    <n v="1"/>
    <s v="35-44"/>
    <s v="Low"/>
    <s v="0-5 Years"/>
  </r>
  <r>
    <n v="1459"/>
    <n v="35"/>
    <x v="1"/>
    <s v="Travel_Rarely"/>
    <n v="287"/>
    <s v="Research &amp; Development"/>
    <n v="1"/>
    <n v="4"/>
    <s v="Life Sciences"/>
    <n v="2052"/>
    <n v="3"/>
    <s v="Female"/>
    <n v="62"/>
    <n v="1"/>
    <n v="1"/>
    <s v="Research Scientist"/>
    <n v="4"/>
    <s v="Married"/>
    <n v="2977"/>
    <n v="8952"/>
    <n v="1"/>
    <s v="No"/>
    <n v="12"/>
    <n v="3"/>
    <n v="4"/>
    <n v="80"/>
    <n v="1"/>
    <n v="4"/>
    <n v="5"/>
    <n v="3"/>
    <n v="4"/>
    <n v="3"/>
    <n v="1"/>
    <n v="1"/>
    <n v="0"/>
    <n v="1"/>
    <s v="35-44"/>
    <s v="Low"/>
    <s v="0-5 Years"/>
  </r>
  <r>
    <n v="1460"/>
    <n v="29"/>
    <x v="1"/>
    <s v="Travel_Rarely"/>
    <n v="1378"/>
    <s v="Research &amp; Development"/>
    <n v="13"/>
    <n v="2"/>
    <s v="Other"/>
    <n v="2053"/>
    <n v="4"/>
    <s v="Male"/>
    <n v="46"/>
    <n v="2"/>
    <n v="2"/>
    <s v="Laboratory Technician"/>
    <n v="2"/>
    <s v="Married"/>
    <n v="4025"/>
    <n v="23679"/>
    <n v="4"/>
    <s v="Yes"/>
    <n v="13"/>
    <n v="3"/>
    <n v="1"/>
    <n v="80"/>
    <n v="1"/>
    <n v="10"/>
    <n v="2"/>
    <n v="3"/>
    <n v="4"/>
    <n v="3"/>
    <n v="0"/>
    <n v="3"/>
    <n v="0"/>
    <n v="1"/>
    <s v="25-34"/>
    <s v="Low"/>
    <s v="0-5 Years"/>
  </r>
  <r>
    <n v="1461"/>
    <n v="29"/>
    <x v="1"/>
    <s v="Travel_Rarely"/>
    <n v="468"/>
    <s v="Research &amp; Development"/>
    <n v="28"/>
    <n v="4"/>
    <s v="Medical"/>
    <n v="2054"/>
    <n v="4"/>
    <s v="Female"/>
    <n v="73"/>
    <n v="2"/>
    <n v="1"/>
    <s v="Research Scientist"/>
    <n v="1"/>
    <s v="Single"/>
    <n v="3785"/>
    <n v="8489"/>
    <n v="1"/>
    <s v="No"/>
    <n v="14"/>
    <n v="3"/>
    <n v="2"/>
    <n v="80"/>
    <n v="0"/>
    <n v="5"/>
    <n v="3"/>
    <n v="1"/>
    <n v="5"/>
    <n v="4"/>
    <n v="0"/>
    <n v="4"/>
    <n v="0"/>
    <n v="1"/>
    <s v="25-34"/>
    <s v="Low"/>
    <s v="0-5 Years"/>
  </r>
  <r>
    <n v="1462"/>
    <n v="50"/>
    <x v="0"/>
    <s v="Travel_Rarely"/>
    <n v="410"/>
    <s v="Sales"/>
    <n v="28"/>
    <n v="3"/>
    <s v="Marketing"/>
    <n v="2055"/>
    <n v="4"/>
    <s v="Male"/>
    <n v="39"/>
    <n v="2"/>
    <n v="3"/>
    <s v="Sales Executive"/>
    <n v="1"/>
    <s v="Divorced"/>
    <n v="10854"/>
    <n v="16586"/>
    <n v="4"/>
    <s v="Yes"/>
    <n v="13"/>
    <n v="3"/>
    <n v="2"/>
    <n v="80"/>
    <n v="1"/>
    <n v="20"/>
    <n v="3"/>
    <n v="3"/>
    <n v="3"/>
    <n v="2"/>
    <n v="2"/>
    <n v="0"/>
    <n v="1"/>
    <n v="0"/>
    <s v="45-54"/>
    <s v="Upper Medium"/>
    <s v="0-5 Years"/>
  </r>
  <r>
    <n v="1463"/>
    <n v="39"/>
    <x v="1"/>
    <s v="Travel_Rarely"/>
    <n v="722"/>
    <s v="Sales"/>
    <n v="24"/>
    <n v="1"/>
    <s v="Marketing"/>
    <n v="2056"/>
    <n v="2"/>
    <s v="Female"/>
    <n v="60"/>
    <n v="2"/>
    <n v="4"/>
    <s v="Sales Executive"/>
    <n v="4"/>
    <s v="Married"/>
    <n v="12031"/>
    <n v="8828"/>
    <n v="0"/>
    <s v="No"/>
    <n v="11"/>
    <n v="3"/>
    <n v="1"/>
    <n v="80"/>
    <n v="1"/>
    <n v="21"/>
    <n v="2"/>
    <n v="2"/>
    <n v="20"/>
    <n v="9"/>
    <n v="9"/>
    <n v="6"/>
    <n v="0"/>
    <n v="1"/>
    <s v="35-44"/>
    <s v="Upper Medium"/>
    <s v="11-20 Years"/>
  </r>
  <r>
    <n v="1464"/>
    <n v="31"/>
    <x v="1"/>
    <s v="Non-Travel"/>
    <n v="325"/>
    <s v="Research &amp; Development"/>
    <n v="5"/>
    <n v="3"/>
    <s v="Medical"/>
    <n v="2057"/>
    <n v="2"/>
    <s v="Male"/>
    <n v="74"/>
    <n v="3"/>
    <n v="2"/>
    <s v="Manufacturing Director"/>
    <n v="1"/>
    <s v="Single"/>
    <n v="9936"/>
    <n v="3787"/>
    <n v="0"/>
    <s v="No"/>
    <n v="19"/>
    <n v="3"/>
    <n v="2"/>
    <n v="80"/>
    <n v="0"/>
    <n v="10"/>
    <n v="2"/>
    <n v="3"/>
    <n v="9"/>
    <n v="4"/>
    <n v="1"/>
    <n v="7"/>
    <n v="0"/>
    <n v="1"/>
    <s v="25-34"/>
    <s v="Medium"/>
    <s v="6-10 Years"/>
  </r>
  <r>
    <n v="1465"/>
    <n v="26"/>
    <x v="1"/>
    <s v="Travel_Rarely"/>
    <n v="1167"/>
    <s v="Sales"/>
    <n v="5"/>
    <n v="3"/>
    <s v="Other"/>
    <n v="2060"/>
    <n v="4"/>
    <s v="Female"/>
    <n v="30"/>
    <n v="2"/>
    <n v="1"/>
    <s v="Sales Representative"/>
    <n v="3"/>
    <s v="Single"/>
    <n v="2966"/>
    <n v="21378"/>
    <n v="0"/>
    <s v="No"/>
    <n v="18"/>
    <n v="3"/>
    <n v="4"/>
    <n v="80"/>
    <n v="0"/>
    <n v="5"/>
    <n v="2"/>
    <n v="3"/>
    <n v="4"/>
    <n v="2"/>
    <n v="0"/>
    <n v="0"/>
    <n v="0"/>
    <n v="1"/>
    <s v="25-34"/>
    <s v="Low"/>
    <s v="0-5 Years"/>
  </r>
  <r>
    <n v="1466"/>
    <n v="36"/>
    <x v="1"/>
    <s v="Travel_Frequently"/>
    <n v="884"/>
    <s v="Research &amp; Development"/>
    <n v="23"/>
    <n v="2"/>
    <s v="Medical"/>
    <n v="2061"/>
    <n v="3"/>
    <s v="Male"/>
    <n v="41"/>
    <n v="4"/>
    <n v="2"/>
    <s v="Laboratory Technician"/>
    <n v="4"/>
    <s v="Married"/>
    <n v="2571"/>
    <n v="12290"/>
    <n v="4"/>
    <s v="No"/>
    <n v="17"/>
    <n v="3"/>
    <n v="3"/>
    <n v="80"/>
    <n v="1"/>
    <n v="17"/>
    <n v="3"/>
    <n v="3"/>
    <n v="5"/>
    <n v="2"/>
    <n v="0"/>
    <n v="3"/>
    <n v="0"/>
    <n v="1"/>
    <s v="35-44"/>
    <s v="Low"/>
    <s v="0-5 Years"/>
  </r>
  <r>
    <n v="1467"/>
    <n v="39"/>
    <x v="1"/>
    <s v="Travel_Rarely"/>
    <n v="613"/>
    <s v="Research &amp; Development"/>
    <n v="6"/>
    <n v="1"/>
    <s v="Medical"/>
    <n v="2062"/>
    <n v="4"/>
    <s v="Male"/>
    <n v="42"/>
    <n v="2"/>
    <n v="3"/>
    <s v="Healthcare Representative"/>
    <n v="1"/>
    <s v="Married"/>
    <n v="9991"/>
    <n v="21457"/>
    <n v="4"/>
    <s v="No"/>
    <n v="15"/>
    <n v="3"/>
    <n v="1"/>
    <n v="80"/>
    <n v="1"/>
    <n v="9"/>
    <n v="5"/>
    <n v="3"/>
    <n v="7"/>
    <n v="7"/>
    <n v="1"/>
    <n v="7"/>
    <n v="0"/>
    <n v="1"/>
    <s v="35-44"/>
    <s v="Medium"/>
    <s v="6-10 Years"/>
  </r>
  <r>
    <n v="1468"/>
    <n v="27"/>
    <x v="1"/>
    <s v="Travel_Rarely"/>
    <n v="155"/>
    <s v="Research &amp; Development"/>
    <n v="4"/>
    <n v="3"/>
    <s v="Life Sciences"/>
    <n v="2064"/>
    <n v="2"/>
    <s v="Male"/>
    <n v="87"/>
    <n v="4"/>
    <n v="2"/>
    <s v="Manufacturing Director"/>
    <n v="2"/>
    <s v="Married"/>
    <n v="6142"/>
    <n v="5174"/>
    <n v="1"/>
    <s v="Yes"/>
    <n v="20"/>
    <n v="4"/>
    <n v="2"/>
    <n v="80"/>
    <n v="1"/>
    <n v="6"/>
    <n v="0"/>
    <n v="3"/>
    <n v="6"/>
    <n v="2"/>
    <n v="0"/>
    <n v="3"/>
    <n v="0"/>
    <n v="1"/>
    <s v="25-34"/>
    <s v="Medium"/>
    <s v="6-10 Years"/>
  </r>
  <r>
    <n v="1469"/>
    <n v="49"/>
    <x v="1"/>
    <s v="Travel_Frequently"/>
    <n v="1023"/>
    <s v="Sales"/>
    <n v="2"/>
    <n v="3"/>
    <s v="Medical"/>
    <n v="2065"/>
    <n v="4"/>
    <s v="Male"/>
    <n v="63"/>
    <n v="2"/>
    <n v="2"/>
    <s v="Sales Executive"/>
    <n v="2"/>
    <s v="Married"/>
    <n v="5390"/>
    <n v="13243"/>
    <n v="2"/>
    <s v="No"/>
    <n v="14"/>
    <n v="3"/>
    <n v="4"/>
    <n v="80"/>
    <n v="0"/>
    <n v="17"/>
    <n v="3"/>
    <n v="2"/>
    <n v="9"/>
    <n v="6"/>
    <n v="0"/>
    <n v="8"/>
    <n v="0"/>
    <n v="1"/>
    <s v="45-54"/>
    <s v="Medium"/>
    <s v="6-10 Years"/>
  </r>
  <r>
    <n v="1470"/>
    <n v="34"/>
    <x v="1"/>
    <s v="Travel_Rarely"/>
    <n v="628"/>
    <s v="Research &amp; Development"/>
    <n v="8"/>
    <n v="3"/>
    <s v="Medical"/>
    <n v="2068"/>
    <n v="2"/>
    <s v="Male"/>
    <n v="82"/>
    <n v="4"/>
    <n v="2"/>
    <s v="Laboratory Technician"/>
    <n v="3"/>
    <s v="Married"/>
    <n v="4404"/>
    <n v="10228"/>
    <n v="2"/>
    <s v="No"/>
    <n v="12"/>
    <n v="3"/>
    <n v="1"/>
    <n v="80"/>
    <n v="0"/>
    <n v="6"/>
    <n v="3"/>
    <n v="4"/>
    <n v="4"/>
    <n v="3"/>
    <n v="1"/>
    <n v="2"/>
    <n v="0"/>
    <n v="1"/>
    <s v="25-34"/>
    <s v="Low"/>
    <s v="0-5 Years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A89E2EE-0C9D-4125-907E-8DF5BB45E322}" name="PivotTable1" cacheId="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2:B5" firstHeaderRow="1" firstDataRow="1" firstDataCol="1"/>
  <pivotFields count="39">
    <pivotField dataField="1" showAll="0"/>
    <pivotField showAll="0"/>
    <pivotField axis="axisRow" showAll="0">
      <items count="3">
        <item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2"/>
  </rowFields>
  <rowItems count="3">
    <i>
      <x/>
    </i>
    <i>
      <x v="1"/>
    </i>
    <i t="grand">
      <x/>
    </i>
  </rowItems>
  <colItems count="1">
    <i/>
  </colItems>
  <dataFields count="1">
    <dataField name="Count of ID" fld="0" subtotal="count" baseField="2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2D55B718-21FE-4C93-B16E-9E6CD51CE0D4}" autoFormatId="16" applyNumberFormats="0" applyBorderFormats="0" applyFontFormats="0" applyPatternFormats="0" applyAlignmentFormats="0" applyWidthHeightFormats="0">
  <queryTableRefresh nextId="42" unboundColumnsLeft="1" unboundColumnsRight="5">
    <queryTableFields count="39">
      <queryTableField id="41" dataBound="0" tableColumnId="41"/>
      <queryTableField id="1" name="Age" tableColumnId="1"/>
      <queryTableField id="2" name="Attrition" tableColumnId="2"/>
      <queryTableField id="3" name="BusinessTravel" tableColumnId="3"/>
      <queryTableField id="4" name="DailyRate" tableColumnId="4"/>
      <queryTableField id="5" name="Department" tableColumnId="5"/>
      <queryTableField id="6" name="DistanceFromHome" tableColumnId="6"/>
      <queryTableField id="7" name="Education" tableColumnId="7"/>
      <queryTableField id="8" name="EducationField" tableColumnId="8"/>
      <queryTableField id="10" name="EmployeeNumber" tableColumnId="10"/>
      <queryTableField id="11" name="EnvironmentSatisfaction" tableColumnId="11"/>
      <queryTableField id="12" name="Gender" tableColumnId="12"/>
      <queryTableField id="13" name="HourlyRate" tableColumnId="13"/>
      <queryTableField id="14" name="JobInvolvement" tableColumnId="14"/>
      <queryTableField id="15" name="JobLevel" tableColumnId="15"/>
      <queryTableField id="16" name="JobRole" tableColumnId="16"/>
      <queryTableField id="17" name="JobSatisfaction" tableColumnId="17"/>
      <queryTableField id="18" name="MaritalStatus" tableColumnId="18"/>
      <queryTableField id="19" name="MonthlyIncome" tableColumnId="19"/>
      <queryTableField id="20" name="MonthlyRate" tableColumnId="20"/>
      <queryTableField id="21" name="NumCompaniesWorked" tableColumnId="21"/>
      <queryTableField id="23" name="OverTime" tableColumnId="23"/>
      <queryTableField id="24" name="PercentSalaryHike" tableColumnId="24"/>
      <queryTableField id="25" name="PerformanceRating" tableColumnId="25"/>
      <queryTableField id="26" name="RelationshipSatisfaction" tableColumnId="26"/>
      <queryTableField id="27" name="StandardHours" tableColumnId="27"/>
      <queryTableField id="28" name="StockOptionLevel" tableColumnId="28"/>
      <queryTableField id="29" name="TotalWorkingYears" tableColumnId="29"/>
      <queryTableField id="30" name="TrainingTimesLastYear" tableColumnId="30"/>
      <queryTableField id="31" name="WorkLifeBalance" tableColumnId="31"/>
      <queryTableField id="32" name="YearsAtCompany" tableColumnId="32"/>
      <queryTableField id="33" name="YearsInCurrentRole" tableColumnId="33"/>
      <queryTableField id="34" name="YearsSinceLastPromotion" tableColumnId="34"/>
      <queryTableField id="35" name="YearsWithCurrManager" tableColumnId="35"/>
      <queryTableField id="36" dataBound="0" tableColumnId="36"/>
      <queryTableField id="37" dataBound="0" tableColumnId="37"/>
      <queryTableField id="38" dataBound="0" tableColumnId="38"/>
      <queryTableField id="39" dataBound="0" tableColumnId="39"/>
      <queryTableField id="40" dataBound="0" tableColumnId="40"/>
    </queryTableFields>
    <queryTableDeletedFields count="2">
      <deletedField name="Over18"/>
      <deletedField name="EmployeeCount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D81C4A9-EFB3-4970-A818-1679325BDC5C}" name="tbl_HRData" displayName="tbl_HRData" ref="A1:AM1471" tableType="queryTable" totalsRowShown="0">
  <autoFilter ref="A1:AM1471" xr:uid="{7D81C4A9-EFB3-4970-A818-1679325BDC5C}"/>
  <tableColumns count="39">
    <tableColumn id="41" xr3:uid="{4FD945BF-7D26-48F5-8611-22938CD64424}" uniqueName="41" name="ID" queryTableFieldId="41" dataDxfId="0"/>
    <tableColumn id="1" xr3:uid="{24766096-9F1D-48EE-BB1E-E85684DAC787}" uniqueName="1" name="Age" queryTableFieldId="1"/>
    <tableColumn id="2" xr3:uid="{4A4D8988-479A-49DF-9307-F85173285996}" uniqueName="2" name="Attrition" queryTableFieldId="2" dataDxfId="13"/>
    <tableColumn id="3" xr3:uid="{9A7532B1-C11B-4B3D-AAF7-0529B47A3164}" uniqueName="3" name="BusinessTravel" queryTableFieldId="3" dataDxfId="12"/>
    <tableColumn id="4" xr3:uid="{57AD91C7-C899-4DBA-BEF4-4CA26BF6C78B}" uniqueName="4" name="DailyRate" queryTableFieldId="4"/>
    <tableColumn id="5" xr3:uid="{A3E71908-76E6-41AE-ACC3-F1B162F5D084}" uniqueName="5" name="Department" queryTableFieldId="5" dataDxfId="11"/>
    <tableColumn id="6" xr3:uid="{E53FAB5F-3461-49A0-9177-EB48FE1C97B9}" uniqueName="6" name="DistanceFromHome" queryTableFieldId="6"/>
    <tableColumn id="7" xr3:uid="{1107EC98-F195-4EBD-A5C0-BFB76980F93C}" uniqueName="7" name="Education" queryTableFieldId="7"/>
    <tableColumn id="8" xr3:uid="{92402F02-CFA3-4713-9380-952ED5265F90}" uniqueName="8" name="EducationField" queryTableFieldId="8" dataDxfId="10"/>
    <tableColumn id="10" xr3:uid="{DC2FF905-8FC3-4F5B-8122-D7461AFBC94B}" uniqueName="10" name="EmployeeNumber" queryTableFieldId="10"/>
    <tableColumn id="11" xr3:uid="{080B9DEA-98AD-47AE-BD2B-7AE12D49540D}" uniqueName="11" name="EnvironmentSatisfaction" queryTableFieldId="11"/>
    <tableColumn id="12" xr3:uid="{D8F8C16D-FDC0-4C5C-9ED1-8F17DA3EDEE9}" uniqueName="12" name="Gender" queryTableFieldId="12" dataDxfId="9"/>
    <tableColumn id="13" xr3:uid="{694C0FE2-0B6F-4205-8634-A465BEA2B37C}" uniqueName="13" name="HourlyRate" queryTableFieldId="13"/>
    <tableColumn id="14" xr3:uid="{4B153713-CB28-4CB1-A82F-E0C99C898A84}" uniqueName="14" name="JobInvolvement" queryTableFieldId="14"/>
    <tableColumn id="15" xr3:uid="{60E3B7D1-1426-48F1-AFE0-71AD869E6F83}" uniqueName="15" name="JobLevel" queryTableFieldId="15"/>
    <tableColumn id="16" xr3:uid="{DD961D94-EA18-435B-ADE0-A6EA3E1FBE11}" uniqueName="16" name="JobRole" queryTableFieldId="16" dataDxfId="8"/>
    <tableColumn id="17" xr3:uid="{4288F37D-316B-4802-8717-D7BEF090FBEC}" uniqueName="17" name="JobSatisfaction" queryTableFieldId="17"/>
    <tableColumn id="18" xr3:uid="{DE4FE205-1B54-4C27-AF4A-5C5D7C3339C0}" uniqueName="18" name="MaritalStatus" queryTableFieldId="18" dataDxfId="7"/>
    <tableColumn id="19" xr3:uid="{F5AC545C-724B-492D-B845-52D5643C892B}" uniqueName="19" name="MonthlyIncome" queryTableFieldId="19"/>
    <tableColumn id="20" xr3:uid="{1FA342BF-4EC3-4F09-86A6-98CBF072D997}" uniqueName="20" name="MonthlyRate" queryTableFieldId="20"/>
    <tableColumn id="21" xr3:uid="{BF216635-64DD-4233-9D72-24365297880B}" uniqueName="21" name="NumCompaniesWorked" queryTableFieldId="21"/>
    <tableColumn id="23" xr3:uid="{EDAA169D-1CE3-4476-A6BD-D86CDFF9AE91}" uniqueName="23" name="OverTime" queryTableFieldId="23" dataDxfId="6"/>
    <tableColumn id="24" xr3:uid="{47A3C22F-297F-49BA-8BC3-DAE6C66A3165}" uniqueName="24" name="PercentSalaryHike" queryTableFieldId="24"/>
    <tableColumn id="25" xr3:uid="{646C8CC6-68A1-45D1-9CDB-CFCF0E55F9A5}" uniqueName="25" name="PerformanceRating" queryTableFieldId="25"/>
    <tableColumn id="26" xr3:uid="{86F18DEF-25DB-4841-A7B6-48800CF354B1}" uniqueName="26" name="RelationshipSatisfaction" queryTableFieldId="26"/>
    <tableColumn id="27" xr3:uid="{19856D3F-AA18-43B9-AA9B-2EE8300879F2}" uniqueName="27" name="StandardHours" queryTableFieldId="27"/>
    <tableColumn id="28" xr3:uid="{06BF9D15-F2B7-42CD-A65D-D95DB1B0974B}" uniqueName="28" name="StockOptionLevel" queryTableFieldId="28"/>
    <tableColumn id="29" xr3:uid="{F0548884-25D0-4289-A03C-2BEA4C5BA834}" uniqueName="29" name="TotalWorkingYears" queryTableFieldId="29"/>
    <tableColumn id="30" xr3:uid="{404BDE08-4852-41EB-BC59-912989D0DD70}" uniqueName="30" name="TrainingTimesLastYear" queryTableFieldId="30"/>
    <tableColumn id="31" xr3:uid="{7F34311D-D005-421A-B581-B725F939F9E9}" uniqueName="31" name="WorkLifeBalance" queryTableFieldId="31"/>
    <tableColumn id="32" xr3:uid="{29C4C385-A53C-4F49-A69D-8EDB1734106F}" uniqueName="32" name="YearsAtCompany" queryTableFieldId="32"/>
    <tableColumn id="33" xr3:uid="{E44C52E8-0784-4F13-B6BC-952A9F08DC9E}" uniqueName="33" name="YearsInCurrentRole" queryTableFieldId="33"/>
    <tableColumn id="34" xr3:uid="{F098D6C6-9EFD-4B49-836B-06F7D5009F8E}" uniqueName="34" name="YearsSinceLastPromotion" queryTableFieldId="34"/>
    <tableColumn id="35" xr3:uid="{F00B293A-6FFA-40E3-90AA-D76D018377EB}" uniqueName="35" name="YearsWithCurrManager" queryTableFieldId="35"/>
    <tableColumn id="36" xr3:uid="{0818CFCF-E227-4DF8-8057-5EC07CAE6A83}" uniqueName="36" name="Attrition_Flag" queryTableFieldId="36" dataDxfId="5">
      <calculatedColumnFormula>IF(tbl_HRData[[#This Row],[Attrition]] = "Yes",1,0)</calculatedColumnFormula>
    </tableColumn>
    <tableColumn id="37" xr3:uid="{0DD604A5-8C46-453C-B334-1D3BF8208BFB}" uniqueName="37" name="Active_Employee" queryTableFieldId="37" dataDxfId="4">
      <calculatedColumnFormula>IF(tbl_HRData[[#This Row],[Attrition]] = "No",1,0)</calculatedColumnFormula>
    </tableColumn>
    <tableColumn id="38" xr3:uid="{5C9F5426-144D-43BC-B85D-B9A2C17D8EAE}" uniqueName="38" name="Age_Group" queryTableFieldId="38" dataDxfId="3">
      <calculatedColumnFormula>IF(tbl_HRData[[#This Row],[Age]] &lt; 25, "Under 25", IF(tbl_HRData[[#This Row],[Age]] &lt;= 34, "25-34", IF(tbl_HRData[[#This Row],[Age]] &lt;= 44, "35-44", IF(tbl_HRData[[#This Row],[Age]] &lt;= 54, "45-54", "55+"))))</calculatedColumnFormula>
    </tableColumn>
    <tableColumn id="39" xr3:uid="{D59C4A1D-17DB-429F-9D4B-6D8EEC65BAAB}" uniqueName="39" name="Income_Band" queryTableFieldId="39" dataDxfId="2">
      <calculatedColumnFormula>IF(tbl_HRData[[#This Row],[MonthlyIncome]]&lt;5000,"Low",
IF(tbl_HRData[[#This Row],[MonthlyIncome]]&lt;10000,"Medium",
IF(tbl_HRData[[#This Row],[MonthlyIncome]]&lt;15000,"Upper Medium","High")))</calculatedColumnFormula>
    </tableColumn>
    <tableColumn id="40" xr3:uid="{C74CAFA4-9813-4EC2-9533-880148B78C9E}" uniqueName="40" name="Service_Band" queryTableFieldId="40" dataDxfId="1">
      <calculatedColumnFormula>IF(tbl_HRData[[#This Row],[YearsAtCompany]]&lt;=5,"0-5 Years",
IF(tbl_HRData[[#This Row],[YearsAtCompany]]&lt;=10,"6-10 Years",
IF(tbl_HRData[[#This Row],[YearsAtCompany]]&lt;=20,"11-20 Years","21+ Years")))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14C3A8-91E7-4D6A-8116-F74285C5E78B}">
  <dimension ref="A1:AM1471"/>
  <sheetViews>
    <sheetView tabSelected="1" workbookViewId="0"/>
  </sheetViews>
  <sheetFormatPr defaultRowHeight="14.5" x14ac:dyDescent="0.35"/>
  <cols>
    <col min="1" max="1" width="6.1796875" bestFit="1" customWidth="1"/>
    <col min="2" max="2" width="10.26953125" bestFit="1" customWidth="1"/>
    <col min="3" max="3" width="15.90625" bestFit="1" customWidth="1"/>
    <col min="4" max="4" width="11" bestFit="1" customWidth="1"/>
    <col min="5" max="5" width="22.08984375" bestFit="1" customWidth="1"/>
    <col min="6" max="6" width="19.81640625" bestFit="1" customWidth="1"/>
    <col min="7" max="7" width="11.453125" bestFit="1" customWidth="1"/>
    <col min="8" max="8" width="15.90625" bestFit="1" customWidth="1"/>
    <col min="9" max="9" width="18.1796875" bestFit="1" customWidth="1"/>
    <col min="10" max="10" width="23.90625" bestFit="1" customWidth="1"/>
    <col min="11" max="11" width="9.26953125" bestFit="1" customWidth="1"/>
    <col min="12" max="12" width="12.453125" bestFit="1" customWidth="1"/>
    <col min="13" max="13" width="16.453125" bestFit="1" customWidth="1"/>
    <col min="14" max="14" width="10.08984375" bestFit="1" customWidth="1"/>
    <col min="15" max="15" width="23" bestFit="1" customWidth="1"/>
    <col min="16" max="16" width="15.7265625" bestFit="1" customWidth="1"/>
    <col min="17" max="17" width="14.453125" bestFit="1" customWidth="1"/>
    <col min="18" max="18" width="16.453125" bestFit="1" customWidth="1"/>
    <col min="19" max="19" width="14" bestFit="1" customWidth="1"/>
    <col min="20" max="20" width="23.36328125" bestFit="1" customWidth="1"/>
    <col min="21" max="21" width="11.1796875" bestFit="1" customWidth="1"/>
    <col min="22" max="22" width="18.36328125" bestFit="1" customWidth="1"/>
    <col min="23" max="23" width="19.36328125" bestFit="1" customWidth="1"/>
    <col min="24" max="24" width="23.453125" bestFit="1" customWidth="1"/>
    <col min="25" max="25" width="15.81640625" bestFit="1" customWidth="1"/>
    <col min="26" max="26" width="17.7265625" bestFit="1" customWidth="1"/>
    <col min="27" max="27" width="19.08984375" bestFit="1" customWidth="1"/>
    <col min="28" max="28" width="22" bestFit="1" customWidth="1"/>
    <col min="29" max="29" width="17.1796875" bestFit="1" customWidth="1"/>
    <col min="30" max="30" width="17.54296875" bestFit="1" customWidth="1"/>
    <col min="31" max="31" width="19.54296875" bestFit="1" customWidth="1"/>
    <col min="32" max="32" width="24.54296875" bestFit="1" customWidth="1"/>
    <col min="33" max="33" width="23" bestFit="1" customWidth="1"/>
    <col min="34" max="34" width="14.54296875" bestFit="1" customWidth="1"/>
    <col min="35" max="35" width="17.453125" bestFit="1" customWidth="1"/>
    <col min="36" max="36" width="12.453125" bestFit="1" customWidth="1"/>
    <col min="37" max="37" width="14.54296875" bestFit="1" customWidth="1"/>
  </cols>
  <sheetData>
    <row r="1" spans="1:39" x14ac:dyDescent="0.35">
      <c r="A1" t="s">
        <v>64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t="s">
        <v>20</v>
      </c>
      <c r="W1" t="s">
        <v>21</v>
      </c>
      <c r="X1" t="s">
        <v>22</v>
      </c>
      <c r="Y1" t="s">
        <v>23</v>
      </c>
      <c r="Z1" t="s">
        <v>24</v>
      </c>
      <c r="AA1" t="s">
        <v>25</v>
      </c>
      <c r="AB1" t="s">
        <v>26</v>
      </c>
      <c r="AC1" t="s">
        <v>27</v>
      </c>
      <c r="AD1" t="s">
        <v>28</v>
      </c>
      <c r="AE1" t="s">
        <v>29</v>
      </c>
      <c r="AF1" t="s">
        <v>30</v>
      </c>
      <c r="AG1" t="s">
        <v>31</v>
      </c>
      <c r="AH1" t="s">
        <v>32</v>
      </c>
      <c r="AI1" t="s">
        <v>59</v>
      </c>
      <c r="AJ1" t="s">
        <v>60</v>
      </c>
      <c r="AK1" t="s">
        <v>61</v>
      </c>
      <c r="AL1" t="s">
        <v>62</v>
      </c>
      <c r="AM1" t="s">
        <v>63</v>
      </c>
    </row>
    <row r="2" spans="1:39" x14ac:dyDescent="0.35">
      <c r="A2" s="1">
        <v>1</v>
      </c>
      <c r="B2">
        <v>41</v>
      </c>
      <c r="C2" s="1" t="s">
        <v>33</v>
      </c>
      <c r="D2" s="1" t="s">
        <v>34</v>
      </c>
      <c r="E2">
        <v>1102</v>
      </c>
      <c r="F2" s="1" t="s">
        <v>35</v>
      </c>
      <c r="G2">
        <v>1</v>
      </c>
      <c r="H2">
        <v>2</v>
      </c>
      <c r="I2" s="1" t="s">
        <v>36</v>
      </c>
      <c r="J2">
        <v>1</v>
      </c>
      <c r="K2">
        <v>2</v>
      </c>
      <c r="L2" s="1" t="s">
        <v>37</v>
      </c>
      <c r="M2">
        <v>94</v>
      </c>
      <c r="N2">
        <v>3</v>
      </c>
      <c r="O2">
        <v>2</v>
      </c>
      <c r="P2" s="1" t="s">
        <v>38</v>
      </c>
      <c r="Q2">
        <v>4</v>
      </c>
      <c r="R2" s="1" t="s">
        <v>39</v>
      </c>
      <c r="S2">
        <v>5993</v>
      </c>
      <c r="T2">
        <v>19479</v>
      </c>
      <c r="U2">
        <v>8</v>
      </c>
      <c r="V2" s="1" t="s">
        <v>33</v>
      </c>
      <c r="W2">
        <v>11</v>
      </c>
      <c r="X2">
        <v>3</v>
      </c>
      <c r="Y2">
        <v>1</v>
      </c>
      <c r="Z2">
        <v>80</v>
      </c>
      <c r="AA2">
        <v>0</v>
      </c>
      <c r="AB2">
        <v>8</v>
      </c>
      <c r="AC2">
        <v>0</v>
      </c>
      <c r="AD2">
        <v>1</v>
      </c>
      <c r="AE2">
        <v>6</v>
      </c>
      <c r="AF2">
        <v>4</v>
      </c>
      <c r="AG2">
        <v>0</v>
      </c>
      <c r="AH2">
        <v>5</v>
      </c>
      <c r="AI2">
        <f>IF(tbl_HRData[[#This Row],[Attrition]] = "Yes",1,0)</f>
        <v>1</v>
      </c>
      <c r="AJ2">
        <f>IF(tbl_HRData[[#This Row],[Attrition]] = "No",1,0)</f>
        <v>0</v>
      </c>
      <c r="AK2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2" s="1" t="str">
        <f>IF(tbl_HRData[[#This Row],[MonthlyIncome]]&lt;5000,"Low",
IF(tbl_HRData[[#This Row],[MonthlyIncome]]&lt;10000,"Medium",
IF(tbl_HRData[[#This Row],[MonthlyIncome]]&lt;15000,"Upper Medium","High")))</f>
        <v>Medium</v>
      </c>
      <c r="AM2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3" spans="1:39" x14ac:dyDescent="0.35">
      <c r="A3" s="1">
        <v>2</v>
      </c>
      <c r="B3">
        <v>49</v>
      </c>
      <c r="C3" s="1" t="s">
        <v>40</v>
      </c>
      <c r="D3" s="1" t="s">
        <v>41</v>
      </c>
      <c r="E3">
        <v>279</v>
      </c>
      <c r="F3" s="1" t="s">
        <v>42</v>
      </c>
      <c r="G3">
        <v>8</v>
      </c>
      <c r="H3">
        <v>1</v>
      </c>
      <c r="I3" s="1" t="s">
        <v>36</v>
      </c>
      <c r="J3">
        <v>2</v>
      </c>
      <c r="K3">
        <v>3</v>
      </c>
      <c r="L3" s="1" t="s">
        <v>43</v>
      </c>
      <c r="M3">
        <v>61</v>
      </c>
      <c r="N3">
        <v>2</v>
      </c>
      <c r="O3">
        <v>2</v>
      </c>
      <c r="P3" s="1" t="s">
        <v>44</v>
      </c>
      <c r="Q3">
        <v>2</v>
      </c>
      <c r="R3" s="1" t="s">
        <v>45</v>
      </c>
      <c r="S3">
        <v>5130</v>
      </c>
      <c r="T3">
        <v>24907</v>
      </c>
      <c r="U3">
        <v>1</v>
      </c>
      <c r="V3" s="1" t="s">
        <v>40</v>
      </c>
      <c r="W3">
        <v>23</v>
      </c>
      <c r="X3">
        <v>4</v>
      </c>
      <c r="Y3">
        <v>4</v>
      </c>
      <c r="Z3">
        <v>80</v>
      </c>
      <c r="AA3">
        <v>1</v>
      </c>
      <c r="AB3">
        <v>10</v>
      </c>
      <c r="AC3">
        <v>3</v>
      </c>
      <c r="AD3">
        <v>3</v>
      </c>
      <c r="AE3">
        <v>10</v>
      </c>
      <c r="AF3">
        <v>7</v>
      </c>
      <c r="AG3">
        <v>1</v>
      </c>
      <c r="AH3">
        <v>7</v>
      </c>
      <c r="AI3">
        <f>IF(tbl_HRData[[#This Row],[Attrition]] = "Yes",1,0)</f>
        <v>0</v>
      </c>
      <c r="AJ3">
        <f>IF(tbl_HRData[[#This Row],[Attrition]] = "No",1,0)</f>
        <v>1</v>
      </c>
      <c r="AK3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3" s="1" t="str">
        <f>IF(tbl_HRData[[#This Row],[MonthlyIncome]]&lt;5000,"Low",
IF(tbl_HRData[[#This Row],[MonthlyIncome]]&lt;10000,"Medium",
IF(tbl_HRData[[#This Row],[MonthlyIncome]]&lt;15000,"Upper Medium","High")))</f>
        <v>Medium</v>
      </c>
      <c r="AM3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4" spans="1:39" x14ac:dyDescent="0.35">
      <c r="A4" s="1">
        <v>3</v>
      </c>
      <c r="B4">
        <v>37</v>
      </c>
      <c r="C4" s="1" t="s">
        <v>33</v>
      </c>
      <c r="D4" s="1" t="s">
        <v>34</v>
      </c>
      <c r="E4">
        <v>1373</v>
      </c>
      <c r="F4" s="1" t="s">
        <v>42</v>
      </c>
      <c r="G4">
        <v>2</v>
      </c>
      <c r="H4">
        <v>2</v>
      </c>
      <c r="I4" s="1" t="s">
        <v>46</v>
      </c>
      <c r="J4">
        <v>4</v>
      </c>
      <c r="K4">
        <v>4</v>
      </c>
      <c r="L4" s="1" t="s">
        <v>43</v>
      </c>
      <c r="M4">
        <v>92</v>
      </c>
      <c r="N4">
        <v>2</v>
      </c>
      <c r="O4">
        <v>1</v>
      </c>
      <c r="P4" s="1" t="s">
        <v>47</v>
      </c>
      <c r="Q4">
        <v>3</v>
      </c>
      <c r="R4" s="1" t="s">
        <v>39</v>
      </c>
      <c r="S4">
        <v>2090</v>
      </c>
      <c r="T4">
        <v>2396</v>
      </c>
      <c r="U4">
        <v>6</v>
      </c>
      <c r="V4" s="1" t="s">
        <v>33</v>
      </c>
      <c r="W4">
        <v>15</v>
      </c>
      <c r="X4">
        <v>3</v>
      </c>
      <c r="Y4">
        <v>2</v>
      </c>
      <c r="Z4">
        <v>80</v>
      </c>
      <c r="AA4">
        <v>0</v>
      </c>
      <c r="AB4">
        <v>7</v>
      </c>
      <c r="AC4">
        <v>3</v>
      </c>
      <c r="AD4">
        <v>3</v>
      </c>
      <c r="AE4">
        <v>0</v>
      </c>
      <c r="AF4">
        <v>0</v>
      </c>
      <c r="AG4">
        <v>0</v>
      </c>
      <c r="AH4">
        <v>0</v>
      </c>
      <c r="AI4">
        <f>IF(tbl_HRData[[#This Row],[Attrition]] = "Yes",1,0)</f>
        <v>1</v>
      </c>
      <c r="AJ4">
        <f>IF(tbl_HRData[[#This Row],[Attrition]] = "No",1,0)</f>
        <v>0</v>
      </c>
      <c r="AK4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4" s="1" t="str">
        <f>IF(tbl_HRData[[#This Row],[MonthlyIncome]]&lt;5000,"Low",
IF(tbl_HRData[[#This Row],[MonthlyIncome]]&lt;10000,"Medium",
IF(tbl_HRData[[#This Row],[MonthlyIncome]]&lt;15000,"Upper Medium","High")))</f>
        <v>Low</v>
      </c>
      <c r="AM4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5" spans="1:39" x14ac:dyDescent="0.35">
      <c r="A5" s="1">
        <v>4</v>
      </c>
      <c r="B5">
        <v>33</v>
      </c>
      <c r="C5" s="1" t="s">
        <v>40</v>
      </c>
      <c r="D5" s="1" t="s">
        <v>41</v>
      </c>
      <c r="E5">
        <v>1392</v>
      </c>
      <c r="F5" s="1" t="s">
        <v>42</v>
      </c>
      <c r="G5">
        <v>3</v>
      </c>
      <c r="H5">
        <v>4</v>
      </c>
      <c r="I5" s="1" t="s">
        <v>36</v>
      </c>
      <c r="J5">
        <v>5</v>
      </c>
      <c r="K5">
        <v>4</v>
      </c>
      <c r="L5" s="1" t="s">
        <v>37</v>
      </c>
      <c r="M5">
        <v>56</v>
      </c>
      <c r="N5">
        <v>3</v>
      </c>
      <c r="O5">
        <v>1</v>
      </c>
      <c r="P5" s="1" t="s">
        <v>44</v>
      </c>
      <c r="Q5">
        <v>3</v>
      </c>
      <c r="R5" s="1" t="s">
        <v>45</v>
      </c>
      <c r="S5">
        <v>2909</v>
      </c>
      <c r="T5">
        <v>23159</v>
      </c>
      <c r="U5">
        <v>1</v>
      </c>
      <c r="V5" s="1" t="s">
        <v>33</v>
      </c>
      <c r="W5">
        <v>11</v>
      </c>
      <c r="X5">
        <v>3</v>
      </c>
      <c r="Y5">
        <v>3</v>
      </c>
      <c r="Z5">
        <v>80</v>
      </c>
      <c r="AA5">
        <v>0</v>
      </c>
      <c r="AB5">
        <v>8</v>
      </c>
      <c r="AC5">
        <v>3</v>
      </c>
      <c r="AD5">
        <v>3</v>
      </c>
      <c r="AE5">
        <v>8</v>
      </c>
      <c r="AF5">
        <v>7</v>
      </c>
      <c r="AG5">
        <v>3</v>
      </c>
      <c r="AH5">
        <v>0</v>
      </c>
      <c r="AI5">
        <f>IF(tbl_HRData[[#This Row],[Attrition]] = "Yes",1,0)</f>
        <v>0</v>
      </c>
      <c r="AJ5">
        <f>IF(tbl_HRData[[#This Row],[Attrition]] = "No",1,0)</f>
        <v>1</v>
      </c>
      <c r="AK5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5" s="1" t="str">
        <f>IF(tbl_HRData[[#This Row],[MonthlyIncome]]&lt;5000,"Low",
IF(tbl_HRData[[#This Row],[MonthlyIncome]]&lt;10000,"Medium",
IF(tbl_HRData[[#This Row],[MonthlyIncome]]&lt;15000,"Upper Medium","High")))</f>
        <v>Low</v>
      </c>
      <c r="AM5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6" spans="1:39" x14ac:dyDescent="0.35">
      <c r="A6" s="1">
        <v>5</v>
      </c>
      <c r="B6">
        <v>27</v>
      </c>
      <c r="C6" s="1" t="s">
        <v>40</v>
      </c>
      <c r="D6" s="1" t="s">
        <v>34</v>
      </c>
      <c r="E6">
        <v>591</v>
      </c>
      <c r="F6" s="1" t="s">
        <v>42</v>
      </c>
      <c r="G6">
        <v>2</v>
      </c>
      <c r="H6">
        <v>1</v>
      </c>
      <c r="I6" s="1" t="s">
        <v>48</v>
      </c>
      <c r="J6">
        <v>7</v>
      </c>
      <c r="K6">
        <v>1</v>
      </c>
      <c r="L6" s="1" t="s">
        <v>43</v>
      </c>
      <c r="M6">
        <v>40</v>
      </c>
      <c r="N6">
        <v>3</v>
      </c>
      <c r="O6">
        <v>1</v>
      </c>
      <c r="P6" s="1" t="s">
        <v>47</v>
      </c>
      <c r="Q6">
        <v>2</v>
      </c>
      <c r="R6" s="1" t="s">
        <v>45</v>
      </c>
      <c r="S6">
        <v>3468</v>
      </c>
      <c r="T6">
        <v>16632</v>
      </c>
      <c r="U6">
        <v>9</v>
      </c>
      <c r="V6" s="1" t="s">
        <v>40</v>
      </c>
      <c r="W6">
        <v>12</v>
      </c>
      <c r="X6">
        <v>3</v>
      </c>
      <c r="Y6">
        <v>4</v>
      </c>
      <c r="Z6">
        <v>80</v>
      </c>
      <c r="AA6">
        <v>1</v>
      </c>
      <c r="AB6">
        <v>6</v>
      </c>
      <c r="AC6">
        <v>3</v>
      </c>
      <c r="AD6">
        <v>3</v>
      </c>
      <c r="AE6">
        <v>2</v>
      </c>
      <c r="AF6">
        <v>2</v>
      </c>
      <c r="AG6">
        <v>2</v>
      </c>
      <c r="AH6">
        <v>2</v>
      </c>
      <c r="AI6">
        <f>IF(tbl_HRData[[#This Row],[Attrition]] = "Yes",1,0)</f>
        <v>0</v>
      </c>
      <c r="AJ6">
        <f>IF(tbl_HRData[[#This Row],[Attrition]] = "No",1,0)</f>
        <v>1</v>
      </c>
      <c r="AK6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6" s="1" t="str">
        <f>IF(tbl_HRData[[#This Row],[MonthlyIncome]]&lt;5000,"Low",
IF(tbl_HRData[[#This Row],[MonthlyIncome]]&lt;10000,"Medium",
IF(tbl_HRData[[#This Row],[MonthlyIncome]]&lt;15000,"Upper Medium","High")))</f>
        <v>Low</v>
      </c>
      <c r="AM6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7" spans="1:39" x14ac:dyDescent="0.35">
      <c r="A7" s="1">
        <v>6</v>
      </c>
      <c r="B7">
        <v>32</v>
      </c>
      <c r="C7" s="1" t="s">
        <v>40</v>
      </c>
      <c r="D7" s="1" t="s">
        <v>41</v>
      </c>
      <c r="E7">
        <v>1005</v>
      </c>
      <c r="F7" s="1" t="s">
        <v>42</v>
      </c>
      <c r="G7">
        <v>2</v>
      </c>
      <c r="H7">
        <v>2</v>
      </c>
      <c r="I7" s="1" t="s">
        <v>36</v>
      </c>
      <c r="J7">
        <v>8</v>
      </c>
      <c r="K7">
        <v>4</v>
      </c>
      <c r="L7" s="1" t="s">
        <v>43</v>
      </c>
      <c r="M7">
        <v>79</v>
      </c>
      <c r="N7">
        <v>3</v>
      </c>
      <c r="O7">
        <v>1</v>
      </c>
      <c r="P7" s="1" t="s">
        <v>47</v>
      </c>
      <c r="Q7">
        <v>4</v>
      </c>
      <c r="R7" s="1" t="s">
        <v>39</v>
      </c>
      <c r="S7">
        <v>3068</v>
      </c>
      <c r="T7">
        <v>11864</v>
      </c>
      <c r="U7">
        <v>0</v>
      </c>
      <c r="V7" s="1" t="s">
        <v>40</v>
      </c>
      <c r="W7">
        <v>13</v>
      </c>
      <c r="X7">
        <v>3</v>
      </c>
      <c r="Y7">
        <v>3</v>
      </c>
      <c r="Z7">
        <v>80</v>
      </c>
      <c r="AA7">
        <v>0</v>
      </c>
      <c r="AB7">
        <v>8</v>
      </c>
      <c r="AC7">
        <v>2</v>
      </c>
      <c r="AD7">
        <v>2</v>
      </c>
      <c r="AE7">
        <v>7</v>
      </c>
      <c r="AF7">
        <v>7</v>
      </c>
      <c r="AG7">
        <v>3</v>
      </c>
      <c r="AH7">
        <v>6</v>
      </c>
      <c r="AI7">
        <f>IF(tbl_HRData[[#This Row],[Attrition]] = "Yes",1,0)</f>
        <v>0</v>
      </c>
      <c r="AJ7">
        <f>IF(tbl_HRData[[#This Row],[Attrition]] = "No",1,0)</f>
        <v>1</v>
      </c>
      <c r="AK7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7" s="1" t="str">
        <f>IF(tbl_HRData[[#This Row],[MonthlyIncome]]&lt;5000,"Low",
IF(tbl_HRData[[#This Row],[MonthlyIncome]]&lt;10000,"Medium",
IF(tbl_HRData[[#This Row],[MonthlyIncome]]&lt;15000,"Upper Medium","High")))</f>
        <v>Low</v>
      </c>
      <c r="AM7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8" spans="1:39" x14ac:dyDescent="0.35">
      <c r="A8" s="1">
        <v>7</v>
      </c>
      <c r="B8">
        <v>59</v>
      </c>
      <c r="C8" s="1" t="s">
        <v>40</v>
      </c>
      <c r="D8" s="1" t="s">
        <v>34</v>
      </c>
      <c r="E8">
        <v>1324</v>
      </c>
      <c r="F8" s="1" t="s">
        <v>42</v>
      </c>
      <c r="G8">
        <v>3</v>
      </c>
      <c r="H8">
        <v>3</v>
      </c>
      <c r="I8" s="1" t="s">
        <v>48</v>
      </c>
      <c r="J8">
        <v>10</v>
      </c>
      <c r="K8">
        <v>3</v>
      </c>
      <c r="L8" s="1" t="s">
        <v>37</v>
      </c>
      <c r="M8">
        <v>81</v>
      </c>
      <c r="N8">
        <v>4</v>
      </c>
      <c r="O8">
        <v>1</v>
      </c>
      <c r="P8" s="1" t="s">
        <v>47</v>
      </c>
      <c r="Q8">
        <v>1</v>
      </c>
      <c r="R8" s="1" t="s">
        <v>45</v>
      </c>
      <c r="S8">
        <v>2670</v>
      </c>
      <c r="T8">
        <v>9964</v>
      </c>
      <c r="U8">
        <v>4</v>
      </c>
      <c r="V8" s="1" t="s">
        <v>33</v>
      </c>
      <c r="W8">
        <v>20</v>
      </c>
      <c r="X8">
        <v>4</v>
      </c>
      <c r="Y8">
        <v>1</v>
      </c>
      <c r="Z8">
        <v>80</v>
      </c>
      <c r="AA8">
        <v>3</v>
      </c>
      <c r="AB8">
        <v>12</v>
      </c>
      <c r="AC8">
        <v>3</v>
      </c>
      <c r="AD8">
        <v>2</v>
      </c>
      <c r="AE8">
        <v>1</v>
      </c>
      <c r="AF8">
        <v>0</v>
      </c>
      <c r="AG8">
        <v>0</v>
      </c>
      <c r="AH8">
        <v>0</v>
      </c>
      <c r="AI8">
        <f>IF(tbl_HRData[[#This Row],[Attrition]] = "Yes",1,0)</f>
        <v>0</v>
      </c>
      <c r="AJ8">
        <f>IF(tbl_HRData[[#This Row],[Attrition]] = "No",1,0)</f>
        <v>1</v>
      </c>
      <c r="AK8" t="str">
        <f>IF(tbl_HRData[[#This Row],[Age]] &lt; 25, "Under 25", IF(tbl_HRData[[#This Row],[Age]] &lt;= 34, "25-34", IF(tbl_HRData[[#This Row],[Age]] &lt;= 44, "35-44", IF(tbl_HRData[[#This Row],[Age]] &lt;= 54, "45-54", "55+"))))</f>
        <v>55+</v>
      </c>
      <c r="AL8" s="1" t="str">
        <f>IF(tbl_HRData[[#This Row],[MonthlyIncome]]&lt;5000,"Low",
IF(tbl_HRData[[#This Row],[MonthlyIncome]]&lt;10000,"Medium",
IF(tbl_HRData[[#This Row],[MonthlyIncome]]&lt;15000,"Upper Medium","High")))</f>
        <v>Low</v>
      </c>
      <c r="AM8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9" spans="1:39" x14ac:dyDescent="0.35">
      <c r="A9" s="1">
        <v>8</v>
      </c>
      <c r="B9">
        <v>30</v>
      </c>
      <c r="C9" s="1" t="s">
        <v>40</v>
      </c>
      <c r="D9" s="1" t="s">
        <v>34</v>
      </c>
      <c r="E9">
        <v>1358</v>
      </c>
      <c r="F9" s="1" t="s">
        <v>42</v>
      </c>
      <c r="G9">
        <v>24</v>
      </c>
      <c r="H9">
        <v>1</v>
      </c>
      <c r="I9" s="1" t="s">
        <v>36</v>
      </c>
      <c r="J9">
        <v>11</v>
      </c>
      <c r="K9">
        <v>4</v>
      </c>
      <c r="L9" s="1" t="s">
        <v>43</v>
      </c>
      <c r="M9">
        <v>67</v>
      </c>
      <c r="N9">
        <v>3</v>
      </c>
      <c r="O9">
        <v>1</v>
      </c>
      <c r="P9" s="1" t="s">
        <v>47</v>
      </c>
      <c r="Q9">
        <v>3</v>
      </c>
      <c r="R9" s="1" t="s">
        <v>49</v>
      </c>
      <c r="S9">
        <v>2693</v>
      </c>
      <c r="T9">
        <v>13335</v>
      </c>
      <c r="U9">
        <v>1</v>
      </c>
      <c r="V9" s="1" t="s">
        <v>40</v>
      </c>
      <c r="W9">
        <v>22</v>
      </c>
      <c r="X9">
        <v>4</v>
      </c>
      <c r="Y9">
        <v>2</v>
      </c>
      <c r="Z9">
        <v>80</v>
      </c>
      <c r="AA9">
        <v>1</v>
      </c>
      <c r="AB9">
        <v>1</v>
      </c>
      <c r="AC9">
        <v>2</v>
      </c>
      <c r="AD9">
        <v>3</v>
      </c>
      <c r="AE9">
        <v>1</v>
      </c>
      <c r="AF9">
        <v>0</v>
      </c>
      <c r="AG9">
        <v>0</v>
      </c>
      <c r="AH9">
        <v>0</v>
      </c>
      <c r="AI9">
        <f>IF(tbl_HRData[[#This Row],[Attrition]] = "Yes",1,0)</f>
        <v>0</v>
      </c>
      <c r="AJ9">
        <f>IF(tbl_HRData[[#This Row],[Attrition]] = "No",1,0)</f>
        <v>1</v>
      </c>
      <c r="AK9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9" s="1" t="str">
        <f>IF(tbl_HRData[[#This Row],[MonthlyIncome]]&lt;5000,"Low",
IF(tbl_HRData[[#This Row],[MonthlyIncome]]&lt;10000,"Medium",
IF(tbl_HRData[[#This Row],[MonthlyIncome]]&lt;15000,"Upper Medium","High")))</f>
        <v>Low</v>
      </c>
      <c r="AM9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0" spans="1:39" x14ac:dyDescent="0.35">
      <c r="A10" s="1">
        <v>9</v>
      </c>
      <c r="B10">
        <v>38</v>
      </c>
      <c r="C10" s="1" t="s">
        <v>40</v>
      </c>
      <c r="D10" s="1" t="s">
        <v>41</v>
      </c>
      <c r="E10">
        <v>216</v>
      </c>
      <c r="F10" s="1" t="s">
        <v>42</v>
      </c>
      <c r="G10">
        <v>23</v>
      </c>
      <c r="H10">
        <v>3</v>
      </c>
      <c r="I10" s="1" t="s">
        <v>36</v>
      </c>
      <c r="J10">
        <v>12</v>
      </c>
      <c r="K10">
        <v>4</v>
      </c>
      <c r="L10" s="1" t="s">
        <v>43</v>
      </c>
      <c r="M10">
        <v>44</v>
      </c>
      <c r="N10">
        <v>2</v>
      </c>
      <c r="O10">
        <v>3</v>
      </c>
      <c r="P10" s="1" t="s">
        <v>50</v>
      </c>
      <c r="Q10">
        <v>3</v>
      </c>
      <c r="R10" s="1" t="s">
        <v>39</v>
      </c>
      <c r="S10">
        <v>9526</v>
      </c>
      <c r="T10">
        <v>8787</v>
      </c>
      <c r="U10">
        <v>0</v>
      </c>
      <c r="V10" s="1" t="s">
        <v>40</v>
      </c>
      <c r="W10">
        <v>21</v>
      </c>
      <c r="X10">
        <v>4</v>
      </c>
      <c r="Y10">
        <v>2</v>
      </c>
      <c r="Z10">
        <v>80</v>
      </c>
      <c r="AA10">
        <v>0</v>
      </c>
      <c r="AB10">
        <v>10</v>
      </c>
      <c r="AC10">
        <v>2</v>
      </c>
      <c r="AD10">
        <v>3</v>
      </c>
      <c r="AE10">
        <v>9</v>
      </c>
      <c r="AF10">
        <v>7</v>
      </c>
      <c r="AG10">
        <v>1</v>
      </c>
      <c r="AH10">
        <v>8</v>
      </c>
      <c r="AI10">
        <f>IF(tbl_HRData[[#This Row],[Attrition]] = "Yes",1,0)</f>
        <v>0</v>
      </c>
      <c r="AJ10">
        <f>IF(tbl_HRData[[#This Row],[Attrition]] = "No",1,0)</f>
        <v>1</v>
      </c>
      <c r="AK10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0" s="1" t="str">
        <f>IF(tbl_HRData[[#This Row],[MonthlyIncome]]&lt;5000,"Low",
IF(tbl_HRData[[#This Row],[MonthlyIncome]]&lt;10000,"Medium",
IF(tbl_HRData[[#This Row],[MonthlyIncome]]&lt;15000,"Upper Medium","High")))</f>
        <v>Medium</v>
      </c>
      <c r="AM10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1" spans="1:39" x14ac:dyDescent="0.35">
      <c r="A11" s="1">
        <v>10</v>
      </c>
      <c r="B11">
        <v>36</v>
      </c>
      <c r="C11" s="1" t="s">
        <v>40</v>
      </c>
      <c r="D11" s="1" t="s">
        <v>34</v>
      </c>
      <c r="E11">
        <v>1299</v>
      </c>
      <c r="F11" s="1" t="s">
        <v>42</v>
      </c>
      <c r="G11">
        <v>27</v>
      </c>
      <c r="H11">
        <v>3</v>
      </c>
      <c r="I11" s="1" t="s">
        <v>48</v>
      </c>
      <c r="J11">
        <v>13</v>
      </c>
      <c r="K11">
        <v>3</v>
      </c>
      <c r="L11" s="1" t="s">
        <v>43</v>
      </c>
      <c r="M11">
        <v>94</v>
      </c>
      <c r="N11">
        <v>3</v>
      </c>
      <c r="O11">
        <v>2</v>
      </c>
      <c r="P11" s="1" t="s">
        <v>51</v>
      </c>
      <c r="Q11">
        <v>3</v>
      </c>
      <c r="R11" s="1" t="s">
        <v>45</v>
      </c>
      <c r="S11">
        <v>5237</v>
      </c>
      <c r="T11">
        <v>16577</v>
      </c>
      <c r="U11">
        <v>6</v>
      </c>
      <c r="V11" s="1" t="s">
        <v>40</v>
      </c>
      <c r="W11">
        <v>13</v>
      </c>
      <c r="X11">
        <v>3</v>
      </c>
      <c r="Y11">
        <v>2</v>
      </c>
      <c r="Z11">
        <v>80</v>
      </c>
      <c r="AA11">
        <v>2</v>
      </c>
      <c r="AB11">
        <v>17</v>
      </c>
      <c r="AC11">
        <v>3</v>
      </c>
      <c r="AD11">
        <v>2</v>
      </c>
      <c r="AE11">
        <v>7</v>
      </c>
      <c r="AF11">
        <v>7</v>
      </c>
      <c r="AG11">
        <v>7</v>
      </c>
      <c r="AH11">
        <v>7</v>
      </c>
      <c r="AI11">
        <f>IF(tbl_HRData[[#This Row],[Attrition]] = "Yes",1,0)</f>
        <v>0</v>
      </c>
      <c r="AJ11">
        <f>IF(tbl_HRData[[#This Row],[Attrition]] = "No",1,0)</f>
        <v>1</v>
      </c>
      <c r="AK11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1" s="1" t="str">
        <f>IF(tbl_HRData[[#This Row],[MonthlyIncome]]&lt;5000,"Low",
IF(tbl_HRData[[#This Row],[MonthlyIncome]]&lt;10000,"Medium",
IF(tbl_HRData[[#This Row],[MonthlyIncome]]&lt;15000,"Upper Medium","High")))</f>
        <v>Medium</v>
      </c>
      <c r="AM11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2" spans="1:39" x14ac:dyDescent="0.35">
      <c r="A12" s="1">
        <v>11</v>
      </c>
      <c r="B12">
        <v>35</v>
      </c>
      <c r="C12" s="1" t="s">
        <v>40</v>
      </c>
      <c r="D12" s="1" t="s">
        <v>34</v>
      </c>
      <c r="E12">
        <v>809</v>
      </c>
      <c r="F12" s="1" t="s">
        <v>42</v>
      </c>
      <c r="G12">
        <v>16</v>
      </c>
      <c r="H12">
        <v>3</v>
      </c>
      <c r="I12" s="1" t="s">
        <v>48</v>
      </c>
      <c r="J12">
        <v>14</v>
      </c>
      <c r="K12">
        <v>1</v>
      </c>
      <c r="L12" s="1" t="s">
        <v>43</v>
      </c>
      <c r="M12">
        <v>84</v>
      </c>
      <c r="N12">
        <v>4</v>
      </c>
      <c r="O12">
        <v>1</v>
      </c>
      <c r="P12" s="1" t="s">
        <v>47</v>
      </c>
      <c r="Q12">
        <v>2</v>
      </c>
      <c r="R12" s="1" t="s">
        <v>45</v>
      </c>
      <c r="S12">
        <v>2426</v>
      </c>
      <c r="T12">
        <v>16479</v>
      </c>
      <c r="U12">
        <v>0</v>
      </c>
      <c r="V12" s="1" t="s">
        <v>40</v>
      </c>
      <c r="W12">
        <v>13</v>
      </c>
      <c r="X12">
        <v>3</v>
      </c>
      <c r="Y12">
        <v>3</v>
      </c>
      <c r="Z12">
        <v>80</v>
      </c>
      <c r="AA12">
        <v>1</v>
      </c>
      <c r="AB12">
        <v>6</v>
      </c>
      <c r="AC12">
        <v>5</v>
      </c>
      <c r="AD12">
        <v>3</v>
      </c>
      <c r="AE12">
        <v>5</v>
      </c>
      <c r="AF12">
        <v>4</v>
      </c>
      <c r="AG12">
        <v>0</v>
      </c>
      <c r="AH12">
        <v>3</v>
      </c>
      <c r="AI12">
        <f>IF(tbl_HRData[[#This Row],[Attrition]] = "Yes",1,0)</f>
        <v>0</v>
      </c>
      <c r="AJ12">
        <f>IF(tbl_HRData[[#This Row],[Attrition]] = "No",1,0)</f>
        <v>1</v>
      </c>
      <c r="AK12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2" s="1" t="str">
        <f>IF(tbl_HRData[[#This Row],[MonthlyIncome]]&lt;5000,"Low",
IF(tbl_HRData[[#This Row],[MonthlyIncome]]&lt;10000,"Medium",
IF(tbl_HRData[[#This Row],[MonthlyIncome]]&lt;15000,"Upper Medium","High")))</f>
        <v>Low</v>
      </c>
      <c r="AM12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3" spans="1:39" x14ac:dyDescent="0.35">
      <c r="A13" s="1">
        <v>12</v>
      </c>
      <c r="B13">
        <v>29</v>
      </c>
      <c r="C13" s="1" t="s">
        <v>40</v>
      </c>
      <c r="D13" s="1" t="s">
        <v>34</v>
      </c>
      <c r="E13">
        <v>153</v>
      </c>
      <c r="F13" s="1" t="s">
        <v>42</v>
      </c>
      <c r="G13">
        <v>15</v>
      </c>
      <c r="H13">
        <v>2</v>
      </c>
      <c r="I13" s="1" t="s">
        <v>36</v>
      </c>
      <c r="J13">
        <v>15</v>
      </c>
      <c r="K13">
        <v>4</v>
      </c>
      <c r="L13" s="1" t="s">
        <v>37</v>
      </c>
      <c r="M13">
        <v>49</v>
      </c>
      <c r="N13">
        <v>2</v>
      </c>
      <c r="O13">
        <v>2</v>
      </c>
      <c r="P13" s="1" t="s">
        <v>47</v>
      </c>
      <c r="Q13">
        <v>3</v>
      </c>
      <c r="R13" s="1" t="s">
        <v>39</v>
      </c>
      <c r="S13">
        <v>4193</v>
      </c>
      <c r="T13">
        <v>12682</v>
      </c>
      <c r="U13">
        <v>0</v>
      </c>
      <c r="V13" s="1" t="s">
        <v>33</v>
      </c>
      <c r="W13">
        <v>12</v>
      </c>
      <c r="X13">
        <v>3</v>
      </c>
      <c r="Y13">
        <v>4</v>
      </c>
      <c r="Z13">
        <v>80</v>
      </c>
      <c r="AA13">
        <v>0</v>
      </c>
      <c r="AB13">
        <v>10</v>
      </c>
      <c r="AC13">
        <v>3</v>
      </c>
      <c r="AD13">
        <v>3</v>
      </c>
      <c r="AE13">
        <v>9</v>
      </c>
      <c r="AF13">
        <v>5</v>
      </c>
      <c r="AG13">
        <v>0</v>
      </c>
      <c r="AH13">
        <v>8</v>
      </c>
      <c r="AI13">
        <f>IF(tbl_HRData[[#This Row],[Attrition]] = "Yes",1,0)</f>
        <v>0</v>
      </c>
      <c r="AJ13">
        <f>IF(tbl_HRData[[#This Row],[Attrition]] = "No",1,0)</f>
        <v>1</v>
      </c>
      <c r="AK13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3" s="1" t="str">
        <f>IF(tbl_HRData[[#This Row],[MonthlyIncome]]&lt;5000,"Low",
IF(tbl_HRData[[#This Row],[MonthlyIncome]]&lt;10000,"Medium",
IF(tbl_HRData[[#This Row],[MonthlyIncome]]&lt;15000,"Upper Medium","High")))</f>
        <v>Low</v>
      </c>
      <c r="AM13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4" spans="1:39" x14ac:dyDescent="0.35">
      <c r="A14" s="1">
        <v>13</v>
      </c>
      <c r="B14">
        <v>31</v>
      </c>
      <c r="C14" s="1" t="s">
        <v>40</v>
      </c>
      <c r="D14" s="1" t="s">
        <v>34</v>
      </c>
      <c r="E14">
        <v>670</v>
      </c>
      <c r="F14" s="1" t="s">
        <v>42</v>
      </c>
      <c r="G14">
        <v>26</v>
      </c>
      <c r="H14">
        <v>1</v>
      </c>
      <c r="I14" s="1" t="s">
        <v>36</v>
      </c>
      <c r="J14">
        <v>16</v>
      </c>
      <c r="K14">
        <v>1</v>
      </c>
      <c r="L14" s="1" t="s">
        <v>43</v>
      </c>
      <c r="M14">
        <v>31</v>
      </c>
      <c r="N14">
        <v>3</v>
      </c>
      <c r="O14">
        <v>1</v>
      </c>
      <c r="P14" s="1" t="s">
        <v>44</v>
      </c>
      <c r="Q14">
        <v>3</v>
      </c>
      <c r="R14" s="1" t="s">
        <v>49</v>
      </c>
      <c r="S14">
        <v>2911</v>
      </c>
      <c r="T14">
        <v>15170</v>
      </c>
      <c r="U14">
        <v>1</v>
      </c>
      <c r="V14" s="1" t="s">
        <v>40</v>
      </c>
      <c r="W14">
        <v>17</v>
      </c>
      <c r="X14">
        <v>3</v>
      </c>
      <c r="Y14">
        <v>4</v>
      </c>
      <c r="Z14">
        <v>80</v>
      </c>
      <c r="AA14">
        <v>1</v>
      </c>
      <c r="AB14">
        <v>5</v>
      </c>
      <c r="AC14">
        <v>1</v>
      </c>
      <c r="AD14">
        <v>2</v>
      </c>
      <c r="AE14">
        <v>5</v>
      </c>
      <c r="AF14">
        <v>2</v>
      </c>
      <c r="AG14">
        <v>4</v>
      </c>
      <c r="AH14">
        <v>3</v>
      </c>
      <c r="AI14">
        <f>IF(tbl_HRData[[#This Row],[Attrition]] = "Yes",1,0)</f>
        <v>0</v>
      </c>
      <c r="AJ14">
        <f>IF(tbl_HRData[[#This Row],[Attrition]] = "No",1,0)</f>
        <v>1</v>
      </c>
      <c r="AK14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4" s="1" t="str">
        <f>IF(tbl_HRData[[#This Row],[MonthlyIncome]]&lt;5000,"Low",
IF(tbl_HRData[[#This Row],[MonthlyIncome]]&lt;10000,"Medium",
IF(tbl_HRData[[#This Row],[MonthlyIncome]]&lt;15000,"Upper Medium","High")))</f>
        <v>Low</v>
      </c>
      <c r="AM14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5" spans="1:39" x14ac:dyDescent="0.35">
      <c r="A15" s="1">
        <v>14</v>
      </c>
      <c r="B15">
        <v>34</v>
      </c>
      <c r="C15" s="1" t="s">
        <v>40</v>
      </c>
      <c r="D15" s="1" t="s">
        <v>34</v>
      </c>
      <c r="E15">
        <v>1346</v>
      </c>
      <c r="F15" s="1" t="s">
        <v>42</v>
      </c>
      <c r="G15">
        <v>19</v>
      </c>
      <c r="H15">
        <v>2</v>
      </c>
      <c r="I15" s="1" t="s">
        <v>48</v>
      </c>
      <c r="J15">
        <v>18</v>
      </c>
      <c r="K15">
        <v>2</v>
      </c>
      <c r="L15" s="1" t="s">
        <v>43</v>
      </c>
      <c r="M15">
        <v>93</v>
      </c>
      <c r="N15">
        <v>3</v>
      </c>
      <c r="O15">
        <v>1</v>
      </c>
      <c r="P15" s="1" t="s">
        <v>47</v>
      </c>
      <c r="Q15">
        <v>4</v>
      </c>
      <c r="R15" s="1" t="s">
        <v>49</v>
      </c>
      <c r="S15">
        <v>2661</v>
      </c>
      <c r="T15">
        <v>8758</v>
      </c>
      <c r="U15">
        <v>0</v>
      </c>
      <c r="V15" s="1" t="s">
        <v>40</v>
      </c>
      <c r="W15">
        <v>11</v>
      </c>
      <c r="X15">
        <v>3</v>
      </c>
      <c r="Y15">
        <v>3</v>
      </c>
      <c r="Z15">
        <v>80</v>
      </c>
      <c r="AA15">
        <v>1</v>
      </c>
      <c r="AB15">
        <v>3</v>
      </c>
      <c r="AC15">
        <v>2</v>
      </c>
      <c r="AD15">
        <v>3</v>
      </c>
      <c r="AE15">
        <v>2</v>
      </c>
      <c r="AF15">
        <v>2</v>
      </c>
      <c r="AG15">
        <v>1</v>
      </c>
      <c r="AH15">
        <v>2</v>
      </c>
      <c r="AI15">
        <f>IF(tbl_HRData[[#This Row],[Attrition]] = "Yes",1,0)</f>
        <v>0</v>
      </c>
      <c r="AJ15">
        <f>IF(tbl_HRData[[#This Row],[Attrition]] = "No",1,0)</f>
        <v>1</v>
      </c>
      <c r="AK15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5" s="1" t="str">
        <f>IF(tbl_HRData[[#This Row],[MonthlyIncome]]&lt;5000,"Low",
IF(tbl_HRData[[#This Row],[MonthlyIncome]]&lt;10000,"Medium",
IF(tbl_HRData[[#This Row],[MonthlyIncome]]&lt;15000,"Upper Medium","High")))</f>
        <v>Low</v>
      </c>
      <c r="AM15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6" spans="1:39" x14ac:dyDescent="0.35">
      <c r="A16" s="1">
        <v>15</v>
      </c>
      <c r="B16">
        <v>28</v>
      </c>
      <c r="C16" s="1" t="s">
        <v>33</v>
      </c>
      <c r="D16" s="1" t="s">
        <v>34</v>
      </c>
      <c r="E16">
        <v>103</v>
      </c>
      <c r="F16" s="1" t="s">
        <v>42</v>
      </c>
      <c r="G16">
        <v>24</v>
      </c>
      <c r="H16">
        <v>3</v>
      </c>
      <c r="I16" s="1" t="s">
        <v>36</v>
      </c>
      <c r="J16">
        <v>19</v>
      </c>
      <c r="K16">
        <v>3</v>
      </c>
      <c r="L16" s="1" t="s">
        <v>43</v>
      </c>
      <c r="M16">
        <v>50</v>
      </c>
      <c r="N16">
        <v>2</v>
      </c>
      <c r="O16">
        <v>1</v>
      </c>
      <c r="P16" s="1" t="s">
        <v>47</v>
      </c>
      <c r="Q16">
        <v>3</v>
      </c>
      <c r="R16" s="1" t="s">
        <v>39</v>
      </c>
      <c r="S16">
        <v>2028</v>
      </c>
      <c r="T16">
        <v>12947</v>
      </c>
      <c r="U16">
        <v>5</v>
      </c>
      <c r="V16" s="1" t="s">
        <v>33</v>
      </c>
      <c r="W16">
        <v>14</v>
      </c>
      <c r="X16">
        <v>3</v>
      </c>
      <c r="Y16">
        <v>2</v>
      </c>
      <c r="Z16">
        <v>80</v>
      </c>
      <c r="AA16">
        <v>0</v>
      </c>
      <c r="AB16">
        <v>6</v>
      </c>
      <c r="AC16">
        <v>4</v>
      </c>
      <c r="AD16">
        <v>3</v>
      </c>
      <c r="AE16">
        <v>4</v>
      </c>
      <c r="AF16">
        <v>2</v>
      </c>
      <c r="AG16">
        <v>0</v>
      </c>
      <c r="AH16">
        <v>3</v>
      </c>
      <c r="AI16">
        <f>IF(tbl_HRData[[#This Row],[Attrition]] = "Yes",1,0)</f>
        <v>1</v>
      </c>
      <c r="AJ16">
        <f>IF(tbl_HRData[[#This Row],[Attrition]] = "No",1,0)</f>
        <v>0</v>
      </c>
      <c r="AK16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6" s="1" t="str">
        <f>IF(tbl_HRData[[#This Row],[MonthlyIncome]]&lt;5000,"Low",
IF(tbl_HRData[[#This Row],[MonthlyIncome]]&lt;10000,"Medium",
IF(tbl_HRData[[#This Row],[MonthlyIncome]]&lt;15000,"Upper Medium","High")))</f>
        <v>Low</v>
      </c>
      <c r="AM16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7" spans="1:39" x14ac:dyDescent="0.35">
      <c r="A17" s="1">
        <v>16</v>
      </c>
      <c r="B17">
        <v>29</v>
      </c>
      <c r="C17" s="1" t="s">
        <v>40</v>
      </c>
      <c r="D17" s="1" t="s">
        <v>34</v>
      </c>
      <c r="E17">
        <v>1389</v>
      </c>
      <c r="F17" s="1" t="s">
        <v>42</v>
      </c>
      <c r="G17">
        <v>21</v>
      </c>
      <c r="H17">
        <v>4</v>
      </c>
      <c r="I17" s="1" t="s">
        <v>36</v>
      </c>
      <c r="J17">
        <v>20</v>
      </c>
      <c r="K17">
        <v>2</v>
      </c>
      <c r="L17" s="1" t="s">
        <v>37</v>
      </c>
      <c r="M17">
        <v>51</v>
      </c>
      <c r="N17">
        <v>4</v>
      </c>
      <c r="O17">
        <v>3</v>
      </c>
      <c r="P17" s="1" t="s">
        <v>50</v>
      </c>
      <c r="Q17">
        <v>1</v>
      </c>
      <c r="R17" s="1" t="s">
        <v>49</v>
      </c>
      <c r="S17">
        <v>9980</v>
      </c>
      <c r="T17">
        <v>10195</v>
      </c>
      <c r="U17">
        <v>1</v>
      </c>
      <c r="V17" s="1" t="s">
        <v>40</v>
      </c>
      <c r="W17">
        <v>11</v>
      </c>
      <c r="X17">
        <v>3</v>
      </c>
      <c r="Y17">
        <v>3</v>
      </c>
      <c r="Z17">
        <v>80</v>
      </c>
      <c r="AA17">
        <v>1</v>
      </c>
      <c r="AB17">
        <v>10</v>
      </c>
      <c r="AC17">
        <v>1</v>
      </c>
      <c r="AD17">
        <v>3</v>
      </c>
      <c r="AE17">
        <v>10</v>
      </c>
      <c r="AF17">
        <v>9</v>
      </c>
      <c r="AG17">
        <v>8</v>
      </c>
      <c r="AH17">
        <v>8</v>
      </c>
      <c r="AI17">
        <f>IF(tbl_HRData[[#This Row],[Attrition]] = "Yes",1,0)</f>
        <v>0</v>
      </c>
      <c r="AJ17">
        <f>IF(tbl_HRData[[#This Row],[Attrition]] = "No",1,0)</f>
        <v>1</v>
      </c>
      <c r="AK17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7" s="1" t="str">
        <f>IF(tbl_HRData[[#This Row],[MonthlyIncome]]&lt;5000,"Low",
IF(tbl_HRData[[#This Row],[MonthlyIncome]]&lt;10000,"Medium",
IF(tbl_HRData[[#This Row],[MonthlyIncome]]&lt;15000,"Upper Medium","High")))</f>
        <v>Medium</v>
      </c>
      <c r="AM17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8" spans="1:39" x14ac:dyDescent="0.35">
      <c r="A18" s="1">
        <v>17</v>
      </c>
      <c r="B18">
        <v>32</v>
      </c>
      <c r="C18" s="1" t="s">
        <v>40</v>
      </c>
      <c r="D18" s="1" t="s">
        <v>34</v>
      </c>
      <c r="E18">
        <v>334</v>
      </c>
      <c r="F18" s="1" t="s">
        <v>42</v>
      </c>
      <c r="G18">
        <v>5</v>
      </c>
      <c r="H18">
        <v>2</v>
      </c>
      <c r="I18" s="1" t="s">
        <v>36</v>
      </c>
      <c r="J18">
        <v>21</v>
      </c>
      <c r="K18">
        <v>1</v>
      </c>
      <c r="L18" s="1" t="s">
        <v>43</v>
      </c>
      <c r="M18">
        <v>80</v>
      </c>
      <c r="N18">
        <v>4</v>
      </c>
      <c r="O18">
        <v>1</v>
      </c>
      <c r="P18" s="1" t="s">
        <v>44</v>
      </c>
      <c r="Q18">
        <v>2</v>
      </c>
      <c r="R18" s="1" t="s">
        <v>49</v>
      </c>
      <c r="S18">
        <v>3298</v>
      </c>
      <c r="T18">
        <v>15053</v>
      </c>
      <c r="U18">
        <v>0</v>
      </c>
      <c r="V18" s="1" t="s">
        <v>33</v>
      </c>
      <c r="W18">
        <v>12</v>
      </c>
      <c r="X18">
        <v>3</v>
      </c>
      <c r="Y18">
        <v>4</v>
      </c>
      <c r="Z18">
        <v>80</v>
      </c>
      <c r="AA18">
        <v>2</v>
      </c>
      <c r="AB18">
        <v>7</v>
      </c>
      <c r="AC18">
        <v>5</v>
      </c>
      <c r="AD18">
        <v>2</v>
      </c>
      <c r="AE18">
        <v>6</v>
      </c>
      <c r="AF18">
        <v>2</v>
      </c>
      <c r="AG18">
        <v>0</v>
      </c>
      <c r="AH18">
        <v>5</v>
      </c>
      <c r="AI18">
        <f>IF(tbl_HRData[[#This Row],[Attrition]] = "Yes",1,0)</f>
        <v>0</v>
      </c>
      <c r="AJ18">
        <f>IF(tbl_HRData[[#This Row],[Attrition]] = "No",1,0)</f>
        <v>1</v>
      </c>
      <c r="AK18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8" s="1" t="str">
        <f>IF(tbl_HRData[[#This Row],[MonthlyIncome]]&lt;5000,"Low",
IF(tbl_HRData[[#This Row],[MonthlyIncome]]&lt;10000,"Medium",
IF(tbl_HRData[[#This Row],[MonthlyIncome]]&lt;15000,"Upper Medium","High")))</f>
        <v>Low</v>
      </c>
      <c r="AM18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9" spans="1:39" x14ac:dyDescent="0.35">
      <c r="A19" s="1">
        <v>18</v>
      </c>
      <c r="B19">
        <v>22</v>
      </c>
      <c r="C19" s="1" t="s">
        <v>40</v>
      </c>
      <c r="D19" s="1" t="s">
        <v>52</v>
      </c>
      <c r="E19">
        <v>1123</v>
      </c>
      <c r="F19" s="1" t="s">
        <v>42</v>
      </c>
      <c r="G19">
        <v>16</v>
      </c>
      <c r="H19">
        <v>2</v>
      </c>
      <c r="I19" s="1" t="s">
        <v>48</v>
      </c>
      <c r="J19">
        <v>22</v>
      </c>
      <c r="K19">
        <v>4</v>
      </c>
      <c r="L19" s="1" t="s">
        <v>43</v>
      </c>
      <c r="M19">
        <v>96</v>
      </c>
      <c r="N19">
        <v>4</v>
      </c>
      <c r="O19">
        <v>1</v>
      </c>
      <c r="P19" s="1" t="s">
        <v>47</v>
      </c>
      <c r="Q19">
        <v>4</v>
      </c>
      <c r="R19" s="1" t="s">
        <v>49</v>
      </c>
      <c r="S19">
        <v>2935</v>
      </c>
      <c r="T19">
        <v>7324</v>
      </c>
      <c r="U19">
        <v>1</v>
      </c>
      <c r="V19" s="1" t="s">
        <v>33</v>
      </c>
      <c r="W19">
        <v>13</v>
      </c>
      <c r="X19">
        <v>3</v>
      </c>
      <c r="Y19">
        <v>2</v>
      </c>
      <c r="Z19">
        <v>80</v>
      </c>
      <c r="AA19">
        <v>2</v>
      </c>
      <c r="AB19">
        <v>1</v>
      </c>
      <c r="AC19">
        <v>2</v>
      </c>
      <c r="AD19">
        <v>2</v>
      </c>
      <c r="AE19">
        <v>1</v>
      </c>
      <c r="AF19">
        <v>0</v>
      </c>
      <c r="AG19">
        <v>0</v>
      </c>
      <c r="AH19">
        <v>0</v>
      </c>
      <c r="AI19">
        <f>IF(tbl_HRData[[#This Row],[Attrition]] = "Yes",1,0)</f>
        <v>0</v>
      </c>
      <c r="AJ19">
        <f>IF(tbl_HRData[[#This Row],[Attrition]] = "No",1,0)</f>
        <v>1</v>
      </c>
      <c r="AK19" t="str">
        <f>IF(tbl_HRData[[#This Row],[Age]] &lt; 25, "Under 25", IF(tbl_HRData[[#This Row],[Age]] &lt;= 34, "25-34", IF(tbl_HRData[[#This Row],[Age]] &lt;= 44, "35-44", IF(tbl_HRData[[#This Row],[Age]] &lt;= 54, "45-54", "55+"))))</f>
        <v>Under 25</v>
      </c>
      <c r="AL19" s="1" t="str">
        <f>IF(tbl_HRData[[#This Row],[MonthlyIncome]]&lt;5000,"Low",
IF(tbl_HRData[[#This Row],[MonthlyIncome]]&lt;10000,"Medium",
IF(tbl_HRData[[#This Row],[MonthlyIncome]]&lt;15000,"Upper Medium","High")))</f>
        <v>Low</v>
      </c>
      <c r="AM19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20" spans="1:39" x14ac:dyDescent="0.35">
      <c r="A20" s="1">
        <v>19</v>
      </c>
      <c r="B20">
        <v>53</v>
      </c>
      <c r="C20" s="1" t="s">
        <v>40</v>
      </c>
      <c r="D20" s="1" t="s">
        <v>34</v>
      </c>
      <c r="E20">
        <v>1219</v>
      </c>
      <c r="F20" s="1" t="s">
        <v>35</v>
      </c>
      <c r="G20">
        <v>2</v>
      </c>
      <c r="H20">
        <v>4</v>
      </c>
      <c r="I20" s="1" t="s">
        <v>36</v>
      </c>
      <c r="J20">
        <v>23</v>
      </c>
      <c r="K20">
        <v>1</v>
      </c>
      <c r="L20" s="1" t="s">
        <v>37</v>
      </c>
      <c r="M20">
        <v>78</v>
      </c>
      <c r="N20">
        <v>2</v>
      </c>
      <c r="O20">
        <v>4</v>
      </c>
      <c r="P20" s="1" t="s">
        <v>53</v>
      </c>
      <c r="Q20">
        <v>4</v>
      </c>
      <c r="R20" s="1" t="s">
        <v>45</v>
      </c>
      <c r="S20">
        <v>15427</v>
      </c>
      <c r="T20">
        <v>22021</v>
      </c>
      <c r="U20">
        <v>2</v>
      </c>
      <c r="V20" s="1" t="s">
        <v>40</v>
      </c>
      <c r="W20">
        <v>16</v>
      </c>
      <c r="X20">
        <v>3</v>
      </c>
      <c r="Y20">
        <v>3</v>
      </c>
      <c r="Z20">
        <v>80</v>
      </c>
      <c r="AA20">
        <v>0</v>
      </c>
      <c r="AB20">
        <v>31</v>
      </c>
      <c r="AC20">
        <v>3</v>
      </c>
      <c r="AD20">
        <v>3</v>
      </c>
      <c r="AE20">
        <v>25</v>
      </c>
      <c r="AF20">
        <v>8</v>
      </c>
      <c r="AG20">
        <v>3</v>
      </c>
      <c r="AH20">
        <v>7</v>
      </c>
      <c r="AI20">
        <f>IF(tbl_HRData[[#This Row],[Attrition]] = "Yes",1,0)</f>
        <v>0</v>
      </c>
      <c r="AJ20">
        <f>IF(tbl_HRData[[#This Row],[Attrition]] = "No",1,0)</f>
        <v>1</v>
      </c>
      <c r="AK20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20" s="1" t="str">
        <f>IF(tbl_HRData[[#This Row],[MonthlyIncome]]&lt;5000,"Low",
IF(tbl_HRData[[#This Row],[MonthlyIncome]]&lt;10000,"Medium",
IF(tbl_HRData[[#This Row],[MonthlyIncome]]&lt;15000,"Upper Medium","High")))</f>
        <v>High</v>
      </c>
      <c r="AM20" s="1" t="str">
        <f>IF(tbl_HRData[[#This Row],[YearsAtCompany]]&lt;=5,"0-5 Years",
IF(tbl_HRData[[#This Row],[YearsAtCompany]]&lt;=10,"6-10 Years",
IF(tbl_HRData[[#This Row],[YearsAtCompany]]&lt;=20,"11-20 Years","21+ Years")))</f>
        <v>21+ Years</v>
      </c>
    </row>
    <row r="21" spans="1:39" x14ac:dyDescent="0.35">
      <c r="A21" s="1">
        <v>20</v>
      </c>
      <c r="B21">
        <v>38</v>
      </c>
      <c r="C21" s="1" t="s">
        <v>40</v>
      </c>
      <c r="D21" s="1" t="s">
        <v>34</v>
      </c>
      <c r="E21">
        <v>371</v>
      </c>
      <c r="F21" s="1" t="s">
        <v>42</v>
      </c>
      <c r="G21">
        <v>2</v>
      </c>
      <c r="H21">
        <v>3</v>
      </c>
      <c r="I21" s="1" t="s">
        <v>36</v>
      </c>
      <c r="J21">
        <v>24</v>
      </c>
      <c r="K21">
        <v>4</v>
      </c>
      <c r="L21" s="1" t="s">
        <v>43</v>
      </c>
      <c r="M21">
        <v>45</v>
      </c>
      <c r="N21">
        <v>3</v>
      </c>
      <c r="O21">
        <v>1</v>
      </c>
      <c r="P21" s="1" t="s">
        <v>44</v>
      </c>
      <c r="Q21">
        <v>4</v>
      </c>
      <c r="R21" s="1" t="s">
        <v>39</v>
      </c>
      <c r="S21">
        <v>3944</v>
      </c>
      <c r="T21">
        <v>4306</v>
      </c>
      <c r="U21">
        <v>5</v>
      </c>
      <c r="V21" s="1" t="s">
        <v>33</v>
      </c>
      <c r="W21">
        <v>11</v>
      </c>
      <c r="X21">
        <v>3</v>
      </c>
      <c r="Y21">
        <v>3</v>
      </c>
      <c r="Z21">
        <v>80</v>
      </c>
      <c r="AA21">
        <v>0</v>
      </c>
      <c r="AB21">
        <v>6</v>
      </c>
      <c r="AC21">
        <v>3</v>
      </c>
      <c r="AD21">
        <v>3</v>
      </c>
      <c r="AE21">
        <v>3</v>
      </c>
      <c r="AF21">
        <v>2</v>
      </c>
      <c r="AG21">
        <v>1</v>
      </c>
      <c r="AH21">
        <v>2</v>
      </c>
      <c r="AI21">
        <f>IF(tbl_HRData[[#This Row],[Attrition]] = "Yes",1,0)</f>
        <v>0</v>
      </c>
      <c r="AJ21">
        <f>IF(tbl_HRData[[#This Row],[Attrition]] = "No",1,0)</f>
        <v>1</v>
      </c>
      <c r="AK21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21" s="1" t="str">
        <f>IF(tbl_HRData[[#This Row],[MonthlyIncome]]&lt;5000,"Low",
IF(tbl_HRData[[#This Row],[MonthlyIncome]]&lt;10000,"Medium",
IF(tbl_HRData[[#This Row],[MonthlyIncome]]&lt;15000,"Upper Medium","High")))</f>
        <v>Low</v>
      </c>
      <c r="AM21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22" spans="1:39" x14ac:dyDescent="0.35">
      <c r="A22" s="1">
        <v>21</v>
      </c>
      <c r="B22">
        <v>24</v>
      </c>
      <c r="C22" s="1" t="s">
        <v>40</v>
      </c>
      <c r="D22" s="1" t="s">
        <v>52</v>
      </c>
      <c r="E22">
        <v>673</v>
      </c>
      <c r="F22" s="1" t="s">
        <v>42</v>
      </c>
      <c r="G22">
        <v>11</v>
      </c>
      <c r="H22">
        <v>2</v>
      </c>
      <c r="I22" s="1" t="s">
        <v>46</v>
      </c>
      <c r="J22">
        <v>26</v>
      </c>
      <c r="K22">
        <v>1</v>
      </c>
      <c r="L22" s="1" t="s">
        <v>37</v>
      </c>
      <c r="M22">
        <v>96</v>
      </c>
      <c r="N22">
        <v>4</v>
      </c>
      <c r="O22">
        <v>2</v>
      </c>
      <c r="P22" s="1" t="s">
        <v>50</v>
      </c>
      <c r="Q22">
        <v>3</v>
      </c>
      <c r="R22" s="1" t="s">
        <v>49</v>
      </c>
      <c r="S22">
        <v>4011</v>
      </c>
      <c r="T22">
        <v>8232</v>
      </c>
      <c r="U22">
        <v>0</v>
      </c>
      <c r="V22" s="1" t="s">
        <v>40</v>
      </c>
      <c r="W22">
        <v>18</v>
      </c>
      <c r="X22">
        <v>3</v>
      </c>
      <c r="Y22">
        <v>4</v>
      </c>
      <c r="Z22">
        <v>80</v>
      </c>
      <c r="AA22">
        <v>1</v>
      </c>
      <c r="AB22">
        <v>5</v>
      </c>
      <c r="AC22">
        <v>5</v>
      </c>
      <c r="AD22">
        <v>2</v>
      </c>
      <c r="AE22">
        <v>4</v>
      </c>
      <c r="AF22">
        <v>2</v>
      </c>
      <c r="AG22">
        <v>1</v>
      </c>
      <c r="AH22">
        <v>3</v>
      </c>
      <c r="AI22">
        <f>IF(tbl_HRData[[#This Row],[Attrition]] = "Yes",1,0)</f>
        <v>0</v>
      </c>
      <c r="AJ22">
        <f>IF(tbl_HRData[[#This Row],[Attrition]] = "No",1,0)</f>
        <v>1</v>
      </c>
      <c r="AK22" t="str">
        <f>IF(tbl_HRData[[#This Row],[Age]] &lt; 25, "Under 25", IF(tbl_HRData[[#This Row],[Age]] &lt;= 34, "25-34", IF(tbl_HRData[[#This Row],[Age]] &lt;= 44, "35-44", IF(tbl_HRData[[#This Row],[Age]] &lt;= 54, "45-54", "55+"))))</f>
        <v>Under 25</v>
      </c>
      <c r="AL22" s="1" t="str">
        <f>IF(tbl_HRData[[#This Row],[MonthlyIncome]]&lt;5000,"Low",
IF(tbl_HRData[[#This Row],[MonthlyIncome]]&lt;10000,"Medium",
IF(tbl_HRData[[#This Row],[MonthlyIncome]]&lt;15000,"Upper Medium","High")))</f>
        <v>Low</v>
      </c>
      <c r="AM22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23" spans="1:39" x14ac:dyDescent="0.35">
      <c r="A23" s="1">
        <v>22</v>
      </c>
      <c r="B23">
        <v>36</v>
      </c>
      <c r="C23" s="1" t="s">
        <v>33</v>
      </c>
      <c r="D23" s="1" t="s">
        <v>34</v>
      </c>
      <c r="E23">
        <v>1218</v>
      </c>
      <c r="F23" s="1" t="s">
        <v>35</v>
      </c>
      <c r="G23">
        <v>9</v>
      </c>
      <c r="H23">
        <v>4</v>
      </c>
      <c r="I23" s="1" t="s">
        <v>36</v>
      </c>
      <c r="J23">
        <v>27</v>
      </c>
      <c r="K23">
        <v>3</v>
      </c>
      <c r="L23" s="1" t="s">
        <v>43</v>
      </c>
      <c r="M23">
        <v>82</v>
      </c>
      <c r="N23">
        <v>2</v>
      </c>
      <c r="O23">
        <v>1</v>
      </c>
      <c r="P23" s="1" t="s">
        <v>54</v>
      </c>
      <c r="Q23">
        <v>1</v>
      </c>
      <c r="R23" s="1" t="s">
        <v>39</v>
      </c>
      <c r="S23">
        <v>3407</v>
      </c>
      <c r="T23">
        <v>6986</v>
      </c>
      <c r="U23">
        <v>7</v>
      </c>
      <c r="V23" s="1" t="s">
        <v>40</v>
      </c>
      <c r="W23">
        <v>23</v>
      </c>
      <c r="X23">
        <v>4</v>
      </c>
      <c r="Y23">
        <v>2</v>
      </c>
      <c r="Z23">
        <v>80</v>
      </c>
      <c r="AA23">
        <v>0</v>
      </c>
      <c r="AB23">
        <v>10</v>
      </c>
      <c r="AC23">
        <v>4</v>
      </c>
      <c r="AD23">
        <v>3</v>
      </c>
      <c r="AE23">
        <v>5</v>
      </c>
      <c r="AF23">
        <v>3</v>
      </c>
      <c r="AG23">
        <v>0</v>
      </c>
      <c r="AH23">
        <v>3</v>
      </c>
      <c r="AI23">
        <f>IF(tbl_HRData[[#This Row],[Attrition]] = "Yes",1,0)</f>
        <v>1</v>
      </c>
      <c r="AJ23">
        <f>IF(tbl_HRData[[#This Row],[Attrition]] = "No",1,0)</f>
        <v>0</v>
      </c>
      <c r="AK23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23" s="1" t="str">
        <f>IF(tbl_HRData[[#This Row],[MonthlyIncome]]&lt;5000,"Low",
IF(tbl_HRData[[#This Row],[MonthlyIncome]]&lt;10000,"Medium",
IF(tbl_HRData[[#This Row],[MonthlyIncome]]&lt;15000,"Upper Medium","High")))</f>
        <v>Low</v>
      </c>
      <c r="AM23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24" spans="1:39" x14ac:dyDescent="0.35">
      <c r="A24" s="1">
        <v>23</v>
      </c>
      <c r="B24">
        <v>34</v>
      </c>
      <c r="C24" s="1" t="s">
        <v>40</v>
      </c>
      <c r="D24" s="1" t="s">
        <v>34</v>
      </c>
      <c r="E24">
        <v>419</v>
      </c>
      <c r="F24" s="1" t="s">
        <v>42</v>
      </c>
      <c r="G24">
        <v>7</v>
      </c>
      <c r="H24">
        <v>4</v>
      </c>
      <c r="I24" s="1" t="s">
        <v>36</v>
      </c>
      <c r="J24">
        <v>28</v>
      </c>
      <c r="K24">
        <v>1</v>
      </c>
      <c r="L24" s="1" t="s">
        <v>37</v>
      </c>
      <c r="M24">
        <v>53</v>
      </c>
      <c r="N24">
        <v>3</v>
      </c>
      <c r="O24">
        <v>3</v>
      </c>
      <c r="P24" s="1" t="s">
        <v>55</v>
      </c>
      <c r="Q24">
        <v>2</v>
      </c>
      <c r="R24" s="1" t="s">
        <v>39</v>
      </c>
      <c r="S24">
        <v>11994</v>
      </c>
      <c r="T24">
        <v>21293</v>
      </c>
      <c r="U24">
        <v>0</v>
      </c>
      <c r="V24" s="1" t="s">
        <v>40</v>
      </c>
      <c r="W24">
        <v>11</v>
      </c>
      <c r="X24">
        <v>3</v>
      </c>
      <c r="Y24">
        <v>3</v>
      </c>
      <c r="Z24">
        <v>80</v>
      </c>
      <c r="AA24">
        <v>0</v>
      </c>
      <c r="AB24">
        <v>13</v>
      </c>
      <c r="AC24">
        <v>4</v>
      </c>
      <c r="AD24">
        <v>3</v>
      </c>
      <c r="AE24">
        <v>12</v>
      </c>
      <c r="AF24">
        <v>6</v>
      </c>
      <c r="AG24">
        <v>2</v>
      </c>
      <c r="AH24">
        <v>11</v>
      </c>
      <c r="AI24">
        <f>IF(tbl_HRData[[#This Row],[Attrition]] = "Yes",1,0)</f>
        <v>0</v>
      </c>
      <c r="AJ24">
        <f>IF(tbl_HRData[[#This Row],[Attrition]] = "No",1,0)</f>
        <v>1</v>
      </c>
      <c r="AK24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24" s="1" t="str">
        <f>IF(tbl_HRData[[#This Row],[MonthlyIncome]]&lt;5000,"Low",
IF(tbl_HRData[[#This Row],[MonthlyIncome]]&lt;10000,"Medium",
IF(tbl_HRData[[#This Row],[MonthlyIncome]]&lt;15000,"Upper Medium","High")))</f>
        <v>Upper Medium</v>
      </c>
      <c r="AM24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25" spans="1:39" x14ac:dyDescent="0.35">
      <c r="A25" s="1">
        <v>24</v>
      </c>
      <c r="B25">
        <v>21</v>
      </c>
      <c r="C25" s="1" t="s">
        <v>40</v>
      </c>
      <c r="D25" s="1" t="s">
        <v>34</v>
      </c>
      <c r="E25">
        <v>391</v>
      </c>
      <c r="F25" s="1" t="s">
        <v>42</v>
      </c>
      <c r="G25">
        <v>15</v>
      </c>
      <c r="H25">
        <v>2</v>
      </c>
      <c r="I25" s="1" t="s">
        <v>36</v>
      </c>
      <c r="J25">
        <v>30</v>
      </c>
      <c r="K25">
        <v>3</v>
      </c>
      <c r="L25" s="1" t="s">
        <v>43</v>
      </c>
      <c r="M25">
        <v>96</v>
      </c>
      <c r="N25">
        <v>3</v>
      </c>
      <c r="O25">
        <v>1</v>
      </c>
      <c r="P25" s="1" t="s">
        <v>44</v>
      </c>
      <c r="Q25">
        <v>4</v>
      </c>
      <c r="R25" s="1" t="s">
        <v>39</v>
      </c>
      <c r="S25">
        <v>1232</v>
      </c>
      <c r="T25">
        <v>19281</v>
      </c>
      <c r="U25">
        <v>1</v>
      </c>
      <c r="V25" s="1" t="s">
        <v>40</v>
      </c>
      <c r="W25">
        <v>14</v>
      </c>
      <c r="X25">
        <v>3</v>
      </c>
      <c r="Y25">
        <v>4</v>
      </c>
      <c r="Z25">
        <v>80</v>
      </c>
      <c r="AA25">
        <v>0</v>
      </c>
      <c r="AB25">
        <v>0</v>
      </c>
      <c r="AC25">
        <v>6</v>
      </c>
      <c r="AD25">
        <v>3</v>
      </c>
      <c r="AE25">
        <v>0</v>
      </c>
      <c r="AF25">
        <v>0</v>
      </c>
      <c r="AG25">
        <v>0</v>
      </c>
      <c r="AH25">
        <v>0</v>
      </c>
      <c r="AI25">
        <f>IF(tbl_HRData[[#This Row],[Attrition]] = "Yes",1,0)</f>
        <v>0</v>
      </c>
      <c r="AJ25">
        <f>IF(tbl_HRData[[#This Row],[Attrition]] = "No",1,0)</f>
        <v>1</v>
      </c>
      <c r="AK25" t="str">
        <f>IF(tbl_HRData[[#This Row],[Age]] &lt; 25, "Under 25", IF(tbl_HRData[[#This Row],[Age]] &lt;= 34, "25-34", IF(tbl_HRData[[#This Row],[Age]] &lt;= 44, "35-44", IF(tbl_HRData[[#This Row],[Age]] &lt;= 54, "45-54", "55+"))))</f>
        <v>Under 25</v>
      </c>
      <c r="AL25" s="1" t="str">
        <f>IF(tbl_HRData[[#This Row],[MonthlyIncome]]&lt;5000,"Low",
IF(tbl_HRData[[#This Row],[MonthlyIncome]]&lt;10000,"Medium",
IF(tbl_HRData[[#This Row],[MonthlyIncome]]&lt;15000,"Upper Medium","High")))</f>
        <v>Low</v>
      </c>
      <c r="AM25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26" spans="1:39" x14ac:dyDescent="0.35">
      <c r="A26" s="1">
        <v>25</v>
      </c>
      <c r="B26">
        <v>34</v>
      </c>
      <c r="C26" s="1" t="s">
        <v>33</v>
      </c>
      <c r="D26" s="1" t="s">
        <v>34</v>
      </c>
      <c r="E26">
        <v>699</v>
      </c>
      <c r="F26" s="1" t="s">
        <v>42</v>
      </c>
      <c r="G26">
        <v>6</v>
      </c>
      <c r="H26">
        <v>1</v>
      </c>
      <c r="I26" s="1" t="s">
        <v>48</v>
      </c>
      <c r="J26">
        <v>31</v>
      </c>
      <c r="K26">
        <v>2</v>
      </c>
      <c r="L26" s="1" t="s">
        <v>43</v>
      </c>
      <c r="M26">
        <v>83</v>
      </c>
      <c r="N26">
        <v>3</v>
      </c>
      <c r="O26">
        <v>1</v>
      </c>
      <c r="P26" s="1" t="s">
        <v>44</v>
      </c>
      <c r="Q26">
        <v>1</v>
      </c>
      <c r="R26" s="1" t="s">
        <v>39</v>
      </c>
      <c r="S26">
        <v>2960</v>
      </c>
      <c r="T26">
        <v>17102</v>
      </c>
      <c r="U26">
        <v>2</v>
      </c>
      <c r="V26" s="1" t="s">
        <v>40</v>
      </c>
      <c r="W26">
        <v>11</v>
      </c>
      <c r="X26">
        <v>3</v>
      </c>
      <c r="Y26">
        <v>3</v>
      </c>
      <c r="Z26">
        <v>80</v>
      </c>
      <c r="AA26">
        <v>0</v>
      </c>
      <c r="AB26">
        <v>8</v>
      </c>
      <c r="AC26">
        <v>2</v>
      </c>
      <c r="AD26">
        <v>3</v>
      </c>
      <c r="AE26">
        <v>4</v>
      </c>
      <c r="AF26">
        <v>2</v>
      </c>
      <c r="AG26">
        <v>1</v>
      </c>
      <c r="AH26">
        <v>3</v>
      </c>
      <c r="AI26">
        <f>IF(tbl_HRData[[#This Row],[Attrition]] = "Yes",1,0)</f>
        <v>1</v>
      </c>
      <c r="AJ26">
        <f>IF(tbl_HRData[[#This Row],[Attrition]] = "No",1,0)</f>
        <v>0</v>
      </c>
      <c r="AK26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26" s="1" t="str">
        <f>IF(tbl_HRData[[#This Row],[MonthlyIncome]]&lt;5000,"Low",
IF(tbl_HRData[[#This Row],[MonthlyIncome]]&lt;10000,"Medium",
IF(tbl_HRData[[#This Row],[MonthlyIncome]]&lt;15000,"Upper Medium","High")))</f>
        <v>Low</v>
      </c>
      <c r="AM26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27" spans="1:39" x14ac:dyDescent="0.35">
      <c r="A27" s="1">
        <v>26</v>
      </c>
      <c r="B27">
        <v>53</v>
      </c>
      <c r="C27" s="1" t="s">
        <v>40</v>
      </c>
      <c r="D27" s="1" t="s">
        <v>34</v>
      </c>
      <c r="E27">
        <v>1282</v>
      </c>
      <c r="F27" s="1" t="s">
        <v>42</v>
      </c>
      <c r="G27">
        <v>5</v>
      </c>
      <c r="H27">
        <v>3</v>
      </c>
      <c r="I27" s="1" t="s">
        <v>46</v>
      </c>
      <c r="J27">
        <v>32</v>
      </c>
      <c r="K27">
        <v>3</v>
      </c>
      <c r="L27" s="1" t="s">
        <v>37</v>
      </c>
      <c r="M27">
        <v>58</v>
      </c>
      <c r="N27">
        <v>3</v>
      </c>
      <c r="O27">
        <v>5</v>
      </c>
      <c r="P27" s="1" t="s">
        <v>53</v>
      </c>
      <c r="Q27">
        <v>3</v>
      </c>
      <c r="R27" s="1" t="s">
        <v>49</v>
      </c>
      <c r="S27">
        <v>19094</v>
      </c>
      <c r="T27">
        <v>10735</v>
      </c>
      <c r="U27">
        <v>4</v>
      </c>
      <c r="V27" s="1" t="s">
        <v>40</v>
      </c>
      <c r="W27">
        <v>11</v>
      </c>
      <c r="X27">
        <v>3</v>
      </c>
      <c r="Y27">
        <v>4</v>
      </c>
      <c r="Z27">
        <v>80</v>
      </c>
      <c r="AA27">
        <v>1</v>
      </c>
      <c r="AB27">
        <v>26</v>
      </c>
      <c r="AC27">
        <v>3</v>
      </c>
      <c r="AD27">
        <v>2</v>
      </c>
      <c r="AE27">
        <v>14</v>
      </c>
      <c r="AF27">
        <v>13</v>
      </c>
      <c r="AG27">
        <v>4</v>
      </c>
      <c r="AH27">
        <v>8</v>
      </c>
      <c r="AI27">
        <f>IF(tbl_HRData[[#This Row],[Attrition]] = "Yes",1,0)</f>
        <v>0</v>
      </c>
      <c r="AJ27">
        <f>IF(tbl_HRData[[#This Row],[Attrition]] = "No",1,0)</f>
        <v>1</v>
      </c>
      <c r="AK27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27" s="1" t="str">
        <f>IF(tbl_HRData[[#This Row],[MonthlyIncome]]&lt;5000,"Low",
IF(tbl_HRData[[#This Row],[MonthlyIncome]]&lt;10000,"Medium",
IF(tbl_HRData[[#This Row],[MonthlyIncome]]&lt;15000,"Upper Medium","High")))</f>
        <v>High</v>
      </c>
      <c r="AM27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28" spans="1:39" x14ac:dyDescent="0.35">
      <c r="A28" s="1">
        <v>27</v>
      </c>
      <c r="B28">
        <v>32</v>
      </c>
      <c r="C28" s="1" t="s">
        <v>33</v>
      </c>
      <c r="D28" s="1" t="s">
        <v>41</v>
      </c>
      <c r="E28">
        <v>1125</v>
      </c>
      <c r="F28" s="1" t="s">
        <v>42</v>
      </c>
      <c r="G28">
        <v>16</v>
      </c>
      <c r="H28">
        <v>1</v>
      </c>
      <c r="I28" s="1" t="s">
        <v>36</v>
      </c>
      <c r="J28">
        <v>33</v>
      </c>
      <c r="K28">
        <v>2</v>
      </c>
      <c r="L28" s="1" t="s">
        <v>37</v>
      </c>
      <c r="M28">
        <v>72</v>
      </c>
      <c r="N28">
        <v>1</v>
      </c>
      <c r="O28">
        <v>1</v>
      </c>
      <c r="P28" s="1" t="s">
        <v>44</v>
      </c>
      <c r="Q28">
        <v>1</v>
      </c>
      <c r="R28" s="1" t="s">
        <v>39</v>
      </c>
      <c r="S28">
        <v>3919</v>
      </c>
      <c r="T28">
        <v>4681</v>
      </c>
      <c r="U28">
        <v>1</v>
      </c>
      <c r="V28" s="1" t="s">
        <v>33</v>
      </c>
      <c r="W28">
        <v>22</v>
      </c>
      <c r="X28">
        <v>4</v>
      </c>
      <c r="Y28">
        <v>2</v>
      </c>
      <c r="Z28">
        <v>80</v>
      </c>
      <c r="AA28">
        <v>0</v>
      </c>
      <c r="AB28">
        <v>10</v>
      </c>
      <c r="AC28">
        <v>5</v>
      </c>
      <c r="AD28">
        <v>3</v>
      </c>
      <c r="AE28">
        <v>10</v>
      </c>
      <c r="AF28">
        <v>2</v>
      </c>
      <c r="AG28">
        <v>6</v>
      </c>
      <c r="AH28">
        <v>7</v>
      </c>
      <c r="AI28">
        <f>IF(tbl_HRData[[#This Row],[Attrition]] = "Yes",1,0)</f>
        <v>1</v>
      </c>
      <c r="AJ28">
        <f>IF(tbl_HRData[[#This Row],[Attrition]] = "No",1,0)</f>
        <v>0</v>
      </c>
      <c r="AK28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28" s="1" t="str">
        <f>IF(tbl_HRData[[#This Row],[MonthlyIncome]]&lt;5000,"Low",
IF(tbl_HRData[[#This Row],[MonthlyIncome]]&lt;10000,"Medium",
IF(tbl_HRData[[#This Row],[MonthlyIncome]]&lt;15000,"Upper Medium","High")))</f>
        <v>Low</v>
      </c>
      <c r="AM28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29" spans="1:39" x14ac:dyDescent="0.35">
      <c r="A29" s="1">
        <v>28</v>
      </c>
      <c r="B29">
        <v>42</v>
      </c>
      <c r="C29" s="1" t="s">
        <v>40</v>
      </c>
      <c r="D29" s="1" t="s">
        <v>34</v>
      </c>
      <c r="E29">
        <v>691</v>
      </c>
      <c r="F29" s="1" t="s">
        <v>35</v>
      </c>
      <c r="G29">
        <v>8</v>
      </c>
      <c r="H29">
        <v>4</v>
      </c>
      <c r="I29" s="1" t="s">
        <v>56</v>
      </c>
      <c r="J29">
        <v>35</v>
      </c>
      <c r="K29">
        <v>3</v>
      </c>
      <c r="L29" s="1" t="s">
        <v>43</v>
      </c>
      <c r="M29">
        <v>48</v>
      </c>
      <c r="N29">
        <v>3</v>
      </c>
      <c r="O29">
        <v>2</v>
      </c>
      <c r="P29" s="1" t="s">
        <v>38</v>
      </c>
      <c r="Q29">
        <v>2</v>
      </c>
      <c r="R29" s="1" t="s">
        <v>45</v>
      </c>
      <c r="S29">
        <v>6825</v>
      </c>
      <c r="T29">
        <v>21173</v>
      </c>
      <c r="U29">
        <v>0</v>
      </c>
      <c r="V29" s="1" t="s">
        <v>40</v>
      </c>
      <c r="W29">
        <v>11</v>
      </c>
      <c r="X29">
        <v>3</v>
      </c>
      <c r="Y29">
        <v>4</v>
      </c>
      <c r="Z29">
        <v>80</v>
      </c>
      <c r="AA29">
        <v>1</v>
      </c>
      <c r="AB29">
        <v>10</v>
      </c>
      <c r="AC29">
        <v>2</v>
      </c>
      <c r="AD29">
        <v>3</v>
      </c>
      <c r="AE29">
        <v>9</v>
      </c>
      <c r="AF29">
        <v>7</v>
      </c>
      <c r="AG29">
        <v>4</v>
      </c>
      <c r="AH29">
        <v>2</v>
      </c>
      <c r="AI29">
        <f>IF(tbl_HRData[[#This Row],[Attrition]] = "Yes",1,0)</f>
        <v>0</v>
      </c>
      <c r="AJ29">
        <f>IF(tbl_HRData[[#This Row],[Attrition]] = "No",1,0)</f>
        <v>1</v>
      </c>
      <c r="AK29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29" s="1" t="str">
        <f>IF(tbl_HRData[[#This Row],[MonthlyIncome]]&lt;5000,"Low",
IF(tbl_HRData[[#This Row],[MonthlyIncome]]&lt;10000,"Medium",
IF(tbl_HRData[[#This Row],[MonthlyIncome]]&lt;15000,"Upper Medium","High")))</f>
        <v>Medium</v>
      </c>
      <c r="AM29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30" spans="1:39" x14ac:dyDescent="0.35">
      <c r="A30" s="1">
        <v>29</v>
      </c>
      <c r="B30">
        <v>44</v>
      </c>
      <c r="C30" s="1" t="s">
        <v>40</v>
      </c>
      <c r="D30" s="1" t="s">
        <v>34</v>
      </c>
      <c r="E30">
        <v>477</v>
      </c>
      <c r="F30" s="1" t="s">
        <v>42</v>
      </c>
      <c r="G30">
        <v>7</v>
      </c>
      <c r="H30">
        <v>4</v>
      </c>
      <c r="I30" s="1" t="s">
        <v>48</v>
      </c>
      <c r="J30">
        <v>36</v>
      </c>
      <c r="K30">
        <v>1</v>
      </c>
      <c r="L30" s="1" t="s">
        <v>37</v>
      </c>
      <c r="M30">
        <v>42</v>
      </c>
      <c r="N30">
        <v>2</v>
      </c>
      <c r="O30">
        <v>3</v>
      </c>
      <c r="P30" s="1" t="s">
        <v>51</v>
      </c>
      <c r="Q30">
        <v>4</v>
      </c>
      <c r="R30" s="1" t="s">
        <v>45</v>
      </c>
      <c r="S30">
        <v>10248</v>
      </c>
      <c r="T30">
        <v>2094</v>
      </c>
      <c r="U30">
        <v>3</v>
      </c>
      <c r="V30" s="1" t="s">
        <v>40</v>
      </c>
      <c r="W30">
        <v>14</v>
      </c>
      <c r="X30">
        <v>3</v>
      </c>
      <c r="Y30">
        <v>4</v>
      </c>
      <c r="Z30">
        <v>80</v>
      </c>
      <c r="AA30">
        <v>1</v>
      </c>
      <c r="AB30">
        <v>24</v>
      </c>
      <c r="AC30">
        <v>4</v>
      </c>
      <c r="AD30">
        <v>3</v>
      </c>
      <c r="AE30">
        <v>22</v>
      </c>
      <c r="AF30">
        <v>6</v>
      </c>
      <c r="AG30">
        <v>5</v>
      </c>
      <c r="AH30">
        <v>17</v>
      </c>
      <c r="AI30">
        <f>IF(tbl_HRData[[#This Row],[Attrition]] = "Yes",1,0)</f>
        <v>0</v>
      </c>
      <c r="AJ30">
        <f>IF(tbl_HRData[[#This Row],[Attrition]] = "No",1,0)</f>
        <v>1</v>
      </c>
      <c r="AK30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30" s="1" t="str">
        <f>IF(tbl_HRData[[#This Row],[MonthlyIncome]]&lt;5000,"Low",
IF(tbl_HRData[[#This Row],[MonthlyIncome]]&lt;10000,"Medium",
IF(tbl_HRData[[#This Row],[MonthlyIncome]]&lt;15000,"Upper Medium","High")))</f>
        <v>Upper Medium</v>
      </c>
      <c r="AM30" s="1" t="str">
        <f>IF(tbl_HRData[[#This Row],[YearsAtCompany]]&lt;=5,"0-5 Years",
IF(tbl_HRData[[#This Row],[YearsAtCompany]]&lt;=10,"6-10 Years",
IF(tbl_HRData[[#This Row],[YearsAtCompany]]&lt;=20,"11-20 Years","21+ Years")))</f>
        <v>21+ Years</v>
      </c>
    </row>
    <row r="31" spans="1:39" x14ac:dyDescent="0.35">
      <c r="A31" s="1">
        <v>30</v>
      </c>
      <c r="B31">
        <v>46</v>
      </c>
      <c r="C31" s="1" t="s">
        <v>40</v>
      </c>
      <c r="D31" s="1" t="s">
        <v>34</v>
      </c>
      <c r="E31">
        <v>705</v>
      </c>
      <c r="F31" s="1" t="s">
        <v>35</v>
      </c>
      <c r="G31">
        <v>2</v>
      </c>
      <c r="H31">
        <v>4</v>
      </c>
      <c r="I31" s="1" t="s">
        <v>56</v>
      </c>
      <c r="J31">
        <v>38</v>
      </c>
      <c r="K31">
        <v>2</v>
      </c>
      <c r="L31" s="1" t="s">
        <v>37</v>
      </c>
      <c r="M31">
        <v>83</v>
      </c>
      <c r="N31">
        <v>3</v>
      </c>
      <c r="O31">
        <v>5</v>
      </c>
      <c r="P31" s="1" t="s">
        <v>53</v>
      </c>
      <c r="Q31">
        <v>1</v>
      </c>
      <c r="R31" s="1" t="s">
        <v>39</v>
      </c>
      <c r="S31">
        <v>18947</v>
      </c>
      <c r="T31">
        <v>22822</v>
      </c>
      <c r="U31">
        <v>3</v>
      </c>
      <c r="V31" s="1" t="s">
        <v>40</v>
      </c>
      <c r="W31">
        <v>12</v>
      </c>
      <c r="X31">
        <v>3</v>
      </c>
      <c r="Y31">
        <v>4</v>
      </c>
      <c r="Z31">
        <v>80</v>
      </c>
      <c r="AA31">
        <v>0</v>
      </c>
      <c r="AB31">
        <v>22</v>
      </c>
      <c r="AC31">
        <v>2</v>
      </c>
      <c r="AD31">
        <v>2</v>
      </c>
      <c r="AE31">
        <v>2</v>
      </c>
      <c r="AF31">
        <v>2</v>
      </c>
      <c r="AG31">
        <v>2</v>
      </c>
      <c r="AH31">
        <v>1</v>
      </c>
      <c r="AI31">
        <f>IF(tbl_HRData[[#This Row],[Attrition]] = "Yes",1,0)</f>
        <v>0</v>
      </c>
      <c r="AJ31">
        <f>IF(tbl_HRData[[#This Row],[Attrition]] = "No",1,0)</f>
        <v>1</v>
      </c>
      <c r="AK31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31" s="1" t="str">
        <f>IF(tbl_HRData[[#This Row],[MonthlyIncome]]&lt;5000,"Low",
IF(tbl_HRData[[#This Row],[MonthlyIncome]]&lt;10000,"Medium",
IF(tbl_HRData[[#This Row],[MonthlyIncome]]&lt;15000,"Upper Medium","High")))</f>
        <v>High</v>
      </c>
      <c r="AM31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32" spans="1:39" x14ac:dyDescent="0.35">
      <c r="A32" s="1">
        <v>31</v>
      </c>
      <c r="B32">
        <v>33</v>
      </c>
      <c r="C32" s="1" t="s">
        <v>40</v>
      </c>
      <c r="D32" s="1" t="s">
        <v>34</v>
      </c>
      <c r="E32">
        <v>924</v>
      </c>
      <c r="F32" s="1" t="s">
        <v>42</v>
      </c>
      <c r="G32">
        <v>2</v>
      </c>
      <c r="H32">
        <v>3</v>
      </c>
      <c r="I32" s="1" t="s">
        <v>48</v>
      </c>
      <c r="J32">
        <v>39</v>
      </c>
      <c r="K32">
        <v>3</v>
      </c>
      <c r="L32" s="1" t="s">
        <v>43</v>
      </c>
      <c r="M32">
        <v>78</v>
      </c>
      <c r="N32">
        <v>3</v>
      </c>
      <c r="O32">
        <v>1</v>
      </c>
      <c r="P32" s="1" t="s">
        <v>47</v>
      </c>
      <c r="Q32">
        <v>4</v>
      </c>
      <c r="R32" s="1" t="s">
        <v>39</v>
      </c>
      <c r="S32">
        <v>2496</v>
      </c>
      <c r="T32">
        <v>6670</v>
      </c>
      <c r="U32">
        <v>4</v>
      </c>
      <c r="V32" s="1" t="s">
        <v>40</v>
      </c>
      <c r="W32">
        <v>11</v>
      </c>
      <c r="X32">
        <v>3</v>
      </c>
      <c r="Y32">
        <v>4</v>
      </c>
      <c r="Z32">
        <v>80</v>
      </c>
      <c r="AA32">
        <v>0</v>
      </c>
      <c r="AB32">
        <v>7</v>
      </c>
      <c r="AC32">
        <v>3</v>
      </c>
      <c r="AD32">
        <v>3</v>
      </c>
      <c r="AE32">
        <v>1</v>
      </c>
      <c r="AF32">
        <v>1</v>
      </c>
      <c r="AG32">
        <v>0</v>
      </c>
      <c r="AH32">
        <v>0</v>
      </c>
      <c r="AI32">
        <f>IF(tbl_HRData[[#This Row],[Attrition]] = "Yes",1,0)</f>
        <v>0</v>
      </c>
      <c r="AJ32">
        <f>IF(tbl_HRData[[#This Row],[Attrition]] = "No",1,0)</f>
        <v>1</v>
      </c>
      <c r="AK32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32" s="1" t="str">
        <f>IF(tbl_HRData[[#This Row],[MonthlyIncome]]&lt;5000,"Low",
IF(tbl_HRData[[#This Row],[MonthlyIncome]]&lt;10000,"Medium",
IF(tbl_HRData[[#This Row],[MonthlyIncome]]&lt;15000,"Upper Medium","High")))</f>
        <v>Low</v>
      </c>
      <c r="AM32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33" spans="1:39" x14ac:dyDescent="0.35">
      <c r="A33" s="1">
        <v>32</v>
      </c>
      <c r="B33">
        <v>44</v>
      </c>
      <c r="C33" s="1" t="s">
        <v>40</v>
      </c>
      <c r="D33" s="1" t="s">
        <v>34</v>
      </c>
      <c r="E33">
        <v>1459</v>
      </c>
      <c r="F33" s="1" t="s">
        <v>42</v>
      </c>
      <c r="G33">
        <v>10</v>
      </c>
      <c r="H33">
        <v>4</v>
      </c>
      <c r="I33" s="1" t="s">
        <v>46</v>
      </c>
      <c r="J33">
        <v>40</v>
      </c>
      <c r="K33">
        <v>4</v>
      </c>
      <c r="L33" s="1" t="s">
        <v>43</v>
      </c>
      <c r="M33">
        <v>41</v>
      </c>
      <c r="N33">
        <v>3</v>
      </c>
      <c r="O33">
        <v>2</v>
      </c>
      <c r="P33" s="1" t="s">
        <v>51</v>
      </c>
      <c r="Q33">
        <v>4</v>
      </c>
      <c r="R33" s="1" t="s">
        <v>45</v>
      </c>
      <c r="S33">
        <v>6465</v>
      </c>
      <c r="T33">
        <v>19121</v>
      </c>
      <c r="U33">
        <v>2</v>
      </c>
      <c r="V33" s="1" t="s">
        <v>33</v>
      </c>
      <c r="W33">
        <v>13</v>
      </c>
      <c r="X33">
        <v>3</v>
      </c>
      <c r="Y33">
        <v>4</v>
      </c>
      <c r="Z33">
        <v>80</v>
      </c>
      <c r="AA33">
        <v>0</v>
      </c>
      <c r="AB33">
        <v>9</v>
      </c>
      <c r="AC33">
        <v>5</v>
      </c>
      <c r="AD33">
        <v>4</v>
      </c>
      <c r="AE33">
        <v>4</v>
      </c>
      <c r="AF33">
        <v>2</v>
      </c>
      <c r="AG33">
        <v>1</v>
      </c>
      <c r="AH33">
        <v>3</v>
      </c>
      <c r="AI33">
        <f>IF(tbl_HRData[[#This Row],[Attrition]] = "Yes",1,0)</f>
        <v>0</v>
      </c>
      <c r="AJ33">
        <f>IF(tbl_HRData[[#This Row],[Attrition]] = "No",1,0)</f>
        <v>1</v>
      </c>
      <c r="AK33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33" s="1" t="str">
        <f>IF(tbl_HRData[[#This Row],[MonthlyIncome]]&lt;5000,"Low",
IF(tbl_HRData[[#This Row],[MonthlyIncome]]&lt;10000,"Medium",
IF(tbl_HRData[[#This Row],[MonthlyIncome]]&lt;15000,"Upper Medium","High")))</f>
        <v>Medium</v>
      </c>
      <c r="AM33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34" spans="1:39" x14ac:dyDescent="0.35">
      <c r="A34" s="1">
        <v>33</v>
      </c>
      <c r="B34">
        <v>30</v>
      </c>
      <c r="C34" s="1" t="s">
        <v>40</v>
      </c>
      <c r="D34" s="1" t="s">
        <v>34</v>
      </c>
      <c r="E34">
        <v>125</v>
      </c>
      <c r="F34" s="1" t="s">
        <v>42</v>
      </c>
      <c r="G34">
        <v>9</v>
      </c>
      <c r="H34">
        <v>2</v>
      </c>
      <c r="I34" s="1" t="s">
        <v>48</v>
      </c>
      <c r="J34">
        <v>41</v>
      </c>
      <c r="K34">
        <v>4</v>
      </c>
      <c r="L34" s="1" t="s">
        <v>43</v>
      </c>
      <c r="M34">
        <v>83</v>
      </c>
      <c r="N34">
        <v>2</v>
      </c>
      <c r="O34">
        <v>1</v>
      </c>
      <c r="P34" s="1" t="s">
        <v>47</v>
      </c>
      <c r="Q34">
        <v>3</v>
      </c>
      <c r="R34" s="1" t="s">
        <v>39</v>
      </c>
      <c r="S34">
        <v>2206</v>
      </c>
      <c r="T34">
        <v>16117</v>
      </c>
      <c r="U34">
        <v>1</v>
      </c>
      <c r="V34" s="1" t="s">
        <v>40</v>
      </c>
      <c r="W34">
        <v>13</v>
      </c>
      <c r="X34">
        <v>3</v>
      </c>
      <c r="Y34">
        <v>1</v>
      </c>
      <c r="Z34">
        <v>80</v>
      </c>
      <c r="AA34">
        <v>0</v>
      </c>
      <c r="AB34">
        <v>10</v>
      </c>
      <c r="AC34">
        <v>5</v>
      </c>
      <c r="AD34">
        <v>3</v>
      </c>
      <c r="AE34">
        <v>10</v>
      </c>
      <c r="AF34">
        <v>0</v>
      </c>
      <c r="AG34">
        <v>1</v>
      </c>
      <c r="AH34">
        <v>8</v>
      </c>
      <c r="AI34">
        <f>IF(tbl_HRData[[#This Row],[Attrition]] = "Yes",1,0)</f>
        <v>0</v>
      </c>
      <c r="AJ34">
        <f>IF(tbl_HRData[[#This Row],[Attrition]] = "No",1,0)</f>
        <v>1</v>
      </c>
      <c r="AK34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34" s="1" t="str">
        <f>IF(tbl_HRData[[#This Row],[MonthlyIncome]]&lt;5000,"Low",
IF(tbl_HRData[[#This Row],[MonthlyIncome]]&lt;10000,"Medium",
IF(tbl_HRData[[#This Row],[MonthlyIncome]]&lt;15000,"Upper Medium","High")))</f>
        <v>Low</v>
      </c>
      <c r="AM34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35" spans="1:39" x14ac:dyDescent="0.35">
      <c r="A35" s="1">
        <v>34</v>
      </c>
      <c r="B35">
        <v>39</v>
      </c>
      <c r="C35" s="1" t="s">
        <v>33</v>
      </c>
      <c r="D35" s="1" t="s">
        <v>34</v>
      </c>
      <c r="E35">
        <v>895</v>
      </c>
      <c r="F35" s="1" t="s">
        <v>35</v>
      </c>
      <c r="G35">
        <v>5</v>
      </c>
      <c r="H35">
        <v>3</v>
      </c>
      <c r="I35" s="1" t="s">
        <v>57</v>
      </c>
      <c r="J35">
        <v>42</v>
      </c>
      <c r="K35">
        <v>4</v>
      </c>
      <c r="L35" s="1" t="s">
        <v>43</v>
      </c>
      <c r="M35">
        <v>56</v>
      </c>
      <c r="N35">
        <v>3</v>
      </c>
      <c r="O35">
        <v>2</v>
      </c>
      <c r="P35" s="1" t="s">
        <v>54</v>
      </c>
      <c r="Q35">
        <v>4</v>
      </c>
      <c r="R35" s="1" t="s">
        <v>45</v>
      </c>
      <c r="S35">
        <v>2086</v>
      </c>
      <c r="T35">
        <v>3335</v>
      </c>
      <c r="U35">
        <v>3</v>
      </c>
      <c r="V35" s="1" t="s">
        <v>40</v>
      </c>
      <c r="W35">
        <v>14</v>
      </c>
      <c r="X35">
        <v>3</v>
      </c>
      <c r="Y35">
        <v>3</v>
      </c>
      <c r="Z35">
        <v>80</v>
      </c>
      <c r="AA35">
        <v>1</v>
      </c>
      <c r="AB35">
        <v>19</v>
      </c>
      <c r="AC35">
        <v>6</v>
      </c>
      <c r="AD35">
        <v>4</v>
      </c>
      <c r="AE35">
        <v>1</v>
      </c>
      <c r="AF35">
        <v>0</v>
      </c>
      <c r="AG35">
        <v>0</v>
      </c>
      <c r="AH35">
        <v>0</v>
      </c>
      <c r="AI35">
        <f>IF(tbl_HRData[[#This Row],[Attrition]] = "Yes",1,0)</f>
        <v>1</v>
      </c>
      <c r="AJ35">
        <f>IF(tbl_HRData[[#This Row],[Attrition]] = "No",1,0)</f>
        <v>0</v>
      </c>
      <c r="AK35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35" s="1" t="str">
        <f>IF(tbl_HRData[[#This Row],[MonthlyIncome]]&lt;5000,"Low",
IF(tbl_HRData[[#This Row],[MonthlyIncome]]&lt;10000,"Medium",
IF(tbl_HRData[[#This Row],[MonthlyIncome]]&lt;15000,"Upper Medium","High")))</f>
        <v>Low</v>
      </c>
      <c r="AM35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36" spans="1:39" x14ac:dyDescent="0.35">
      <c r="A36" s="1">
        <v>35</v>
      </c>
      <c r="B36">
        <v>24</v>
      </c>
      <c r="C36" s="1" t="s">
        <v>33</v>
      </c>
      <c r="D36" s="1" t="s">
        <v>34</v>
      </c>
      <c r="E36">
        <v>813</v>
      </c>
      <c r="F36" s="1" t="s">
        <v>42</v>
      </c>
      <c r="G36">
        <v>1</v>
      </c>
      <c r="H36">
        <v>3</v>
      </c>
      <c r="I36" s="1" t="s">
        <v>48</v>
      </c>
      <c r="J36">
        <v>45</v>
      </c>
      <c r="K36">
        <v>2</v>
      </c>
      <c r="L36" s="1" t="s">
        <v>43</v>
      </c>
      <c r="M36">
        <v>61</v>
      </c>
      <c r="N36">
        <v>3</v>
      </c>
      <c r="O36">
        <v>1</v>
      </c>
      <c r="P36" s="1" t="s">
        <v>44</v>
      </c>
      <c r="Q36">
        <v>4</v>
      </c>
      <c r="R36" s="1" t="s">
        <v>45</v>
      </c>
      <c r="S36">
        <v>2293</v>
      </c>
      <c r="T36">
        <v>3020</v>
      </c>
      <c r="U36">
        <v>2</v>
      </c>
      <c r="V36" s="1" t="s">
        <v>33</v>
      </c>
      <c r="W36">
        <v>16</v>
      </c>
      <c r="X36">
        <v>3</v>
      </c>
      <c r="Y36">
        <v>1</v>
      </c>
      <c r="Z36">
        <v>80</v>
      </c>
      <c r="AA36">
        <v>1</v>
      </c>
      <c r="AB36">
        <v>6</v>
      </c>
      <c r="AC36">
        <v>2</v>
      </c>
      <c r="AD36">
        <v>2</v>
      </c>
      <c r="AE36">
        <v>2</v>
      </c>
      <c r="AF36">
        <v>0</v>
      </c>
      <c r="AG36">
        <v>2</v>
      </c>
      <c r="AH36">
        <v>0</v>
      </c>
      <c r="AI36">
        <f>IF(tbl_HRData[[#This Row],[Attrition]] = "Yes",1,0)</f>
        <v>1</v>
      </c>
      <c r="AJ36">
        <f>IF(tbl_HRData[[#This Row],[Attrition]] = "No",1,0)</f>
        <v>0</v>
      </c>
      <c r="AK36" t="str">
        <f>IF(tbl_HRData[[#This Row],[Age]] &lt; 25, "Under 25", IF(tbl_HRData[[#This Row],[Age]] &lt;= 34, "25-34", IF(tbl_HRData[[#This Row],[Age]] &lt;= 44, "35-44", IF(tbl_HRData[[#This Row],[Age]] &lt;= 54, "45-54", "55+"))))</f>
        <v>Under 25</v>
      </c>
      <c r="AL36" s="1" t="str">
        <f>IF(tbl_HRData[[#This Row],[MonthlyIncome]]&lt;5000,"Low",
IF(tbl_HRData[[#This Row],[MonthlyIncome]]&lt;10000,"Medium",
IF(tbl_HRData[[#This Row],[MonthlyIncome]]&lt;15000,"Upper Medium","High")))</f>
        <v>Low</v>
      </c>
      <c r="AM36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37" spans="1:39" x14ac:dyDescent="0.35">
      <c r="A37" s="1">
        <v>36</v>
      </c>
      <c r="B37">
        <v>43</v>
      </c>
      <c r="C37" s="1" t="s">
        <v>40</v>
      </c>
      <c r="D37" s="1" t="s">
        <v>34</v>
      </c>
      <c r="E37">
        <v>1273</v>
      </c>
      <c r="F37" s="1" t="s">
        <v>42</v>
      </c>
      <c r="G37">
        <v>2</v>
      </c>
      <c r="H37">
        <v>2</v>
      </c>
      <c r="I37" s="1" t="s">
        <v>48</v>
      </c>
      <c r="J37">
        <v>46</v>
      </c>
      <c r="K37">
        <v>4</v>
      </c>
      <c r="L37" s="1" t="s">
        <v>37</v>
      </c>
      <c r="M37">
        <v>72</v>
      </c>
      <c r="N37">
        <v>4</v>
      </c>
      <c r="O37">
        <v>1</v>
      </c>
      <c r="P37" s="1" t="s">
        <v>44</v>
      </c>
      <c r="Q37">
        <v>3</v>
      </c>
      <c r="R37" s="1" t="s">
        <v>49</v>
      </c>
      <c r="S37">
        <v>2645</v>
      </c>
      <c r="T37">
        <v>21923</v>
      </c>
      <c r="U37">
        <v>1</v>
      </c>
      <c r="V37" s="1" t="s">
        <v>40</v>
      </c>
      <c r="W37">
        <v>12</v>
      </c>
      <c r="X37">
        <v>3</v>
      </c>
      <c r="Y37">
        <v>4</v>
      </c>
      <c r="Z37">
        <v>80</v>
      </c>
      <c r="AA37">
        <v>2</v>
      </c>
      <c r="AB37">
        <v>6</v>
      </c>
      <c r="AC37">
        <v>3</v>
      </c>
      <c r="AD37">
        <v>2</v>
      </c>
      <c r="AE37">
        <v>5</v>
      </c>
      <c r="AF37">
        <v>3</v>
      </c>
      <c r="AG37">
        <v>1</v>
      </c>
      <c r="AH37">
        <v>4</v>
      </c>
      <c r="AI37">
        <f>IF(tbl_HRData[[#This Row],[Attrition]] = "Yes",1,0)</f>
        <v>0</v>
      </c>
      <c r="AJ37">
        <f>IF(tbl_HRData[[#This Row],[Attrition]] = "No",1,0)</f>
        <v>1</v>
      </c>
      <c r="AK37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37" s="1" t="str">
        <f>IF(tbl_HRData[[#This Row],[MonthlyIncome]]&lt;5000,"Low",
IF(tbl_HRData[[#This Row],[MonthlyIncome]]&lt;10000,"Medium",
IF(tbl_HRData[[#This Row],[MonthlyIncome]]&lt;15000,"Upper Medium","High")))</f>
        <v>Low</v>
      </c>
      <c r="AM37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38" spans="1:39" x14ac:dyDescent="0.35">
      <c r="A38" s="1">
        <v>37</v>
      </c>
      <c r="B38">
        <v>50</v>
      </c>
      <c r="C38" s="1" t="s">
        <v>33</v>
      </c>
      <c r="D38" s="1" t="s">
        <v>34</v>
      </c>
      <c r="E38">
        <v>869</v>
      </c>
      <c r="F38" s="1" t="s">
        <v>35</v>
      </c>
      <c r="G38">
        <v>3</v>
      </c>
      <c r="H38">
        <v>2</v>
      </c>
      <c r="I38" s="1" t="s">
        <v>56</v>
      </c>
      <c r="J38">
        <v>47</v>
      </c>
      <c r="K38">
        <v>1</v>
      </c>
      <c r="L38" s="1" t="s">
        <v>43</v>
      </c>
      <c r="M38">
        <v>86</v>
      </c>
      <c r="N38">
        <v>2</v>
      </c>
      <c r="O38">
        <v>1</v>
      </c>
      <c r="P38" s="1" t="s">
        <v>54</v>
      </c>
      <c r="Q38">
        <v>3</v>
      </c>
      <c r="R38" s="1" t="s">
        <v>45</v>
      </c>
      <c r="S38">
        <v>2683</v>
      </c>
      <c r="T38">
        <v>3810</v>
      </c>
      <c r="U38">
        <v>1</v>
      </c>
      <c r="V38" s="1" t="s">
        <v>33</v>
      </c>
      <c r="W38">
        <v>14</v>
      </c>
      <c r="X38">
        <v>3</v>
      </c>
      <c r="Y38">
        <v>3</v>
      </c>
      <c r="Z38">
        <v>80</v>
      </c>
      <c r="AA38">
        <v>0</v>
      </c>
      <c r="AB38">
        <v>3</v>
      </c>
      <c r="AC38">
        <v>2</v>
      </c>
      <c r="AD38">
        <v>3</v>
      </c>
      <c r="AE38">
        <v>3</v>
      </c>
      <c r="AF38">
        <v>2</v>
      </c>
      <c r="AG38">
        <v>0</v>
      </c>
      <c r="AH38">
        <v>2</v>
      </c>
      <c r="AI38">
        <f>IF(tbl_HRData[[#This Row],[Attrition]] = "Yes",1,0)</f>
        <v>1</v>
      </c>
      <c r="AJ38">
        <f>IF(tbl_HRData[[#This Row],[Attrition]] = "No",1,0)</f>
        <v>0</v>
      </c>
      <c r="AK38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38" s="1" t="str">
        <f>IF(tbl_HRData[[#This Row],[MonthlyIncome]]&lt;5000,"Low",
IF(tbl_HRData[[#This Row],[MonthlyIncome]]&lt;10000,"Medium",
IF(tbl_HRData[[#This Row],[MonthlyIncome]]&lt;15000,"Upper Medium","High")))</f>
        <v>Low</v>
      </c>
      <c r="AM38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39" spans="1:39" x14ac:dyDescent="0.35">
      <c r="A39" s="1">
        <v>38</v>
      </c>
      <c r="B39">
        <v>35</v>
      </c>
      <c r="C39" s="1" t="s">
        <v>40</v>
      </c>
      <c r="D39" s="1" t="s">
        <v>34</v>
      </c>
      <c r="E39">
        <v>890</v>
      </c>
      <c r="F39" s="1" t="s">
        <v>35</v>
      </c>
      <c r="G39">
        <v>2</v>
      </c>
      <c r="H39">
        <v>3</v>
      </c>
      <c r="I39" s="1" t="s">
        <v>56</v>
      </c>
      <c r="J39">
        <v>49</v>
      </c>
      <c r="K39">
        <v>4</v>
      </c>
      <c r="L39" s="1" t="s">
        <v>37</v>
      </c>
      <c r="M39">
        <v>97</v>
      </c>
      <c r="N39">
        <v>3</v>
      </c>
      <c r="O39">
        <v>1</v>
      </c>
      <c r="P39" s="1" t="s">
        <v>54</v>
      </c>
      <c r="Q39">
        <v>4</v>
      </c>
      <c r="R39" s="1" t="s">
        <v>45</v>
      </c>
      <c r="S39">
        <v>2014</v>
      </c>
      <c r="T39">
        <v>9687</v>
      </c>
      <c r="U39">
        <v>1</v>
      </c>
      <c r="V39" s="1" t="s">
        <v>40</v>
      </c>
      <c r="W39">
        <v>13</v>
      </c>
      <c r="X39">
        <v>3</v>
      </c>
      <c r="Y39">
        <v>1</v>
      </c>
      <c r="Z39">
        <v>80</v>
      </c>
      <c r="AA39">
        <v>0</v>
      </c>
      <c r="AB39">
        <v>2</v>
      </c>
      <c r="AC39">
        <v>3</v>
      </c>
      <c r="AD39">
        <v>3</v>
      </c>
      <c r="AE39">
        <v>2</v>
      </c>
      <c r="AF39">
        <v>2</v>
      </c>
      <c r="AG39">
        <v>2</v>
      </c>
      <c r="AH39">
        <v>2</v>
      </c>
      <c r="AI39">
        <f>IF(tbl_HRData[[#This Row],[Attrition]] = "Yes",1,0)</f>
        <v>0</v>
      </c>
      <c r="AJ39">
        <f>IF(tbl_HRData[[#This Row],[Attrition]] = "No",1,0)</f>
        <v>1</v>
      </c>
      <c r="AK39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39" s="1" t="str">
        <f>IF(tbl_HRData[[#This Row],[MonthlyIncome]]&lt;5000,"Low",
IF(tbl_HRData[[#This Row],[MonthlyIncome]]&lt;10000,"Medium",
IF(tbl_HRData[[#This Row],[MonthlyIncome]]&lt;15000,"Upper Medium","High")))</f>
        <v>Low</v>
      </c>
      <c r="AM39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40" spans="1:39" x14ac:dyDescent="0.35">
      <c r="A40" s="1">
        <v>39</v>
      </c>
      <c r="B40">
        <v>36</v>
      </c>
      <c r="C40" s="1" t="s">
        <v>40</v>
      </c>
      <c r="D40" s="1" t="s">
        <v>34</v>
      </c>
      <c r="E40">
        <v>852</v>
      </c>
      <c r="F40" s="1" t="s">
        <v>42</v>
      </c>
      <c r="G40">
        <v>5</v>
      </c>
      <c r="H40">
        <v>4</v>
      </c>
      <c r="I40" s="1" t="s">
        <v>36</v>
      </c>
      <c r="J40">
        <v>51</v>
      </c>
      <c r="K40">
        <v>2</v>
      </c>
      <c r="L40" s="1" t="s">
        <v>37</v>
      </c>
      <c r="M40">
        <v>82</v>
      </c>
      <c r="N40">
        <v>2</v>
      </c>
      <c r="O40">
        <v>1</v>
      </c>
      <c r="P40" s="1" t="s">
        <v>44</v>
      </c>
      <c r="Q40">
        <v>1</v>
      </c>
      <c r="R40" s="1" t="s">
        <v>45</v>
      </c>
      <c r="S40">
        <v>3419</v>
      </c>
      <c r="T40">
        <v>13072</v>
      </c>
      <c r="U40">
        <v>9</v>
      </c>
      <c r="V40" s="1" t="s">
        <v>33</v>
      </c>
      <c r="W40">
        <v>14</v>
      </c>
      <c r="X40">
        <v>3</v>
      </c>
      <c r="Y40">
        <v>4</v>
      </c>
      <c r="Z40">
        <v>80</v>
      </c>
      <c r="AA40">
        <v>1</v>
      </c>
      <c r="AB40">
        <v>6</v>
      </c>
      <c r="AC40">
        <v>3</v>
      </c>
      <c r="AD40">
        <v>4</v>
      </c>
      <c r="AE40">
        <v>1</v>
      </c>
      <c r="AF40">
        <v>1</v>
      </c>
      <c r="AG40">
        <v>0</v>
      </c>
      <c r="AH40">
        <v>0</v>
      </c>
      <c r="AI40">
        <f>IF(tbl_HRData[[#This Row],[Attrition]] = "Yes",1,0)</f>
        <v>0</v>
      </c>
      <c r="AJ40">
        <f>IF(tbl_HRData[[#This Row],[Attrition]] = "No",1,0)</f>
        <v>1</v>
      </c>
      <c r="AK40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40" s="1" t="str">
        <f>IF(tbl_HRData[[#This Row],[MonthlyIncome]]&lt;5000,"Low",
IF(tbl_HRData[[#This Row],[MonthlyIncome]]&lt;10000,"Medium",
IF(tbl_HRData[[#This Row],[MonthlyIncome]]&lt;15000,"Upper Medium","High")))</f>
        <v>Low</v>
      </c>
      <c r="AM40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41" spans="1:39" x14ac:dyDescent="0.35">
      <c r="A41" s="1">
        <v>40</v>
      </c>
      <c r="B41">
        <v>33</v>
      </c>
      <c r="C41" s="1" t="s">
        <v>40</v>
      </c>
      <c r="D41" s="1" t="s">
        <v>41</v>
      </c>
      <c r="E41">
        <v>1141</v>
      </c>
      <c r="F41" s="1" t="s">
        <v>35</v>
      </c>
      <c r="G41">
        <v>1</v>
      </c>
      <c r="H41">
        <v>3</v>
      </c>
      <c r="I41" s="1" t="s">
        <v>36</v>
      </c>
      <c r="J41">
        <v>52</v>
      </c>
      <c r="K41">
        <v>3</v>
      </c>
      <c r="L41" s="1" t="s">
        <v>37</v>
      </c>
      <c r="M41">
        <v>42</v>
      </c>
      <c r="N41">
        <v>4</v>
      </c>
      <c r="O41">
        <v>2</v>
      </c>
      <c r="P41" s="1" t="s">
        <v>38</v>
      </c>
      <c r="Q41">
        <v>1</v>
      </c>
      <c r="R41" s="1" t="s">
        <v>45</v>
      </c>
      <c r="S41">
        <v>5376</v>
      </c>
      <c r="T41">
        <v>3193</v>
      </c>
      <c r="U41">
        <v>2</v>
      </c>
      <c r="V41" s="1" t="s">
        <v>40</v>
      </c>
      <c r="W41">
        <v>19</v>
      </c>
      <c r="X41">
        <v>3</v>
      </c>
      <c r="Y41">
        <v>1</v>
      </c>
      <c r="Z41">
        <v>80</v>
      </c>
      <c r="AA41">
        <v>2</v>
      </c>
      <c r="AB41">
        <v>10</v>
      </c>
      <c r="AC41">
        <v>3</v>
      </c>
      <c r="AD41">
        <v>3</v>
      </c>
      <c r="AE41">
        <v>5</v>
      </c>
      <c r="AF41">
        <v>3</v>
      </c>
      <c r="AG41">
        <v>1</v>
      </c>
      <c r="AH41">
        <v>3</v>
      </c>
      <c r="AI41">
        <f>IF(tbl_HRData[[#This Row],[Attrition]] = "Yes",1,0)</f>
        <v>0</v>
      </c>
      <c r="AJ41">
        <f>IF(tbl_HRData[[#This Row],[Attrition]] = "No",1,0)</f>
        <v>1</v>
      </c>
      <c r="AK41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41" s="1" t="str">
        <f>IF(tbl_HRData[[#This Row],[MonthlyIncome]]&lt;5000,"Low",
IF(tbl_HRData[[#This Row],[MonthlyIncome]]&lt;10000,"Medium",
IF(tbl_HRData[[#This Row],[MonthlyIncome]]&lt;15000,"Upper Medium","High")))</f>
        <v>Medium</v>
      </c>
      <c r="AM41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42" spans="1:39" x14ac:dyDescent="0.35">
      <c r="A42" s="1">
        <v>41</v>
      </c>
      <c r="B42">
        <v>35</v>
      </c>
      <c r="C42" s="1" t="s">
        <v>40</v>
      </c>
      <c r="D42" s="1" t="s">
        <v>34</v>
      </c>
      <c r="E42">
        <v>464</v>
      </c>
      <c r="F42" s="1" t="s">
        <v>42</v>
      </c>
      <c r="G42">
        <v>4</v>
      </c>
      <c r="H42">
        <v>2</v>
      </c>
      <c r="I42" s="1" t="s">
        <v>46</v>
      </c>
      <c r="J42">
        <v>53</v>
      </c>
      <c r="K42">
        <v>3</v>
      </c>
      <c r="L42" s="1" t="s">
        <v>43</v>
      </c>
      <c r="M42">
        <v>75</v>
      </c>
      <c r="N42">
        <v>3</v>
      </c>
      <c r="O42">
        <v>1</v>
      </c>
      <c r="P42" s="1" t="s">
        <v>47</v>
      </c>
      <c r="Q42">
        <v>4</v>
      </c>
      <c r="R42" s="1" t="s">
        <v>49</v>
      </c>
      <c r="S42">
        <v>1951</v>
      </c>
      <c r="T42">
        <v>10910</v>
      </c>
      <c r="U42">
        <v>1</v>
      </c>
      <c r="V42" s="1" t="s">
        <v>40</v>
      </c>
      <c r="W42">
        <v>12</v>
      </c>
      <c r="X42">
        <v>3</v>
      </c>
      <c r="Y42">
        <v>3</v>
      </c>
      <c r="Z42">
        <v>80</v>
      </c>
      <c r="AA42">
        <v>1</v>
      </c>
      <c r="AB42">
        <v>1</v>
      </c>
      <c r="AC42">
        <v>3</v>
      </c>
      <c r="AD42">
        <v>3</v>
      </c>
      <c r="AE42">
        <v>1</v>
      </c>
      <c r="AF42">
        <v>0</v>
      </c>
      <c r="AG42">
        <v>0</v>
      </c>
      <c r="AH42">
        <v>0</v>
      </c>
      <c r="AI42">
        <f>IF(tbl_HRData[[#This Row],[Attrition]] = "Yes",1,0)</f>
        <v>0</v>
      </c>
      <c r="AJ42">
        <f>IF(tbl_HRData[[#This Row],[Attrition]] = "No",1,0)</f>
        <v>1</v>
      </c>
      <c r="AK42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42" s="1" t="str">
        <f>IF(tbl_HRData[[#This Row],[MonthlyIncome]]&lt;5000,"Low",
IF(tbl_HRData[[#This Row],[MonthlyIncome]]&lt;10000,"Medium",
IF(tbl_HRData[[#This Row],[MonthlyIncome]]&lt;15000,"Upper Medium","High")))</f>
        <v>Low</v>
      </c>
      <c r="AM42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43" spans="1:39" x14ac:dyDescent="0.35">
      <c r="A43" s="1">
        <v>42</v>
      </c>
      <c r="B43">
        <v>27</v>
      </c>
      <c r="C43" s="1" t="s">
        <v>40</v>
      </c>
      <c r="D43" s="1" t="s">
        <v>34</v>
      </c>
      <c r="E43">
        <v>1240</v>
      </c>
      <c r="F43" s="1" t="s">
        <v>42</v>
      </c>
      <c r="G43">
        <v>2</v>
      </c>
      <c r="H43">
        <v>4</v>
      </c>
      <c r="I43" s="1" t="s">
        <v>36</v>
      </c>
      <c r="J43">
        <v>54</v>
      </c>
      <c r="K43">
        <v>4</v>
      </c>
      <c r="L43" s="1" t="s">
        <v>37</v>
      </c>
      <c r="M43">
        <v>33</v>
      </c>
      <c r="N43">
        <v>3</v>
      </c>
      <c r="O43">
        <v>1</v>
      </c>
      <c r="P43" s="1" t="s">
        <v>47</v>
      </c>
      <c r="Q43">
        <v>1</v>
      </c>
      <c r="R43" s="1" t="s">
        <v>49</v>
      </c>
      <c r="S43">
        <v>2341</v>
      </c>
      <c r="T43">
        <v>19715</v>
      </c>
      <c r="U43">
        <v>1</v>
      </c>
      <c r="V43" s="1" t="s">
        <v>40</v>
      </c>
      <c r="W43">
        <v>13</v>
      </c>
      <c r="X43">
        <v>3</v>
      </c>
      <c r="Y43">
        <v>4</v>
      </c>
      <c r="Z43">
        <v>80</v>
      </c>
      <c r="AA43">
        <v>1</v>
      </c>
      <c r="AB43">
        <v>1</v>
      </c>
      <c r="AC43">
        <v>6</v>
      </c>
      <c r="AD43">
        <v>3</v>
      </c>
      <c r="AE43">
        <v>1</v>
      </c>
      <c r="AF43">
        <v>0</v>
      </c>
      <c r="AG43">
        <v>0</v>
      </c>
      <c r="AH43">
        <v>0</v>
      </c>
      <c r="AI43">
        <f>IF(tbl_HRData[[#This Row],[Attrition]] = "Yes",1,0)</f>
        <v>0</v>
      </c>
      <c r="AJ43">
        <f>IF(tbl_HRData[[#This Row],[Attrition]] = "No",1,0)</f>
        <v>1</v>
      </c>
      <c r="AK43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43" s="1" t="str">
        <f>IF(tbl_HRData[[#This Row],[MonthlyIncome]]&lt;5000,"Low",
IF(tbl_HRData[[#This Row],[MonthlyIncome]]&lt;10000,"Medium",
IF(tbl_HRData[[#This Row],[MonthlyIncome]]&lt;15000,"Upper Medium","High")))</f>
        <v>Low</v>
      </c>
      <c r="AM43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44" spans="1:39" x14ac:dyDescent="0.35">
      <c r="A44" s="1">
        <v>43</v>
      </c>
      <c r="B44">
        <v>26</v>
      </c>
      <c r="C44" s="1" t="s">
        <v>33</v>
      </c>
      <c r="D44" s="1" t="s">
        <v>34</v>
      </c>
      <c r="E44">
        <v>1357</v>
      </c>
      <c r="F44" s="1" t="s">
        <v>42</v>
      </c>
      <c r="G44">
        <v>25</v>
      </c>
      <c r="H44">
        <v>3</v>
      </c>
      <c r="I44" s="1" t="s">
        <v>36</v>
      </c>
      <c r="J44">
        <v>55</v>
      </c>
      <c r="K44">
        <v>1</v>
      </c>
      <c r="L44" s="1" t="s">
        <v>43</v>
      </c>
      <c r="M44">
        <v>48</v>
      </c>
      <c r="N44">
        <v>1</v>
      </c>
      <c r="O44">
        <v>1</v>
      </c>
      <c r="P44" s="1" t="s">
        <v>47</v>
      </c>
      <c r="Q44">
        <v>3</v>
      </c>
      <c r="R44" s="1" t="s">
        <v>39</v>
      </c>
      <c r="S44">
        <v>2293</v>
      </c>
      <c r="T44">
        <v>10558</v>
      </c>
      <c r="U44">
        <v>1</v>
      </c>
      <c r="V44" s="1" t="s">
        <v>40</v>
      </c>
      <c r="W44">
        <v>12</v>
      </c>
      <c r="X44">
        <v>3</v>
      </c>
      <c r="Y44">
        <v>3</v>
      </c>
      <c r="Z44">
        <v>80</v>
      </c>
      <c r="AA44">
        <v>0</v>
      </c>
      <c r="AB44">
        <v>1</v>
      </c>
      <c r="AC44">
        <v>2</v>
      </c>
      <c r="AD44">
        <v>2</v>
      </c>
      <c r="AE44">
        <v>1</v>
      </c>
      <c r="AF44">
        <v>0</v>
      </c>
      <c r="AG44">
        <v>0</v>
      </c>
      <c r="AH44">
        <v>1</v>
      </c>
      <c r="AI44">
        <f>IF(tbl_HRData[[#This Row],[Attrition]] = "Yes",1,0)</f>
        <v>1</v>
      </c>
      <c r="AJ44">
        <f>IF(tbl_HRData[[#This Row],[Attrition]] = "No",1,0)</f>
        <v>0</v>
      </c>
      <c r="AK44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44" s="1" t="str">
        <f>IF(tbl_HRData[[#This Row],[MonthlyIncome]]&lt;5000,"Low",
IF(tbl_HRData[[#This Row],[MonthlyIncome]]&lt;10000,"Medium",
IF(tbl_HRData[[#This Row],[MonthlyIncome]]&lt;15000,"Upper Medium","High")))</f>
        <v>Low</v>
      </c>
      <c r="AM44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45" spans="1:39" x14ac:dyDescent="0.35">
      <c r="A45" s="1">
        <v>44</v>
      </c>
      <c r="B45">
        <v>27</v>
      </c>
      <c r="C45" s="1" t="s">
        <v>40</v>
      </c>
      <c r="D45" s="1" t="s">
        <v>41</v>
      </c>
      <c r="E45">
        <v>994</v>
      </c>
      <c r="F45" s="1" t="s">
        <v>35</v>
      </c>
      <c r="G45">
        <v>8</v>
      </c>
      <c r="H45">
        <v>3</v>
      </c>
      <c r="I45" s="1" t="s">
        <v>36</v>
      </c>
      <c r="J45">
        <v>56</v>
      </c>
      <c r="K45">
        <v>4</v>
      </c>
      <c r="L45" s="1" t="s">
        <v>43</v>
      </c>
      <c r="M45">
        <v>37</v>
      </c>
      <c r="N45">
        <v>3</v>
      </c>
      <c r="O45">
        <v>3</v>
      </c>
      <c r="P45" s="1" t="s">
        <v>38</v>
      </c>
      <c r="Q45">
        <v>3</v>
      </c>
      <c r="R45" s="1" t="s">
        <v>39</v>
      </c>
      <c r="S45">
        <v>8726</v>
      </c>
      <c r="T45">
        <v>2975</v>
      </c>
      <c r="U45">
        <v>1</v>
      </c>
      <c r="V45" s="1" t="s">
        <v>40</v>
      </c>
      <c r="W45">
        <v>15</v>
      </c>
      <c r="X45">
        <v>3</v>
      </c>
      <c r="Y45">
        <v>4</v>
      </c>
      <c r="Z45">
        <v>80</v>
      </c>
      <c r="AA45">
        <v>0</v>
      </c>
      <c r="AB45">
        <v>9</v>
      </c>
      <c r="AC45">
        <v>0</v>
      </c>
      <c r="AD45">
        <v>3</v>
      </c>
      <c r="AE45">
        <v>9</v>
      </c>
      <c r="AF45">
        <v>8</v>
      </c>
      <c r="AG45">
        <v>1</v>
      </c>
      <c r="AH45">
        <v>7</v>
      </c>
      <c r="AI45">
        <f>IF(tbl_HRData[[#This Row],[Attrition]] = "Yes",1,0)</f>
        <v>0</v>
      </c>
      <c r="AJ45">
        <f>IF(tbl_HRData[[#This Row],[Attrition]] = "No",1,0)</f>
        <v>1</v>
      </c>
      <c r="AK45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45" s="1" t="str">
        <f>IF(tbl_HRData[[#This Row],[MonthlyIncome]]&lt;5000,"Low",
IF(tbl_HRData[[#This Row],[MonthlyIncome]]&lt;10000,"Medium",
IF(tbl_HRData[[#This Row],[MonthlyIncome]]&lt;15000,"Upper Medium","High")))</f>
        <v>Medium</v>
      </c>
      <c r="AM45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46" spans="1:39" x14ac:dyDescent="0.35">
      <c r="A46" s="1">
        <v>45</v>
      </c>
      <c r="B46">
        <v>30</v>
      </c>
      <c r="C46" s="1" t="s">
        <v>40</v>
      </c>
      <c r="D46" s="1" t="s">
        <v>41</v>
      </c>
      <c r="E46">
        <v>721</v>
      </c>
      <c r="F46" s="1" t="s">
        <v>42</v>
      </c>
      <c r="G46">
        <v>1</v>
      </c>
      <c r="H46">
        <v>2</v>
      </c>
      <c r="I46" s="1" t="s">
        <v>48</v>
      </c>
      <c r="J46">
        <v>57</v>
      </c>
      <c r="K46">
        <v>3</v>
      </c>
      <c r="L46" s="1" t="s">
        <v>37</v>
      </c>
      <c r="M46">
        <v>58</v>
      </c>
      <c r="N46">
        <v>3</v>
      </c>
      <c r="O46">
        <v>2</v>
      </c>
      <c r="P46" s="1" t="s">
        <v>47</v>
      </c>
      <c r="Q46">
        <v>4</v>
      </c>
      <c r="R46" s="1" t="s">
        <v>39</v>
      </c>
      <c r="S46">
        <v>4011</v>
      </c>
      <c r="T46">
        <v>10781</v>
      </c>
      <c r="U46">
        <v>1</v>
      </c>
      <c r="V46" s="1" t="s">
        <v>40</v>
      </c>
      <c r="W46">
        <v>23</v>
      </c>
      <c r="X46">
        <v>4</v>
      </c>
      <c r="Y46">
        <v>4</v>
      </c>
      <c r="Z46">
        <v>80</v>
      </c>
      <c r="AA46">
        <v>0</v>
      </c>
      <c r="AB46">
        <v>12</v>
      </c>
      <c r="AC46">
        <v>2</v>
      </c>
      <c r="AD46">
        <v>3</v>
      </c>
      <c r="AE46">
        <v>12</v>
      </c>
      <c r="AF46">
        <v>8</v>
      </c>
      <c r="AG46">
        <v>3</v>
      </c>
      <c r="AH46">
        <v>7</v>
      </c>
      <c r="AI46">
        <f>IF(tbl_HRData[[#This Row],[Attrition]] = "Yes",1,0)</f>
        <v>0</v>
      </c>
      <c r="AJ46">
        <f>IF(tbl_HRData[[#This Row],[Attrition]] = "No",1,0)</f>
        <v>1</v>
      </c>
      <c r="AK46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46" s="1" t="str">
        <f>IF(tbl_HRData[[#This Row],[MonthlyIncome]]&lt;5000,"Low",
IF(tbl_HRData[[#This Row],[MonthlyIncome]]&lt;10000,"Medium",
IF(tbl_HRData[[#This Row],[MonthlyIncome]]&lt;15000,"Upper Medium","High")))</f>
        <v>Low</v>
      </c>
      <c r="AM46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47" spans="1:39" x14ac:dyDescent="0.35">
      <c r="A47" s="1">
        <v>46</v>
      </c>
      <c r="B47">
        <v>41</v>
      </c>
      <c r="C47" s="1" t="s">
        <v>33</v>
      </c>
      <c r="D47" s="1" t="s">
        <v>34</v>
      </c>
      <c r="E47">
        <v>1360</v>
      </c>
      <c r="F47" s="1" t="s">
        <v>42</v>
      </c>
      <c r="G47">
        <v>12</v>
      </c>
      <c r="H47">
        <v>3</v>
      </c>
      <c r="I47" s="1" t="s">
        <v>57</v>
      </c>
      <c r="J47">
        <v>58</v>
      </c>
      <c r="K47">
        <v>2</v>
      </c>
      <c r="L47" s="1" t="s">
        <v>37</v>
      </c>
      <c r="M47">
        <v>49</v>
      </c>
      <c r="N47">
        <v>3</v>
      </c>
      <c r="O47">
        <v>5</v>
      </c>
      <c r="P47" s="1" t="s">
        <v>55</v>
      </c>
      <c r="Q47">
        <v>3</v>
      </c>
      <c r="R47" s="1" t="s">
        <v>45</v>
      </c>
      <c r="S47">
        <v>19545</v>
      </c>
      <c r="T47">
        <v>16280</v>
      </c>
      <c r="U47">
        <v>1</v>
      </c>
      <c r="V47" s="1" t="s">
        <v>40</v>
      </c>
      <c r="W47">
        <v>12</v>
      </c>
      <c r="X47">
        <v>3</v>
      </c>
      <c r="Y47">
        <v>4</v>
      </c>
      <c r="Z47">
        <v>80</v>
      </c>
      <c r="AA47">
        <v>0</v>
      </c>
      <c r="AB47">
        <v>23</v>
      </c>
      <c r="AC47">
        <v>0</v>
      </c>
      <c r="AD47">
        <v>3</v>
      </c>
      <c r="AE47">
        <v>22</v>
      </c>
      <c r="AF47">
        <v>15</v>
      </c>
      <c r="AG47">
        <v>15</v>
      </c>
      <c r="AH47">
        <v>8</v>
      </c>
      <c r="AI47">
        <f>IF(tbl_HRData[[#This Row],[Attrition]] = "Yes",1,0)</f>
        <v>1</v>
      </c>
      <c r="AJ47">
        <f>IF(tbl_HRData[[#This Row],[Attrition]] = "No",1,0)</f>
        <v>0</v>
      </c>
      <c r="AK47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47" s="1" t="str">
        <f>IF(tbl_HRData[[#This Row],[MonthlyIncome]]&lt;5000,"Low",
IF(tbl_HRData[[#This Row],[MonthlyIncome]]&lt;10000,"Medium",
IF(tbl_HRData[[#This Row],[MonthlyIncome]]&lt;15000,"Upper Medium","High")))</f>
        <v>High</v>
      </c>
      <c r="AM47" s="1" t="str">
        <f>IF(tbl_HRData[[#This Row],[YearsAtCompany]]&lt;=5,"0-5 Years",
IF(tbl_HRData[[#This Row],[YearsAtCompany]]&lt;=10,"6-10 Years",
IF(tbl_HRData[[#This Row],[YearsAtCompany]]&lt;=20,"11-20 Years","21+ Years")))</f>
        <v>21+ Years</v>
      </c>
    </row>
    <row r="48" spans="1:39" x14ac:dyDescent="0.35">
      <c r="A48" s="1">
        <v>47</v>
      </c>
      <c r="B48">
        <v>34</v>
      </c>
      <c r="C48" s="1" t="s">
        <v>40</v>
      </c>
      <c r="D48" s="1" t="s">
        <v>52</v>
      </c>
      <c r="E48">
        <v>1065</v>
      </c>
      <c r="F48" s="1" t="s">
        <v>35</v>
      </c>
      <c r="G48">
        <v>23</v>
      </c>
      <c r="H48">
        <v>4</v>
      </c>
      <c r="I48" s="1" t="s">
        <v>56</v>
      </c>
      <c r="J48">
        <v>60</v>
      </c>
      <c r="K48">
        <v>2</v>
      </c>
      <c r="L48" s="1" t="s">
        <v>43</v>
      </c>
      <c r="M48">
        <v>72</v>
      </c>
      <c r="N48">
        <v>3</v>
      </c>
      <c r="O48">
        <v>2</v>
      </c>
      <c r="P48" s="1" t="s">
        <v>38</v>
      </c>
      <c r="Q48">
        <v>3</v>
      </c>
      <c r="R48" s="1" t="s">
        <v>39</v>
      </c>
      <c r="S48">
        <v>4568</v>
      </c>
      <c r="T48">
        <v>10034</v>
      </c>
      <c r="U48">
        <v>0</v>
      </c>
      <c r="V48" s="1" t="s">
        <v>40</v>
      </c>
      <c r="W48">
        <v>20</v>
      </c>
      <c r="X48">
        <v>4</v>
      </c>
      <c r="Y48">
        <v>3</v>
      </c>
      <c r="Z48">
        <v>80</v>
      </c>
      <c r="AA48">
        <v>0</v>
      </c>
      <c r="AB48">
        <v>10</v>
      </c>
      <c r="AC48">
        <v>2</v>
      </c>
      <c r="AD48">
        <v>3</v>
      </c>
      <c r="AE48">
        <v>9</v>
      </c>
      <c r="AF48">
        <v>5</v>
      </c>
      <c r="AG48">
        <v>8</v>
      </c>
      <c r="AH48">
        <v>7</v>
      </c>
      <c r="AI48">
        <f>IF(tbl_HRData[[#This Row],[Attrition]] = "Yes",1,0)</f>
        <v>0</v>
      </c>
      <c r="AJ48">
        <f>IF(tbl_HRData[[#This Row],[Attrition]] = "No",1,0)</f>
        <v>1</v>
      </c>
      <c r="AK48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48" s="1" t="str">
        <f>IF(tbl_HRData[[#This Row],[MonthlyIncome]]&lt;5000,"Low",
IF(tbl_HRData[[#This Row],[MonthlyIncome]]&lt;10000,"Medium",
IF(tbl_HRData[[#This Row],[MonthlyIncome]]&lt;15000,"Upper Medium","High")))</f>
        <v>Low</v>
      </c>
      <c r="AM48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49" spans="1:39" x14ac:dyDescent="0.35">
      <c r="A49" s="1">
        <v>48</v>
      </c>
      <c r="B49">
        <v>37</v>
      </c>
      <c r="C49" s="1" t="s">
        <v>40</v>
      </c>
      <c r="D49" s="1" t="s">
        <v>34</v>
      </c>
      <c r="E49">
        <v>408</v>
      </c>
      <c r="F49" s="1" t="s">
        <v>42</v>
      </c>
      <c r="G49">
        <v>19</v>
      </c>
      <c r="H49">
        <v>2</v>
      </c>
      <c r="I49" s="1" t="s">
        <v>36</v>
      </c>
      <c r="J49">
        <v>61</v>
      </c>
      <c r="K49">
        <v>2</v>
      </c>
      <c r="L49" s="1" t="s">
        <v>43</v>
      </c>
      <c r="M49">
        <v>73</v>
      </c>
      <c r="N49">
        <v>3</v>
      </c>
      <c r="O49">
        <v>1</v>
      </c>
      <c r="P49" s="1" t="s">
        <v>44</v>
      </c>
      <c r="Q49">
        <v>2</v>
      </c>
      <c r="R49" s="1" t="s">
        <v>45</v>
      </c>
      <c r="S49">
        <v>3022</v>
      </c>
      <c r="T49">
        <v>10227</v>
      </c>
      <c r="U49">
        <v>4</v>
      </c>
      <c r="V49" s="1" t="s">
        <v>40</v>
      </c>
      <c r="W49">
        <v>21</v>
      </c>
      <c r="X49">
        <v>4</v>
      </c>
      <c r="Y49">
        <v>1</v>
      </c>
      <c r="Z49">
        <v>80</v>
      </c>
      <c r="AA49">
        <v>0</v>
      </c>
      <c r="AB49">
        <v>8</v>
      </c>
      <c r="AC49">
        <v>1</v>
      </c>
      <c r="AD49">
        <v>3</v>
      </c>
      <c r="AE49">
        <v>1</v>
      </c>
      <c r="AF49">
        <v>0</v>
      </c>
      <c r="AG49">
        <v>0</v>
      </c>
      <c r="AH49">
        <v>0</v>
      </c>
      <c r="AI49">
        <f>IF(tbl_HRData[[#This Row],[Attrition]] = "Yes",1,0)</f>
        <v>0</v>
      </c>
      <c r="AJ49">
        <f>IF(tbl_HRData[[#This Row],[Attrition]] = "No",1,0)</f>
        <v>1</v>
      </c>
      <c r="AK49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49" s="1" t="str">
        <f>IF(tbl_HRData[[#This Row],[MonthlyIncome]]&lt;5000,"Low",
IF(tbl_HRData[[#This Row],[MonthlyIncome]]&lt;10000,"Medium",
IF(tbl_HRData[[#This Row],[MonthlyIncome]]&lt;15000,"Upper Medium","High")))</f>
        <v>Low</v>
      </c>
      <c r="AM49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50" spans="1:39" x14ac:dyDescent="0.35">
      <c r="A50" s="1">
        <v>49</v>
      </c>
      <c r="B50">
        <v>46</v>
      </c>
      <c r="C50" s="1" t="s">
        <v>40</v>
      </c>
      <c r="D50" s="1" t="s">
        <v>41</v>
      </c>
      <c r="E50">
        <v>1211</v>
      </c>
      <c r="F50" s="1" t="s">
        <v>35</v>
      </c>
      <c r="G50">
        <v>5</v>
      </c>
      <c r="H50">
        <v>4</v>
      </c>
      <c r="I50" s="1" t="s">
        <v>56</v>
      </c>
      <c r="J50">
        <v>62</v>
      </c>
      <c r="K50">
        <v>1</v>
      </c>
      <c r="L50" s="1" t="s">
        <v>43</v>
      </c>
      <c r="M50">
        <v>98</v>
      </c>
      <c r="N50">
        <v>3</v>
      </c>
      <c r="O50">
        <v>2</v>
      </c>
      <c r="P50" s="1" t="s">
        <v>38</v>
      </c>
      <c r="Q50">
        <v>4</v>
      </c>
      <c r="R50" s="1" t="s">
        <v>39</v>
      </c>
      <c r="S50">
        <v>5772</v>
      </c>
      <c r="T50">
        <v>20445</v>
      </c>
      <c r="U50">
        <v>4</v>
      </c>
      <c r="V50" s="1" t="s">
        <v>33</v>
      </c>
      <c r="W50">
        <v>21</v>
      </c>
      <c r="X50">
        <v>4</v>
      </c>
      <c r="Y50">
        <v>3</v>
      </c>
      <c r="Z50">
        <v>80</v>
      </c>
      <c r="AA50">
        <v>0</v>
      </c>
      <c r="AB50">
        <v>14</v>
      </c>
      <c r="AC50">
        <v>4</v>
      </c>
      <c r="AD50">
        <v>3</v>
      </c>
      <c r="AE50">
        <v>9</v>
      </c>
      <c r="AF50">
        <v>6</v>
      </c>
      <c r="AG50">
        <v>0</v>
      </c>
      <c r="AH50">
        <v>8</v>
      </c>
      <c r="AI50">
        <f>IF(tbl_HRData[[#This Row],[Attrition]] = "Yes",1,0)</f>
        <v>0</v>
      </c>
      <c r="AJ50">
        <f>IF(tbl_HRData[[#This Row],[Attrition]] = "No",1,0)</f>
        <v>1</v>
      </c>
      <c r="AK50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50" s="1" t="str">
        <f>IF(tbl_HRData[[#This Row],[MonthlyIncome]]&lt;5000,"Low",
IF(tbl_HRData[[#This Row],[MonthlyIncome]]&lt;10000,"Medium",
IF(tbl_HRData[[#This Row],[MonthlyIncome]]&lt;15000,"Upper Medium","High")))</f>
        <v>Medium</v>
      </c>
      <c r="AM50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51" spans="1:39" x14ac:dyDescent="0.35">
      <c r="A51" s="1">
        <v>50</v>
      </c>
      <c r="B51">
        <v>35</v>
      </c>
      <c r="C51" s="1" t="s">
        <v>40</v>
      </c>
      <c r="D51" s="1" t="s">
        <v>34</v>
      </c>
      <c r="E51">
        <v>1229</v>
      </c>
      <c r="F51" s="1" t="s">
        <v>42</v>
      </c>
      <c r="G51">
        <v>8</v>
      </c>
      <c r="H51">
        <v>1</v>
      </c>
      <c r="I51" s="1" t="s">
        <v>36</v>
      </c>
      <c r="J51">
        <v>63</v>
      </c>
      <c r="K51">
        <v>4</v>
      </c>
      <c r="L51" s="1" t="s">
        <v>43</v>
      </c>
      <c r="M51">
        <v>36</v>
      </c>
      <c r="N51">
        <v>4</v>
      </c>
      <c r="O51">
        <v>1</v>
      </c>
      <c r="P51" s="1" t="s">
        <v>47</v>
      </c>
      <c r="Q51">
        <v>4</v>
      </c>
      <c r="R51" s="1" t="s">
        <v>45</v>
      </c>
      <c r="S51">
        <v>2269</v>
      </c>
      <c r="T51">
        <v>4892</v>
      </c>
      <c r="U51">
        <v>1</v>
      </c>
      <c r="V51" s="1" t="s">
        <v>40</v>
      </c>
      <c r="W51">
        <v>19</v>
      </c>
      <c r="X51">
        <v>3</v>
      </c>
      <c r="Y51">
        <v>4</v>
      </c>
      <c r="Z51">
        <v>80</v>
      </c>
      <c r="AA51">
        <v>0</v>
      </c>
      <c r="AB51">
        <v>1</v>
      </c>
      <c r="AC51">
        <v>2</v>
      </c>
      <c r="AD51">
        <v>3</v>
      </c>
      <c r="AE51">
        <v>1</v>
      </c>
      <c r="AF51">
        <v>0</v>
      </c>
      <c r="AG51">
        <v>0</v>
      </c>
      <c r="AH51">
        <v>1</v>
      </c>
      <c r="AI51">
        <f>IF(tbl_HRData[[#This Row],[Attrition]] = "Yes",1,0)</f>
        <v>0</v>
      </c>
      <c r="AJ51">
        <f>IF(tbl_HRData[[#This Row],[Attrition]] = "No",1,0)</f>
        <v>1</v>
      </c>
      <c r="AK51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51" s="1" t="str">
        <f>IF(tbl_HRData[[#This Row],[MonthlyIncome]]&lt;5000,"Low",
IF(tbl_HRData[[#This Row],[MonthlyIncome]]&lt;10000,"Medium",
IF(tbl_HRData[[#This Row],[MonthlyIncome]]&lt;15000,"Upper Medium","High")))</f>
        <v>Low</v>
      </c>
      <c r="AM51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52" spans="1:39" x14ac:dyDescent="0.35">
      <c r="A52" s="1">
        <v>51</v>
      </c>
      <c r="B52">
        <v>48</v>
      </c>
      <c r="C52" s="1" t="s">
        <v>33</v>
      </c>
      <c r="D52" s="1" t="s">
        <v>34</v>
      </c>
      <c r="E52">
        <v>626</v>
      </c>
      <c r="F52" s="1" t="s">
        <v>42</v>
      </c>
      <c r="G52">
        <v>1</v>
      </c>
      <c r="H52">
        <v>2</v>
      </c>
      <c r="I52" s="1" t="s">
        <v>36</v>
      </c>
      <c r="J52">
        <v>64</v>
      </c>
      <c r="K52">
        <v>1</v>
      </c>
      <c r="L52" s="1" t="s">
        <v>43</v>
      </c>
      <c r="M52">
        <v>98</v>
      </c>
      <c r="N52">
        <v>2</v>
      </c>
      <c r="O52">
        <v>3</v>
      </c>
      <c r="P52" s="1" t="s">
        <v>47</v>
      </c>
      <c r="Q52">
        <v>3</v>
      </c>
      <c r="R52" s="1" t="s">
        <v>39</v>
      </c>
      <c r="S52">
        <v>5381</v>
      </c>
      <c r="T52">
        <v>19294</v>
      </c>
      <c r="U52">
        <v>9</v>
      </c>
      <c r="V52" s="1" t="s">
        <v>33</v>
      </c>
      <c r="W52">
        <v>13</v>
      </c>
      <c r="X52">
        <v>3</v>
      </c>
      <c r="Y52">
        <v>4</v>
      </c>
      <c r="Z52">
        <v>80</v>
      </c>
      <c r="AA52">
        <v>0</v>
      </c>
      <c r="AB52">
        <v>23</v>
      </c>
      <c r="AC52">
        <v>2</v>
      </c>
      <c r="AD52">
        <v>3</v>
      </c>
      <c r="AE52">
        <v>1</v>
      </c>
      <c r="AF52">
        <v>0</v>
      </c>
      <c r="AG52">
        <v>0</v>
      </c>
      <c r="AH52">
        <v>0</v>
      </c>
      <c r="AI52">
        <f>IF(tbl_HRData[[#This Row],[Attrition]] = "Yes",1,0)</f>
        <v>1</v>
      </c>
      <c r="AJ52">
        <f>IF(tbl_HRData[[#This Row],[Attrition]] = "No",1,0)</f>
        <v>0</v>
      </c>
      <c r="AK52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52" s="1" t="str">
        <f>IF(tbl_HRData[[#This Row],[MonthlyIncome]]&lt;5000,"Low",
IF(tbl_HRData[[#This Row],[MonthlyIncome]]&lt;10000,"Medium",
IF(tbl_HRData[[#This Row],[MonthlyIncome]]&lt;15000,"Upper Medium","High")))</f>
        <v>Medium</v>
      </c>
      <c r="AM52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53" spans="1:39" x14ac:dyDescent="0.35">
      <c r="A53" s="1">
        <v>52</v>
      </c>
      <c r="B53">
        <v>28</v>
      </c>
      <c r="C53" s="1" t="s">
        <v>33</v>
      </c>
      <c r="D53" s="1" t="s">
        <v>34</v>
      </c>
      <c r="E53">
        <v>1434</v>
      </c>
      <c r="F53" s="1" t="s">
        <v>42</v>
      </c>
      <c r="G53">
        <v>5</v>
      </c>
      <c r="H53">
        <v>4</v>
      </c>
      <c r="I53" s="1" t="s">
        <v>57</v>
      </c>
      <c r="J53">
        <v>65</v>
      </c>
      <c r="K53">
        <v>3</v>
      </c>
      <c r="L53" s="1" t="s">
        <v>43</v>
      </c>
      <c r="M53">
        <v>50</v>
      </c>
      <c r="N53">
        <v>3</v>
      </c>
      <c r="O53">
        <v>1</v>
      </c>
      <c r="P53" s="1" t="s">
        <v>47</v>
      </c>
      <c r="Q53">
        <v>3</v>
      </c>
      <c r="R53" s="1" t="s">
        <v>39</v>
      </c>
      <c r="S53">
        <v>3441</v>
      </c>
      <c r="T53">
        <v>11179</v>
      </c>
      <c r="U53">
        <v>1</v>
      </c>
      <c r="V53" s="1" t="s">
        <v>33</v>
      </c>
      <c r="W53">
        <v>13</v>
      </c>
      <c r="X53">
        <v>3</v>
      </c>
      <c r="Y53">
        <v>3</v>
      </c>
      <c r="Z53">
        <v>80</v>
      </c>
      <c r="AA53">
        <v>0</v>
      </c>
      <c r="AB53">
        <v>2</v>
      </c>
      <c r="AC53">
        <v>3</v>
      </c>
      <c r="AD53">
        <v>2</v>
      </c>
      <c r="AE53">
        <v>2</v>
      </c>
      <c r="AF53">
        <v>2</v>
      </c>
      <c r="AG53">
        <v>2</v>
      </c>
      <c r="AH53">
        <v>2</v>
      </c>
      <c r="AI53">
        <f>IF(tbl_HRData[[#This Row],[Attrition]] = "Yes",1,0)</f>
        <v>1</v>
      </c>
      <c r="AJ53">
        <f>IF(tbl_HRData[[#This Row],[Attrition]] = "No",1,0)</f>
        <v>0</v>
      </c>
      <c r="AK53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53" s="1" t="str">
        <f>IF(tbl_HRData[[#This Row],[MonthlyIncome]]&lt;5000,"Low",
IF(tbl_HRData[[#This Row],[MonthlyIncome]]&lt;10000,"Medium",
IF(tbl_HRData[[#This Row],[MonthlyIncome]]&lt;15000,"Upper Medium","High")))</f>
        <v>Low</v>
      </c>
      <c r="AM53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54" spans="1:39" x14ac:dyDescent="0.35">
      <c r="A54" s="1">
        <v>53</v>
      </c>
      <c r="B54">
        <v>44</v>
      </c>
      <c r="C54" s="1" t="s">
        <v>40</v>
      </c>
      <c r="D54" s="1" t="s">
        <v>34</v>
      </c>
      <c r="E54">
        <v>1488</v>
      </c>
      <c r="F54" s="1" t="s">
        <v>35</v>
      </c>
      <c r="G54">
        <v>1</v>
      </c>
      <c r="H54">
        <v>5</v>
      </c>
      <c r="I54" s="1" t="s">
        <v>56</v>
      </c>
      <c r="J54">
        <v>68</v>
      </c>
      <c r="K54">
        <v>2</v>
      </c>
      <c r="L54" s="1" t="s">
        <v>37</v>
      </c>
      <c r="M54">
        <v>75</v>
      </c>
      <c r="N54">
        <v>3</v>
      </c>
      <c r="O54">
        <v>2</v>
      </c>
      <c r="P54" s="1" t="s">
        <v>38</v>
      </c>
      <c r="Q54">
        <v>1</v>
      </c>
      <c r="R54" s="1" t="s">
        <v>49</v>
      </c>
      <c r="S54">
        <v>5454</v>
      </c>
      <c r="T54">
        <v>4009</v>
      </c>
      <c r="U54">
        <v>5</v>
      </c>
      <c r="V54" s="1" t="s">
        <v>33</v>
      </c>
      <c r="W54">
        <v>21</v>
      </c>
      <c r="X54">
        <v>4</v>
      </c>
      <c r="Y54">
        <v>3</v>
      </c>
      <c r="Z54">
        <v>80</v>
      </c>
      <c r="AA54">
        <v>1</v>
      </c>
      <c r="AB54">
        <v>9</v>
      </c>
      <c r="AC54">
        <v>2</v>
      </c>
      <c r="AD54">
        <v>2</v>
      </c>
      <c r="AE54">
        <v>4</v>
      </c>
      <c r="AF54">
        <v>3</v>
      </c>
      <c r="AG54">
        <v>1</v>
      </c>
      <c r="AH54">
        <v>3</v>
      </c>
      <c r="AI54">
        <f>IF(tbl_HRData[[#This Row],[Attrition]] = "Yes",1,0)</f>
        <v>0</v>
      </c>
      <c r="AJ54">
        <f>IF(tbl_HRData[[#This Row],[Attrition]] = "No",1,0)</f>
        <v>1</v>
      </c>
      <c r="AK54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54" s="1" t="str">
        <f>IF(tbl_HRData[[#This Row],[MonthlyIncome]]&lt;5000,"Low",
IF(tbl_HRData[[#This Row],[MonthlyIncome]]&lt;10000,"Medium",
IF(tbl_HRData[[#This Row],[MonthlyIncome]]&lt;15000,"Upper Medium","High")))</f>
        <v>Medium</v>
      </c>
      <c r="AM54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55" spans="1:39" x14ac:dyDescent="0.35">
      <c r="A55" s="1">
        <v>54</v>
      </c>
      <c r="B55">
        <v>35</v>
      </c>
      <c r="C55" s="1" t="s">
        <v>40</v>
      </c>
      <c r="D55" s="1" t="s">
        <v>52</v>
      </c>
      <c r="E55">
        <v>1097</v>
      </c>
      <c r="F55" s="1" t="s">
        <v>42</v>
      </c>
      <c r="G55">
        <v>11</v>
      </c>
      <c r="H55">
        <v>2</v>
      </c>
      <c r="I55" s="1" t="s">
        <v>48</v>
      </c>
      <c r="J55">
        <v>70</v>
      </c>
      <c r="K55">
        <v>3</v>
      </c>
      <c r="L55" s="1" t="s">
        <v>43</v>
      </c>
      <c r="M55">
        <v>79</v>
      </c>
      <c r="N55">
        <v>2</v>
      </c>
      <c r="O55">
        <v>3</v>
      </c>
      <c r="P55" s="1" t="s">
        <v>51</v>
      </c>
      <c r="Q55">
        <v>1</v>
      </c>
      <c r="R55" s="1" t="s">
        <v>45</v>
      </c>
      <c r="S55">
        <v>9884</v>
      </c>
      <c r="T55">
        <v>8302</v>
      </c>
      <c r="U55">
        <v>2</v>
      </c>
      <c r="V55" s="1" t="s">
        <v>33</v>
      </c>
      <c r="W55">
        <v>13</v>
      </c>
      <c r="X55">
        <v>3</v>
      </c>
      <c r="Y55">
        <v>3</v>
      </c>
      <c r="Z55">
        <v>80</v>
      </c>
      <c r="AA55">
        <v>1</v>
      </c>
      <c r="AB55">
        <v>10</v>
      </c>
      <c r="AC55">
        <v>3</v>
      </c>
      <c r="AD55">
        <v>3</v>
      </c>
      <c r="AE55">
        <v>4</v>
      </c>
      <c r="AF55">
        <v>0</v>
      </c>
      <c r="AG55">
        <v>2</v>
      </c>
      <c r="AH55">
        <v>3</v>
      </c>
      <c r="AI55">
        <f>IF(tbl_HRData[[#This Row],[Attrition]] = "Yes",1,0)</f>
        <v>0</v>
      </c>
      <c r="AJ55">
        <f>IF(tbl_HRData[[#This Row],[Attrition]] = "No",1,0)</f>
        <v>1</v>
      </c>
      <c r="AK55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55" s="1" t="str">
        <f>IF(tbl_HRData[[#This Row],[MonthlyIncome]]&lt;5000,"Low",
IF(tbl_HRData[[#This Row],[MonthlyIncome]]&lt;10000,"Medium",
IF(tbl_HRData[[#This Row],[MonthlyIncome]]&lt;15000,"Upper Medium","High")))</f>
        <v>Medium</v>
      </c>
      <c r="AM55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56" spans="1:39" x14ac:dyDescent="0.35">
      <c r="A56" s="1">
        <v>55</v>
      </c>
      <c r="B56">
        <v>26</v>
      </c>
      <c r="C56" s="1" t="s">
        <v>40</v>
      </c>
      <c r="D56" s="1" t="s">
        <v>34</v>
      </c>
      <c r="E56">
        <v>1443</v>
      </c>
      <c r="F56" s="1" t="s">
        <v>35</v>
      </c>
      <c r="G56">
        <v>23</v>
      </c>
      <c r="H56">
        <v>3</v>
      </c>
      <c r="I56" s="1" t="s">
        <v>56</v>
      </c>
      <c r="J56">
        <v>72</v>
      </c>
      <c r="K56">
        <v>3</v>
      </c>
      <c r="L56" s="1" t="s">
        <v>37</v>
      </c>
      <c r="M56">
        <v>47</v>
      </c>
      <c r="N56">
        <v>2</v>
      </c>
      <c r="O56">
        <v>2</v>
      </c>
      <c r="P56" s="1" t="s">
        <v>38</v>
      </c>
      <c r="Q56">
        <v>4</v>
      </c>
      <c r="R56" s="1" t="s">
        <v>45</v>
      </c>
      <c r="S56">
        <v>4157</v>
      </c>
      <c r="T56">
        <v>21436</v>
      </c>
      <c r="U56">
        <v>7</v>
      </c>
      <c r="V56" s="1" t="s">
        <v>33</v>
      </c>
      <c r="W56">
        <v>19</v>
      </c>
      <c r="X56">
        <v>3</v>
      </c>
      <c r="Y56">
        <v>3</v>
      </c>
      <c r="Z56">
        <v>80</v>
      </c>
      <c r="AA56">
        <v>1</v>
      </c>
      <c r="AB56">
        <v>5</v>
      </c>
      <c r="AC56">
        <v>2</v>
      </c>
      <c r="AD56">
        <v>2</v>
      </c>
      <c r="AE56">
        <v>2</v>
      </c>
      <c r="AF56">
        <v>2</v>
      </c>
      <c r="AG56">
        <v>0</v>
      </c>
      <c r="AH56">
        <v>0</v>
      </c>
      <c r="AI56">
        <f>IF(tbl_HRData[[#This Row],[Attrition]] = "Yes",1,0)</f>
        <v>0</v>
      </c>
      <c r="AJ56">
        <f>IF(tbl_HRData[[#This Row],[Attrition]] = "No",1,0)</f>
        <v>1</v>
      </c>
      <c r="AK56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56" s="1" t="str">
        <f>IF(tbl_HRData[[#This Row],[MonthlyIncome]]&lt;5000,"Low",
IF(tbl_HRData[[#This Row],[MonthlyIncome]]&lt;10000,"Medium",
IF(tbl_HRData[[#This Row],[MonthlyIncome]]&lt;15000,"Upper Medium","High")))</f>
        <v>Low</v>
      </c>
      <c r="AM56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57" spans="1:39" x14ac:dyDescent="0.35">
      <c r="A57" s="1">
        <v>56</v>
      </c>
      <c r="B57">
        <v>33</v>
      </c>
      <c r="C57" s="1" t="s">
        <v>40</v>
      </c>
      <c r="D57" s="1" t="s">
        <v>41</v>
      </c>
      <c r="E57">
        <v>515</v>
      </c>
      <c r="F57" s="1" t="s">
        <v>42</v>
      </c>
      <c r="G57">
        <v>1</v>
      </c>
      <c r="H57">
        <v>2</v>
      </c>
      <c r="I57" s="1" t="s">
        <v>36</v>
      </c>
      <c r="J57">
        <v>73</v>
      </c>
      <c r="K57">
        <v>1</v>
      </c>
      <c r="L57" s="1" t="s">
        <v>37</v>
      </c>
      <c r="M57">
        <v>98</v>
      </c>
      <c r="N57">
        <v>3</v>
      </c>
      <c r="O57">
        <v>3</v>
      </c>
      <c r="P57" s="1" t="s">
        <v>55</v>
      </c>
      <c r="Q57">
        <v>4</v>
      </c>
      <c r="R57" s="1" t="s">
        <v>39</v>
      </c>
      <c r="S57">
        <v>13458</v>
      </c>
      <c r="T57">
        <v>15146</v>
      </c>
      <c r="U57">
        <v>1</v>
      </c>
      <c r="V57" s="1" t="s">
        <v>33</v>
      </c>
      <c r="W57">
        <v>12</v>
      </c>
      <c r="X57">
        <v>3</v>
      </c>
      <c r="Y57">
        <v>3</v>
      </c>
      <c r="Z57">
        <v>80</v>
      </c>
      <c r="AA57">
        <v>0</v>
      </c>
      <c r="AB57">
        <v>15</v>
      </c>
      <c r="AC57">
        <v>1</v>
      </c>
      <c r="AD57">
        <v>3</v>
      </c>
      <c r="AE57">
        <v>15</v>
      </c>
      <c r="AF57">
        <v>14</v>
      </c>
      <c r="AG57">
        <v>8</v>
      </c>
      <c r="AH57">
        <v>12</v>
      </c>
      <c r="AI57">
        <f>IF(tbl_HRData[[#This Row],[Attrition]] = "Yes",1,0)</f>
        <v>0</v>
      </c>
      <c r="AJ57">
        <f>IF(tbl_HRData[[#This Row],[Attrition]] = "No",1,0)</f>
        <v>1</v>
      </c>
      <c r="AK57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57" s="1" t="str">
        <f>IF(tbl_HRData[[#This Row],[MonthlyIncome]]&lt;5000,"Low",
IF(tbl_HRData[[#This Row],[MonthlyIncome]]&lt;10000,"Medium",
IF(tbl_HRData[[#This Row],[MonthlyIncome]]&lt;15000,"Upper Medium","High")))</f>
        <v>Upper Medium</v>
      </c>
      <c r="AM57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58" spans="1:39" x14ac:dyDescent="0.35">
      <c r="A58" s="1">
        <v>57</v>
      </c>
      <c r="B58">
        <v>35</v>
      </c>
      <c r="C58" s="1" t="s">
        <v>40</v>
      </c>
      <c r="D58" s="1" t="s">
        <v>41</v>
      </c>
      <c r="E58">
        <v>853</v>
      </c>
      <c r="F58" s="1" t="s">
        <v>35</v>
      </c>
      <c r="G58">
        <v>18</v>
      </c>
      <c r="H58">
        <v>5</v>
      </c>
      <c r="I58" s="1" t="s">
        <v>36</v>
      </c>
      <c r="J58">
        <v>74</v>
      </c>
      <c r="K58">
        <v>2</v>
      </c>
      <c r="L58" s="1" t="s">
        <v>43</v>
      </c>
      <c r="M58">
        <v>71</v>
      </c>
      <c r="N58">
        <v>3</v>
      </c>
      <c r="O58">
        <v>3</v>
      </c>
      <c r="P58" s="1" t="s">
        <v>38</v>
      </c>
      <c r="Q58">
        <v>1</v>
      </c>
      <c r="R58" s="1" t="s">
        <v>45</v>
      </c>
      <c r="S58">
        <v>9069</v>
      </c>
      <c r="T58">
        <v>11031</v>
      </c>
      <c r="U58">
        <v>1</v>
      </c>
      <c r="V58" s="1" t="s">
        <v>40</v>
      </c>
      <c r="W58">
        <v>22</v>
      </c>
      <c r="X58">
        <v>4</v>
      </c>
      <c r="Y58">
        <v>4</v>
      </c>
      <c r="Z58">
        <v>80</v>
      </c>
      <c r="AA58">
        <v>1</v>
      </c>
      <c r="AB58">
        <v>9</v>
      </c>
      <c r="AC58">
        <v>3</v>
      </c>
      <c r="AD58">
        <v>2</v>
      </c>
      <c r="AE58">
        <v>9</v>
      </c>
      <c r="AF58">
        <v>8</v>
      </c>
      <c r="AG58">
        <v>1</v>
      </c>
      <c r="AH58">
        <v>8</v>
      </c>
      <c r="AI58">
        <f>IF(tbl_HRData[[#This Row],[Attrition]] = "Yes",1,0)</f>
        <v>0</v>
      </c>
      <c r="AJ58">
        <f>IF(tbl_HRData[[#This Row],[Attrition]] = "No",1,0)</f>
        <v>1</v>
      </c>
      <c r="AK58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58" s="1" t="str">
        <f>IF(tbl_HRData[[#This Row],[MonthlyIncome]]&lt;5000,"Low",
IF(tbl_HRData[[#This Row],[MonthlyIncome]]&lt;10000,"Medium",
IF(tbl_HRData[[#This Row],[MonthlyIncome]]&lt;15000,"Upper Medium","High")))</f>
        <v>Medium</v>
      </c>
      <c r="AM58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59" spans="1:39" x14ac:dyDescent="0.35">
      <c r="A59" s="1">
        <v>58</v>
      </c>
      <c r="B59">
        <v>35</v>
      </c>
      <c r="C59" s="1" t="s">
        <v>40</v>
      </c>
      <c r="D59" s="1" t="s">
        <v>34</v>
      </c>
      <c r="E59">
        <v>1142</v>
      </c>
      <c r="F59" s="1" t="s">
        <v>42</v>
      </c>
      <c r="G59">
        <v>23</v>
      </c>
      <c r="H59">
        <v>4</v>
      </c>
      <c r="I59" s="1" t="s">
        <v>48</v>
      </c>
      <c r="J59">
        <v>75</v>
      </c>
      <c r="K59">
        <v>3</v>
      </c>
      <c r="L59" s="1" t="s">
        <v>37</v>
      </c>
      <c r="M59">
        <v>30</v>
      </c>
      <c r="N59">
        <v>3</v>
      </c>
      <c r="O59">
        <v>1</v>
      </c>
      <c r="P59" s="1" t="s">
        <v>47</v>
      </c>
      <c r="Q59">
        <v>1</v>
      </c>
      <c r="R59" s="1" t="s">
        <v>45</v>
      </c>
      <c r="S59">
        <v>4014</v>
      </c>
      <c r="T59">
        <v>16002</v>
      </c>
      <c r="U59">
        <v>3</v>
      </c>
      <c r="V59" s="1" t="s">
        <v>33</v>
      </c>
      <c r="W59">
        <v>15</v>
      </c>
      <c r="X59">
        <v>3</v>
      </c>
      <c r="Y59">
        <v>3</v>
      </c>
      <c r="Z59">
        <v>80</v>
      </c>
      <c r="AA59">
        <v>1</v>
      </c>
      <c r="AB59">
        <v>4</v>
      </c>
      <c r="AC59">
        <v>3</v>
      </c>
      <c r="AD59">
        <v>3</v>
      </c>
      <c r="AE59">
        <v>2</v>
      </c>
      <c r="AF59">
        <v>2</v>
      </c>
      <c r="AG59">
        <v>2</v>
      </c>
      <c r="AH59">
        <v>2</v>
      </c>
      <c r="AI59">
        <f>IF(tbl_HRData[[#This Row],[Attrition]] = "Yes",1,0)</f>
        <v>0</v>
      </c>
      <c r="AJ59">
        <f>IF(tbl_HRData[[#This Row],[Attrition]] = "No",1,0)</f>
        <v>1</v>
      </c>
      <c r="AK59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59" s="1" t="str">
        <f>IF(tbl_HRData[[#This Row],[MonthlyIncome]]&lt;5000,"Low",
IF(tbl_HRData[[#This Row],[MonthlyIncome]]&lt;10000,"Medium",
IF(tbl_HRData[[#This Row],[MonthlyIncome]]&lt;15000,"Upper Medium","High")))</f>
        <v>Low</v>
      </c>
      <c r="AM59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60" spans="1:39" x14ac:dyDescent="0.35">
      <c r="A60" s="1">
        <v>59</v>
      </c>
      <c r="B60">
        <v>31</v>
      </c>
      <c r="C60" s="1" t="s">
        <v>40</v>
      </c>
      <c r="D60" s="1" t="s">
        <v>34</v>
      </c>
      <c r="E60">
        <v>655</v>
      </c>
      <c r="F60" s="1" t="s">
        <v>42</v>
      </c>
      <c r="G60">
        <v>7</v>
      </c>
      <c r="H60">
        <v>4</v>
      </c>
      <c r="I60" s="1" t="s">
        <v>36</v>
      </c>
      <c r="J60">
        <v>76</v>
      </c>
      <c r="K60">
        <v>4</v>
      </c>
      <c r="L60" s="1" t="s">
        <v>43</v>
      </c>
      <c r="M60">
        <v>48</v>
      </c>
      <c r="N60">
        <v>3</v>
      </c>
      <c r="O60">
        <v>2</v>
      </c>
      <c r="P60" s="1" t="s">
        <v>47</v>
      </c>
      <c r="Q60">
        <v>4</v>
      </c>
      <c r="R60" s="1" t="s">
        <v>49</v>
      </c>
      <c r="S60">
        <v>5915</v>
      </c>
      <c r="T60">
        <v>9528</v>
      </c>
      <c r="U60">
        <v>3</v>
      </c>
      <c r="V60" s="1" t="s">
        <v>40</v>
      </c>
      <c r="W60">
        <v>22</v>
      </c>
      <c r="X60">
        <v>4</v>
      </c>
      <c r="Y60">
        <v>4</v>
      </c>
      <c r="Z60">
        <v>80</v>
      </c>
      <c r="AA60">
        <v>1</v>
      </c>
      <c r="AB60">
        <v>10</v>
      </c>
      <c r="AC60">
        <v>3</v>
      </c>
      <c r="AD60">
        <v>2</v>
      </c>
      <c r="AE60">
        <v>7</v>
      </c>
      <c r="AF60">
        <v>7</v>
      </c>
      <c r="AG60">
        <v>1</v>
      </c>
      <c r="AH60">
        <v>7</v>
      </c>
      <c r="AI60">
        <f>IF(tbl_HRData[[#This Row],[Attrition]] = "Yes",1,0)</f>
        <v>0</v>
      </c>
      <c r="AJ60">
        <f>IF(tbl_HRData[[#This Row],[Attrition]] = "No",1,0)</f>
        <v>1</v>
      </c>
      <c r="AK60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60" s="1" t="str">
        <f>IF(tbl_HRData[[#This Row],[MonthlyIncome]]&lt;5000,"Low",
IF(tbl_HRData[[#This Row],[MonthlyIncome]]&lt;10000,"Medium",
IF(tbl_HRData[[#This Row],[MonthlyIncome]]&lt;15000,"Upper Medium","High")))</f>
        <v>Medium</v>
      </c>
      <c r="AM60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61" spans="1:39" x14ac:dyDescent="0.35">
      <c r="A61" s="1">
        <v>60</v>
      </c>
      <c r="B61">
        <v>37</v>
      </c>
      <c r="C61" s="1" t="s">
        <v>40</v>
      </c>
      <c r="D61" s="1" t="s">
        <v>34</v>
      </c>
      <c r="E61">
        <v>1115</v>
      </c>
      <c r="F61" s="1" t="s">
        <v>42</v>
      </c>
      <c r="G61">
        <v>1</v>
      </c>
      <c r="H61">
        <v>4</v>
      </c>
      <c r="I61" s="1" t="s">
        <v>36</v>
      </c>
      <c r="J61">
        <v>77</v>
      </c>
      <c r="K61">
        <v>1</v>
      </c>
      <c r="L61" s="1" t="s">
        <v>43</v>
      </c>
      <c r="M61">
        <v>51</v>
      </c>
      <c r="N61">
        <v>2</v>
      </c>
      <c r="O61">
        <v>2</v>
      </c>
      <c r="P61" s="1" t="s">
        <v>50</v>
      </c>
      <c r="Q61">
        <v>3</v>
      </c>
      <c r="R61" s="1" t="s">
        <v>49</v>
      </c>
      <c r="S61">
        <v>5993</v>
      </c>
      <c r="T61">
        <v>2689</v>
      </c>
      <c r="U61">
        <v>1</v>
      </c>
      <c r="V61" s="1" t="s">
        <v>40</v>
      </c>
      <c r="W61">
        <v>18</v>
      </c>
      <c r="X61">
        <v>3</v>
      </c>
      <c r="Y61">
        <v>3</v>
      </c>
      <c r="Z61">
        <v>80</v>
      </c>
      <c r="AA61">
        <v>1</v>
      </c>
      <c r="AB61">
        <v>7</v>
      </c>
      <c r="AC61">
        <v>2</v>
      </c>
      <c r="AD61">
        <v>4</v>
      </c>
      <c r="AE61">
        <v>7</v>
      </c>
      <c r="AF61">
        <v>5</v>
      </c>
      <c r="AG61">
        <v>0</v>
      </c>
      <c r="AH61">
        <v>7</v>
      </c>
      <c r="AI61">
        <f>IF(tbl_HRData[[#This Row],[Attrition]] = "Yes",1,0)</f>
        <v>0</v>
      </c>
      <c r="AJ61">
        <f>IF(tbl_HRData[[#This Row],[Attrition]] = "No",1,0)</f>
        <v>1</v>
      </c>
      <c r="AK61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61" s="1" t="str">
        <f>IF(tbl_HRData[[#This Row],[MonthlyIncome]]&lt;5000,"Low",
IF(tbl_HRData[[#This Row],[MonthlyIncome]]&lt;10000,"Medium",
IF(tbl_HRData[[#This Row],[MonthlyIncome]]&lt;15000,"Upper Medium","High")))</f>
        <v>Medium</v>
      </c>
      <c r="AM61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62" spans="1:39" x14ac:dyDescent="0.35">
      <c r="A62" s="1">
        <v>61</v>
      </c>
      <c r="B62">
        <v>32</v>
      </c>
      <c r="C62" s="1" t="s">
        <v>40</v>
      </c>
      <c r="D62" s="1" t="s">
        <v>34</v>
      </c>
      <c r="E62">
        <v>427</v>
      </c>
      <c r="F62" s="1" t="s">
        <v>42</v>
      </c>
      <c r="G62">
        <v>1</v>
      </c>
      <c r="H62">
        <v>3</v>
      </c>
      <c r="I62" s="1" t="s">
        <v>48</v>
      </c>
      <c r="J62">
        <v>78</v>
      </c>
      <c r="K62">
        <v>1</v>
      </c>
      <c r="L62" s="1" t="s">
        <v>43</v>
      </c>
      <c r="M62">
        <v>33</v>
      </c>
      <c r="N62">
        <v>3</v>
      </c>
      <c r="O62">
        <v>2</v>
      </c>
      <c r="P62" s="1" t="s">
        <v>50</v>
      </c>
      <c r="Q62">
        <v>4</v>
      </c>
      <c r="R62" s="1" t="s">
        <v>45</v>
      </c>
      <c r="S62">
        <v>6162</v>
      </c>
      <c r="T62">
        <v>10877</v>
      </c>
      <c r="U62">
        <v>1</v>
      </c>
      <c r="V62" s="1" t="s">
        <v>33</v>
      </c>
      <c r="W62">
        <v>22</v>
      </c>
      <c r="X62">
        <v>4</v>
      </c>
      <c r="Y62">
        <v>2</v>
      </c>
      <c r="Z62">
        <v>80</v>
      </c>
      <c r="AA62">
        <v>1</v>
      </c>
      <c r="AB62">
        <v>9</v>
      </c>
      <c r="AC62">
        <v>3</v>
      </c>
      <c r="AD62">
        <v>3</v>
      </c>
      <c r="AE62">
        <v>9</v>
      </c>
      <c r="AF62">
        <v>8</v>
      </c>
      <c r="AG62">
        <v>7</v>
      </c>
      <c r="AH62">
        <v>8</v>
      </c>
      <c r="AI62">
        <f>IF(tbl_HRData[[#This Row],[Attrition]] = "Yes",1,0)</f>
        <v>0</v>
      </c>
      <c r="AJ62">
        <f>IF(tbl_HRData[[#This Row],[Attrition]] = "No",1,0)</f>
        <v>1</v>
      </c>
      <c r="AK62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62" s="1" t="str">
        <f>IF(tbl_HRData[[#This Row],[MonthlyIncome]]&lt;5000,"Low",
IF(tbl_HRData[[#This Row],[MonthlyIncome]]&lt;10000,"Medium",
IF(tbl_HRData[[#This Row],[MonthlyIncome]]&lt;15000,"Upper Medium","High")))</f>
        <v>Medium</v>
      </c>
      <c r="AM62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63" spans="1:39" x14ac:dyDescent="0.35">
      <c r="A63" s="1">
        <v>62</v>
      </c>
      <c r="B63">
        <v>38</v>
      </c>
      <c r="C63" s="1" t="s">
        <v>40</v>
      </c>
      <c r="D63" s="1" t="s">
        <v>41</v>
      </c>
      <c r="E63">
        <v>653</v>
      </c>
      <c r="F63" s="1" t="s">
        <v>42</v>
      </c>
      <c r="G63">
        <v>29</v>
      </c>
      <c r="H63">
        <v>5</v>
      </c>
      <c r="I63" s="1" t="s">
        <v>36</v>
      </c>
      <c r="J63">
        <v>79</v>
      </c>
      <c r="K63">
        <v>4</v>
      </c>
      <c r="L63" s="1" t="s">
        <v>37</v>
      </c>
      <c r="M63">
        <v>50</v>
      </c>
      <c r="N63">
        <v>3</v>
      </c>
      <c r="O63">
        <v>2</v>
      </c>
      <c r="P63" s="1" t="s">
        <v>47</v>
      </c>
      <c r="Q63">
        <v>4</v>
      </c>
      <c r="R63" s="1" t="s">
        <v>39</v>
      </c>
      <c r="S63">
        <v>2406</v>
      </c>
      <c r="T63">
        <v>5456</v>
      </c>
      <c r="U63">
        <v>1</v>
      </c>
      <c r="V63" s="1" t="s">
        <v>40</v>
      </c>
      <c r="W63">
        <v>11</v>
      </c>
      <c r="X63">
        <v>3</v>
      </c>
      <c r="Y63">
        <v>4</v>
      </c>
      <c r="Z63">
        <v>80</v>
      </c>
      <c r="AA63">
        <v>0</v>
      </c>
      <c r="AB63">
        <v>10</v>
      </c>
      <c r="AC63">
        <v>2</v>
      </c>
      <c r="AD63">
        <v>3</v>
      </c>
      <c r="AE63">
        <v>10</v>
      </c>
      <c r="AF63">
        <v>3</v>
      </c>
      <c r="AG63">
        <v>9</v>
      </c>
      <c r="AH63">
        <v>9</v>
      </c>
      <c r="AI63">
        <f>IF(tbl_HRData[[#This Row],[Attrition]] = "Yes",1,0)</f>
        <v>0</v>
      </c>
      <c r="AJ63">
        <f>IF(tbl_HRData[[#This Row],[Attrition]] = "No",1,0)</f>
        <v>1</v>
      </c>
      <c r="AK63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63" s="1" t="str">
        <f>IF(tbl_HRData[[#This Row],[MonthlyIncome]]&lt;5000,"Low",
IF(tbl_HRData[[#This Row],[MonthlyIncome]]&lt;10000,"Medium",
IF(tbl_HRData[[#This Row],[MonthlyIncome]]&lt;15000,"Upper Medium","High")))</f>
        <v>Low</v>
      </c>
      <c r="AM63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64" spans="1:39" x14ac:dyDescent="0.35">
      <c r="A64" s="1">
        <v>63</v>
      </c>
      <c r="B64">
        <v>50</v>
      </c>
      <c r="C64" s="1" t="s">
        <v>40</v>
      </c>
      <c r="D64" s="1" t="s">
        <v>34</v>
      </c>
      <c r="E64">
        <v>989</v>
      </c>
      <c r="F64" s="1" t="s">
        <v>42</v>
      </c>
      <c r="G64">
        <v>7</v>
      </c>
      <c r="H64">
        <v>2</v>
      </c>
      <c r="I64" s="1" t="s">
        <v>48</v>
      </c>
      <c r="J64">
        <v>80</v>
      </c>
      <c r="K64">
        <v>2</v>
      </c>
      <c r="L64" s="1" t="s">
        <v>37</v>
      </c>
      <c r="M64">
        <v>43</v>
      </c>
      <c r="N64">
        <v>2</v>
      </c>
      <c r="O64">
        <v>5</v>
      </c>
      <c r="P64" s="1" t="s">
        <v>55</v>
      </c>
      <c r="Q64">
        <v>3</v>
      </c>
      <c r="R64" s="1" t="s">
        <v>49</v>
      </c>
      <c r="S64">
        <v>18740</v>
      </c>
      <c r="T64">
        <v>16701</v>
      </c>
      <c r="U64">
        <v>5</v>
      </c>
      <c r="V64" s="1" t="s">
        <v>33</v>
      </c>
      <c r="W64">
        <v>12</v>
      </c>
      <c r="X64">
        <v>3</v>
      </c>
      <c r="Y64">
        <v>4</v>
      </c>
      <c r="Z64">
        <v>80</v>
      </c>
      <c r="AA64">
        <v>1</v>
      </c>
      <c r="AB64">
        <v>29</v>
      </c>
      <c r="AC64">
        <v>2</v>
      </c>
      <c r="AD64">
        <v>2</v>
      </c>
      <c r="AE64">
        <v>27</v>
      </c>
      <c r="AF64">
        <v>3</v>
      </c>
      <c r="AG64">
        <v>13</v>
      </c>
      <c r="AH64">
        <v>8</v>
      </c>
      <c r="AI64">
        <f>IF(tbl_HRData[[#This Row],[Attrition]] = "Yes",1,0)</f>
        <v>0</v>
      </c>
      <c r="AJ64">
        <f>IF(tbl_HRData[[#This Row],[Attrition]] = "No",1,0)</f>
        <v>1</v>
      </c>
      <c r="AK64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64" s="1" t="str">
        <f>IF(tbl_HRData[[#This Row],[MonthlyIncome]]&lt;5000,"Low",
IF(tbl_HRData[[#This Row],[MonthlyIncome]]&lt;10000,"Medium",
IF(tbl_HRData[[#This Row],[MonthlyIncome]]&lt;15000,"Upper Medium","High")))</f>
        <v>High</v>
      </c>
      <c r="AM64" s="1" t="str">
        <f>IF(tbl_HRData[[#This Row],[YearsAtCompany]]&lt;=5,"0-5 Years",
IF(tbl_HRData[[#This Row],[YearsAtCompany]]&lt;=10,"6-10 Years",
IF(tbl_HRData[[#This Row],[YearsAtCompany]]&lt;=20,"11-20 Years","21+ Years")))</f>
        <v>21+ Years</v>
      </c>
    </row>
    <row r="65" spans="1:39" x14ac:dyDescent="0.35">
      <c r="A65" s="1">
        <v>64</v>
      </c>
      <c r="B65">
        <v>59</v>
      </c>
      <c r="C65" s="1" t="s">
        <v>40</v>
      </c>
      <c r="D65" s="1" t="s">
        <v>34</v>
      </c>
      <c r="E65">
        <v>1435</v>
      </c>
      <c r="F65" s="1" t="s">
        <v>35</v>
      </c>
      <c r="G65">
        <v>25</v>
      </c>
      <c r="H65">
        <v>3</v>
      </c>
      <c r="I65" s="1" t="s">
        <v>36</v>
      </c>
      <c r="J65">
        <v>81</v>
      </c>
      <c r="K65">
        <v>1</v>
      </c>
      <c r="L65" s="1" t="s">
        <v>37</v>
      </c>
      <c r="M65">
        <v>99</v>
      </c>
      <c r="N65">
        <v>3</v>
      </c>
      <c r="O65">
        <v>3</v>
      </c>
      <c r="P65" s="1" t="s">
        <v>38</v>
      </c>
      <c r="Q65">
        <v>1</v>
      </c>
      <c r="R65" s="1" t="s">
        <v>39</v>
      </c>
      <c r="S65">
        <v>7637</v>
      </c>
      <c r="T65">
        <v>2354</v>
      </c>
      <c r="U65">
        <v>7</v>
      </c>
      <c r="V65" s="1" t="s">
        <v>40</v>
      </c>
      <c r="W65">
        <v>11</v>
      </c>
      <c r="X65">
        <v>3</v>
      </c>
      <c r="Y65">
        <v>4</v>
      </c>
      <c r="Z65">
        <v>80</v>
      </c>
      <c r="AA65">
        <v>0</v>
      </c>
      <c r="AB65">
        <v>28</v>
      </c>
      <c r="AC65">
        <v>3</v>
      </c>
      <c r="AD65">
        <v>2</v>
      </c>
      <c r="AE65">
        <v>21</v>
      </c>
      <c r="AF65">
        <v>16</v>
      </c>
      <c r="AG65">
        <v>7</v>
      </c>
      <c r="AH65">
        <v>9</v>
      </c>
      <c r="AI65">
        <f>IF(tbl_HRData[[#This Row],[Attrition]] = "Yes",1,0)</f>
        <v>0</v>
      </c>
      <c r="AJ65">
        <f>IF(tbl_HRData[[#This Row],[Attrition]] = "No",1,0)</f>
        <v>1</v>
      </c>
      <c r="AK65" t="str">
        <f>IF(tbl_HRData[[#This Row],[Age]] &lt; 25, "Under 25", IF(tbl_HRData[[#This Row],[Age]] &lt;= 34, "25-34", IF(tbl_HRData[[#This Row],[Age]] &lt;= 44, "35-44", IF(tbl_HRData[[#This Row],[Age]] &lt;= 54, "45-54", "55+"))))</f>
        <v>55+</v>
      </c>
      <c r="AL65" s="1" t="str">
        <f>IF(tbl_HRData[[#This Row],[MonthlyIncome]]&lt;5000,"Low",
IF(tbl_HRData[[#This Row],[MonthlyIncome]]&lt;10000,"Medium",
IF(tbl_HRData[[#This Row],[MonthlyIncome]]&lt;15000,"Upper Medium","High")))</f>
        <v>Medium</v>
      </c>
      <c r="AM65" s="1" t="str">
        <f>IF(tbl_HRData[[#This Row],[YearsAtCompany]]&lt;=5,"0-5 Years",
IF(tbl_HRData[[#This Row],[YearsAtCompany]]&lt;=10,"6-10 Years",
IF(tbl_HRData[[#This Row],[YearsAtCompany]]&lt;=20,"11-20 Years","21+ Years")))</f>
        <v>21+ Years</v>
      </c>
    </row>
    <row r="66" spans="1:39" x14ac:dyDescent="0.35">
      <c r="A66" s="1">
        <v>65</v>
      </c>
      <c r="B66">
        <v>36</v>
      </c>
      <c r="C66" s="1" t="s">
        <v>40</v>
      </c>
      <c r="D66" s="1" t="s">
        <v>34</v>
      </c>
      <c r="E66">
        <v>1223</v>
      </c>
      <c r="F66" s="1" t="s">
        <v>42</v>
      </c>
      <c r="G66">
        <v>8</v>
      </c>
      <c r="H66">
        <v>3</v>
      </c>
      <c r="I66" s="1" t="s">
        <v>57</v>
      </c>
      <c r="J66">
        <v>83</v>
      </c>
      <c r="K66">
        <v>3</v>
      </c>
      <c r="L66" s="1" t="s">
        <v>37</v>
      </c>
      <c r="M66">
        <v>59</v>
      </c>
      <c r="N66">
        <v>3</v>
      </c>
      <c r="O66">
        <v>3</v>
      </c>
      <c r="P66" s="1" t="s">
        <v>51</v>
      </c>
      <c r="Q66">
        <v>3</v>
      </c>
      <c r="R66" s="1" t="s">
        <v>49</v>
      </c>
      <c r="S66">
        <v>10096</v>
      </c>
      <c r="T66">
        <v>8202</v>
      </c>
      <c r="U66">
        <v>1</v>
      </c>
      <c r="V66" s="1" t="s">
        <v>40</v>
      </c>
      <c r="W66">
        <v>13</v>
      </c>
      <c r="X66">
        <v>3</v>
      </c>
      <c r="Y66">
        <v>2</v>
      </c>
      <c r="Z66">
        <v>80</v>
      </c>
      <c r="AA66">
        <v>3</v>
      </c>
      <c r="AB66">
        <v>17</v>
      </c>
      <c r="AC66">
        <v>2</v>
      </c>
      <c r="AD66">
        <v>3</v>
      </c>
      <c r="AE66">
        <v>17</v>
      </c>
      <c r="AF66">
        <v>14</v>
      </c>
      <c r="AG66">
        <v>12</v>
      </c>
      <c r="AH66">
        <v>8</v>
      </c>
      <c r="AI66">
        <f>IF(tbl_HRData[[#This Row],[Attrition]] = "Yes",1,0)</f>
        <v>0</v>
      </c>
      <c r="AJ66">
        <f>IF(tbl_HRData[[#This Row],[Attrition]] = "No",1,0)</f>
        <v>1</v>
      </c>
      <c r="AK66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66" s="1" t="str">
        <f>IF(tbl_HRData[[#This Row],[MonthlyIncome]]&lt;5000,"Low",
IF(tbl_HRData[[#This Row],[MonthlyIncome]]&lt;10000,"Medium",
IF(tbl_HRData[[#This Row],[MonthlyIncome]]&lt;15000,"Upper Medium","High")))</f>
        <v>Upper Medium</v>
      </c>
      <c r="AM66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67" spans="1:39" x14ac:dyDescent="0.35">
      <c r="A67" s="1">
        <v>66</v>
      </c>
      <c r="B67">
        <v>55</v>
      </c>
      <c r="C67" s="1" t="s">
        <v>40</v>
      </c>
      <c r="D67" s="1" t="s">
        <v>34</v>
      </c>
      <c r="E67">
        <v>836</v>
      </c>
      <c r="F67" s="1" t="s">
        <v>42</v>
      </c>
      <c r="G67">
        <v>8</v>
      </c>
      <c r="H67">
        <v>3</v>
      </c>
      <c r="I67" s="1" t="s">
        <v>48</v>
      </c>
      <c r="J67">
        <v>84</v>
      </c>
      <c r="K67">
        <v>4</v>
      </c>
      <c r="L67" s="1" t="s">
        <v>37</v>
      </c>
      <c r="M67">
        <v>33</v>
      </c>
      <c r="N67">
        <v>3</v>
      </c>
      <c r="O67">
        <v>4</v>
      </c>
      <c r="P67" s="1" t="s">
        <v>53</v>
      </c>
      <c r="Q67">
        <v>3</v>
      </c>
      <c r="R67" s="1" t="s">
        <v>49</v>
      </c>
      <c r="S67">
        <v>14756</v>
      </c>
      <c r="T67">
        <v>19730</v>
      </c>
      <c r="U67">
        <v>2</v>
      </c>
      <c r="V67" s="1" t="s">
        <v>33</v>
      </c>
      <c r="W67">
        <v>14</v>
      </c>
      <c r="X67">
        <v>3</v>
      </c>
      <c r="Y67">
        <v>3</v>
      </c>
      <c r="Z67">
        <v>80</v>
      </c>
      <c r="AA67">
        <v>3</v>
      </c>
      <c r="AB67">
        <v>21</v>
      </c>
      <c r="AC67">
        <v>2</v>
      </c>
      <c r="AD67">
        <v>3</v>
      </c>
      <c r="AE67">
        <v>5</v>
      </c>
      <c r="AF67">
        <v>0</v>
      </c>
      <c r="AG67">
        <v>0</v>
      </c>
      <c r="AH67">
        <v>2</v>
      </c>
      <c r="AI67">
        <f>IF(tbl_HRData[[#This Row],[Attrition]] = "Yes",1,0)</f>
        <v>0</v>
      </c>
      <c r="AJ67">
        <f>IF(tbl_HRData[[#This Row],[Attrition]] = "No",1,0)</f>
        <v>1</v>
      </c>
      <c r="AK67" t="str">
        <f>IF(tbl_HRData[[#This Row],[Age]] &lt; 25, "Under 25", IF(tbl_HRData[[#This Row],[Age]] &lt;= 34, "25-34", IF(tbl_HRData[[#This Row],[Age]] &lt;= 44, "35-44", IF(tbl_HRData[[#This Row],[Age]] &lt;= 54, "45-54", "55+"))))</f>
        <v>55+</v>
      </c>
      <c r="AL67" s="1" t="str">
        <f>IF(tbl_HRData[[#This Row],[MonthlyIncome]]&lt;5000,"Low",
IF(tbl_HRData[[#This Row],[MonthlyIncome]]&lt;10000,"Medium",
IF(tbl_HRData[[#This Row],[MonthlyIncome]]&lt;15000,"Upper Medium","High")))</f>
        <v>Upper Medium</v>
      </c>
      <c r="AM67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68" spans="1:39" x14ac:dyDescent="0.35">
      <c r="A68" s="1">
        <v>67</v>
      </c>
      <c r="B68">
        <v>36</v>
      </c>
      <c r="C68" s="1" t="s">
        <v>40</v>
      </c>
      <c r="D68" s="1" t="s">
        <v>41</v>
      </c>
      <c r="E68">
        <v>1195</v>
      </c>
      <c r="F68" s="1" t="s">
        <v>42</v>
      </c>
      <c r="G68">
        <v>11</v>
      </c>
      <c r="H68">
        <v>3</v>
      </c>
      <c r="I68" s="1" t="s">
        <v>36</v>
      </c>
      <c r="J68">
        <v>85</v>
      </c>
      <c r="K68">
        <v>2</v>
      </c>
      <c r="L68" s="1" t="s">
        <v>43</v>
      </c>
      <c r="M68">
        <v>95</v>
      </c>
      <c r="N68">
        <v>2</v>
      </c>
      <c r="O68">
        <v>2</v>
      </c>
      <c r="P68" s="1" t="s">
        <v>50</v>
      </c>
      <c r="Q68">
        <v>2</v>
      </c>
      <c r="R68" s="1" t="s">
        <v>39</v>
      </c>
      <c r="S68">
        <v>6499</v>
      </c>
      <c r="T68">
        <v>22656</v>
      </c>
      <c r="U68">
        <v>1</v>
      </c>
      <c r="V68" s="1" t="s">
        <v>40</v>
      </c>
      <c r="W68">
        <v>13</v>
      </c>
      <c r="X68">
        <v>3</v>
      </c>
      <c r="Y68">
        <v>3</v>
      </c>
      <c r="Z68">
        <v>80</v>
      </c>
      <c r="AA68">
        <v>0</v>
      </c>
      <c r="AB68">
        <v>6</v>
      </c>
      <c r="AC68">
        <v>3</v>
      </c>
      <c r="AD68">
        <v>3</v>
      </c>
      <c r="AE68">
        <v>6</v>
      </c>
      <c r="AF68">
        <v>5</v>
      </c>
      <c r="AG68">
        <v>0</v>
      </c>
      <c r="AH68">
        <v>3</v>
      </c>
      <c r="AI68">
        <f>IF(tbl_HRData[[#This Row],[Attrition]] = "Yes",1,0)</f>
        <v>0</v>
      </c>
      <c r="AJ68">
        <f>IF(tbl_HRData[[#This Row],[Attrition]] = "No",1,0)</f>
        <v>1</v>
      </c>
      <c r="AK68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68" s="1" t="str">
        <f>IF(tbl_HRData[[#This Row],[MonthlyIncome]]&lt;5000,"Low",
IF(tbl_HRData[[#This Row],[MonthlyIncome]]&lt;10000,"Medium",
IF(tbl_HRData[[#This Row],[MonthlyIncome]]&lt;15000,"Upper Medium","High")))</f>
        <v>Medium</v>
      </c>
      <c r="AM68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69" spans="1:39" x14ac:dyDescent="0.35">
      <c r="A69" s="1">
        <v>68</v>
      </c>
      <c r="B69">
        <v>45</v>
      </c>
      <c r="C69" s="1" t="s">
        <v>40</v>
      </c>
      <c r="D69" s="1" t="s">
        <v>34</v>
      </c>
      <c r="E69">
        <v>1339</v>
      </c>
      <c r="F69" s="1" t="s">
        <v>42</v>
      </c>
      <c r="G69">
        <v>7</v>
      </c>
      <c r="H69">
        <v>3</v>
      </c>
      <c r="I69" s="1" t="s">
        <v>36</v>
      </c>
      <c r="J69">
        <v>86</v>
      </c>
      <c r="K69">
        <v>2</v>
      </c>
      <c r="L69" s="1" t="s">
        <v>43</v>
      </c>
      <c r="M69">
        <v>59</v>
      </c>
      <c r="N69">
        <v>3</v>
      </c>
      <c r="O69">
        <v>3</v>
      </c>
      <c r="P69" s="1" t="s">
        <v>44</v>
      </c>
      <c r="Q69">
        <v>1</v>
      </c>
      <c r="R69" s="1" t="s">
        <v>49</v>
      </c>
      <c r="S69">
        <v>9724</v>
      </c>
      <c r="T69">
        <v>18787</v>
      </c>
      <c r="U69">
        <v>2</v>
      </c>
      <c r="V69" s="1" t="s">
        <v>40</v>
      </c>
      <c r="W69">
        <v>17</v>
      </c>
      <c r="X69">
        <v>3</v>
      </c>
      <c r="Y69">
        <v>3</v>
      </c>
      <c r="Z69">
        <v>80</v>
      </c>
      <c r="AA69">
        <v>1</v>
      </c>
      <c r="AB69">
        <v>25</v>
      </c>
      <c r="AC69">
        <v>2</v>
      </c>
      <c r="AD69">
        <v>3</v>
      </c>
      <c r="AE69">
        <v>1</v>
      </c>
      <c r="AF69">
        <v>0</v>
      </c>
      <c r="AG69">
        <v>0</v>
      </c>
      <c r="AH69">
        <v>0</v>
      </c>
      <c r="AI69">
        <f>IF(tbl_HRData[[#This Row],[Attrition]] = "Yes",1,0)</f>
        <v>0</v>
      </c>
      <c r="AJ69">
        <f>IF(tbl_HRData[[#This Row],[Attrition]] = "No",1,0)</f>
        <v>1</v>
      </c>
      <c r="AK69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69" s="1" t="str">
        <f>IF(tbl_HRData[[#This Row],[MonthlyIncome]]&lt;5000,"Low",
IF(tbl_HRData[[#This Row],[MonthlyIncome]]&lt;10000,"Medium",
IF(tbl_HRData[[#This Row],[MonthlyIncome]]&lt;15000,"Upper Medium","High")))</f>
        <v>Medium</v>
      </c>
      <c r="AM69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70" spans="1:39" x14ac:dyDescent="0.35">
      <c r="A70" s="1">
        <v>69</v>
      </c>
      <c r="B70">
        <v>35</v>
      </c>
      <c r="C70" s="1" t="s">
        <v>40</v>
      </c>
      <c r="D70" s="1" t="s">
        <v>41</v>
      </c>
      <c r="E70">
        <v>664</v>
      </c>
      <c r="F70" s="1" t="s">
        <v>42</v>
      </c>
      <c r="G70">
        <v>1</v>
      </c>
      <c r="H70">
        <v>3</v>
      </c>
      <c r="I70" s="1" t="s">
        <v>48</v>
      </c>
      <c r="J70">
        <v>88</v>
      </c>
      <c r="K70">
        <v>2</v>
      </c>
      <c r="L70" s="1" t="s">
        <v>43</v>
      </c>
      <c r="M70">
        <v>79</v>
      </c>
      <c r="N70">
        <v>3</v>
      </c>
      <c r="O70">
        <v>1</v>
      </c>
      <c r="P70" s="1" t="s">
        <v>44</v>
      </c>
      <c r="Q70">
        <v>1</v>
      </c>
      <c r="R70" s="1" t="s">
        <v>45</v>
      </c>
      <c r="S70">
        <v>2194</v>
      </c>
      <c r="T70">
        <v>5868</v>
      </c>
      <c r="U70">
        <v>4</v>
      </c>
      <c r="V70" s="1" t="s">
        <v>40</v>
      </c>
      <c r="W70">
        <v>13</v>
      </c>
      <c r="X70">
        <v>3</v>
      </c>
      <c r="Y70">
        <v>4</v>
      </c>
      <c r="Z70">
        <v>80</v>
      </c>
      <c r="AA70">
        <v>1</v>
      </c>
      <c r="AB70">
        <v>5</v>
      </c>
      <c r="AC70">
        <v>2</v>
      </c>
      <c r="AD70">
        <v>2</v>
      </c>
      <c r="AE70">
        <v>3</v>
      </c>
      <c r="AF70">
        <v>2</v>
      </c>
      <c r="AG70">
        <v>1</v>
      </c>
      <c r="AH70">
        <v>2</v>
      </c>
      <c r="AI70">
        <f>IF(tbl_HRData[[#This Row],[Attrition]] = "Yes",1,0)</f>
        <v>0</v>
      </c>
      <c r="AJ70">
        <f>IF(tbl_HRData[[#This Row],[Attrition]] = "No",1,0)</f>
        <v>1</v>
      </c>
      <c r="AK70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70" s="1" t="str">
        <f>IF(tbl_HRData[[#This Row],[MonthlyIncome]]&lt;5000,"Low",
IF(tbl_HRData[[#This Row],[MonthlyIncome]]&lt;10000,"Medium",
IF(tbl_HRData[[#This Row],[MonthlyIncome]]&lt;15000,"Upper Medium","High")))</f>
        <v>Low</v>
      </c>
      <c r="AM70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71" spans="1:39" x14ac:dyDescent="0.35">
      <c r="A71" s="1">
        <v>70</v>
      </c>
      <c r="B71">
        <v>36</v>
      </c>
      <c r="C71" s="1" t="s">
        <v>33</v>
      </c>
      <c r="D71" s="1" t="s">
        <v>34</v>
      </c>
      <c r="E71">
        <v>318</v>
      </c>
      <c r="F71" s="1" t="s">
        <v>42</v>
      </c>
      <c r="G71">
        <v>9</v>
      </c>
      <c r="H71">
        <v>3</v>
      </c>
      <c r="I71" s="1" t="s">
        <v>48</v>
      </c>
      <c r="J71">
        <v>90</v>
      </c>
      <c r="K71">
        <v>4</v>
      </c>
      <c r="L71" s="1" t="s">
        <v>43</v>
      </c>
      <c r="M71">
        <v>79</v>
      </c>
      <c r="N71">
        <v>2</v>
      </c>
      <c r="O71">
        <v>1</v>
      </c>
      <c r="P71" s="1" t="s">
        <v>44</v>
      </c>
      <c r="Q71">
        <v>3</v>
      </c>
      <c r="R71" s="1" t="s">
        <v>45</v>
      </c>
      <c r="S71">
        <v>3388</v>
      </c>
      <c r="T71">
        <v>21777</v>
      </c>
      <c r="U71">
        <v>0</v>
      </c>
      <c r="V71" s="1" t="s">
        <v>33</v>
      </c>
      <c r="W71">
        <v>17</v>
      </c>
      <c r="X71">
        <v>3</v>
      </c>
      <c r="Y71">
        <v>1</v>
      </c>
      <c r="Z71">
        <v>80</v>
      </c>
      <c r="AA71">
        <v>1</v>
      </c>
      <c r="AB71">
        <v>2</v>
      </c>
      <c r="AC71">
        <v>0</v>
      </c>
      <c r="AD71">
        <v>2</v>
      </c>
      <c r="AE71">
        <v>1</v>
      </c>
      <c r="AF71">
        <v>0</v>
      </c>
      <c r="AG71">
        <v>0</v>
      </c>
      <c r="AH71">
        <v>0</v>
      </c>
      <c r="AI71">
        <f>IF(tbl_HRData[[#This Row],[Attrition]] = "Yes",1,0)</f>
        <v>1</v>
      </c>
      <c r="AJ71">
        <f>IF(tbl_HRData[[#This Row],[Attrition]] = "No",1,0)</f>
        <v>0</v>
      </c>
      <c r="AK71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71" s="1" t="str">
        <f>IF(tbl_HRData[[#This Row],[MonthlyIncome]]&lt;5000,"Low",
IF(tbl_HRData[[#This Row],[MonthlyIncome]]&lt;10000,"Medium",
IF(tbl_HRData[[#This Row],[MonthlyIncome]]&lt;15000,"Upper Medium","High")))</f>
        <v>Low</v>
      </c>
      <c r="AM71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72" spans="1:39" x14ac:dyDescent="0.35">
      <c r="A72" s="1">
        <v>71</v>
      </c>
      <c r="B72">
        <v>59</v>
      </c>
      <c r="C72" s="1" t="s">
        <v>40</v>
      </c>
      <c r="D72" s="1" t="s">
        <v>41</v>
      </c>
      <c r="E72">
        <v>1225</v>
      </c>
      <c r="F72" s="1" t="s">
        <v>35</v>
      </c>
      <c r="G72">
        <v>1</v>
      </c>
      <c r="H72">
        <v>1</v>
      </c>
      <c r="I72" s="1" t="s">
        <v>36</v>
      </c>
      <c r="J72">
        <v>91</v>
      </c>
      <c r="K72">
        <v>1</v>
      </c>
      <c r="L72" s="1" t="s">
        <v>37</v>
      </c>
      <c r="M72">
        <v>57</v>
      </c>
      <c r="N72">
        <v>2</v>
      </c>
      <c r="O72">
        <v>2</v>
      </c>
      <c r="P72" s="1" t="s">
        <v>38</v>
      </c>
      <c r="Q72">
        <v>3</v>
      </c>
      <c r="R72" s="1" t="s">
        <v>39</v>
      </c>
      <c r="S72">
        <v>5473</v>
      </c>
      <c r="T72">
        <v>24668</v>
      </c>
      <c r="U72">
        <v>7</v>
      </c>
      <c r="V72" s="1" t="s">
        <v>40</v>
      </c>
      <c r="W72">
        <v>11</v>
      </c>
      <c r="X72">
        <v>3</v>
      </c>
      <c r="Y72">
        <v>4</v>
      </c>
      <c r="Z72">
        <v>80</v>
      </c>
      <c r="AA72">
        <v>0</v>
      </c>
      <c r="AB72">
        <v>20</v>
      </c>
      <c r="AC72">
        <v>2</v>
      </c>
      <c r="AD72">
        <v>2</v>
      </c>
      <c r="AE72">
        <v>4</v>
      </c>
      <c r="AF72">
        <v>3</v>
      </c>
      <c r="AG72">
        <v>1</v>
      </c>
      <c r="AH72">
        <v>3</v>
      </c>
      <c r="AI72">
        <f>IF(tbl_HRData[[#This Row],[Attrition]] = "Yes",1,0)</f>
        <v>0</v>
      </c>
      <c r="AJ72">
        <f>IF(tbl_HRData[[#This Row],[Attrition]] = "No",1,0)</f>
        <v>1</v>
      </c>
      <c r="AK72" t="str">
        <f>IF(tbl_HRData[[#This Row],[Age]] &lt; 25, "Under 25", IF(tbl_HRData[[#This Row],[Age]] &lt;= 34, "25-34", IF(tbl_HRData[[#This Row],[Age]] &lt;= 44, "35-44", IF(tbl_HRData[[#This Row],[Age]] &lt;= 54, "45-54", "55+"))))</f>
        <v>55+</v>
      </c>
      <c r="AL72" s="1" t="str">
        <f>IF(tbl_HRData[[#This Row],[MonthlyIncome]]&lt;5000,"Low",
IF(tbl_HRData[[#This Row],[MonthlyIncome]]&lt;10000,"Medium",
IF(tbl_HRData[[#This Row],[MonthlyIncome]]&lt;15000,"Upper Medium","High")))</f>
        <v>Medium</v>
      </c>
      <c r="AM72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73" spans="1:39" x14ac:dyDescent="0.35">
      <c r="A73" s="1">
        <v>72</v>
      </c>
      <c r="B73">
        <v>29</v>
      </c>
      <c r="C73" s="1" t="s">
        <v>40</v>
      </c>
      <c r="D73" s="1" t="s">
        <v>34</v>
      </c>
      <c r="E73">
        <v>1328</v>
      </c>
      <c r="F73" s="1" t="s">
        <v>42</v>
      </c>
      <c r="G73">
        <v>2</v>
      </c>
      <c r="H73">
        <v>3</v>
      </c>
      <c r="I73" s="1" t="s">
        <v>36</v>
      </c>
      <c r="J73">
        <v>94</v>
      </c>
      <c r="K73">
        <v>3</v>
      </c>
      <c r="L73" s="1" t="s">
        <v>43</v>
      </c>
      <c r="M73">
        <v>76</v>
      </c>
      <c r="N73">
        <v>3</v>
      </c>
      <c r="O73">
        <v>1</v>
      </c>
      <c r="P73" s="1" t="s">
        <v>44</v>
      </c>
      <c r="Q73">
        <v>2</v>
      </c>
      <c r="R73" s="1" t="s">
        <v>45</v>
      </c>
      <c r="S73">
        <v>2703</v>
      </c>
      <c r="T73">
        <v>4956</v>
      </c>
      <c r="U73">
        <v>0</v>
      </c>
      <c r="V73" s="1" t="s">
        <v>40</v>
      </c>
      <c r="W73">
        <v>23</v>
      </c>
      <c r="X73">
        <v>4</v>
      </c>
      <c r="Y73">
        <v>4</v>
      </c>
      <c r="Z73">
        <v>80</v>
      </c>
      <c r="AA73">
        <v>1</v>
      </c>
      <c r="AB73">
        <v>6</v>
      </c>
      <c r="AC73">
        <v>3</v>
      </c>
      <c r="AD73">
        <v>3</v>
      </c>
      <c r="AE73">
        <v>5</v>
      </c>
      <c r="AF73">
        <v>4</v>
      </c>
      <c r="AG73">
        <v>0</v>
      </c>
      <c r="AH73">
        <v>4</v>
      </c>
      <c r="AI73">
        <f>IF(tbl_HRData[[#This Row],[Attrition]] = "Yes",1,0)</f>
        <v>0</v>
      </c>
      <c r="AJ73">
        <f>IF(tbl_HRData[[#This Row],[Attrition]] = "No",1,0)</f>
        <v>1</v>
      </c>
      <c r="AK73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73" s="1" t="str">
        <f>IF(tbl_HRData[[#This Row],[MonthlyIncome]]&lt;5000,"Low",
IF(tbl_HRData[[#This Row],[MonthlyIncome]]&lt;10000,"Medium",
IF(tbl_HRData[[#This Row],[MonthlyIncome]]&lt;15000,"Upper Medium","High")))</f>
        <v>Low</v>
      </c>
      <c r="AM73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74" spans="1:39" x14ac:dyDescent="0.35">
      <c r="A74" s="1">
        <v>73</v>
      </c>
      <c r="B74">
        <v>31</v>
      </c>
      <c r="C74" s="1" t="s">
        <v>40</v>
      </c>
      <c r="D74" s="1" t="s">
        <v>34</v>
      </c>
      <c r="E74">
        <v>1082</v>
      </c>
      <c r="F74" s="1" t="s">
        <v>42</v>
      </c>
      <c r="G74">
        <v>1</v>
      </c>
      <c r="H74">
        <v>4</v>
      </c>
      <c r="I74" s="1" t="s">
        <v>48</v>
      </c>
      <c r="J74">
        <v>95</v>
      </c>
      <c r="K74">
        <v>3</v>
      </c>
      <c r="L74" s="1" t="s">
        <v>43</v>
      </c>
      <c r="M74">
        <v>87</v>
      </c>
      <c r="N74">
        <v>3</v>
      </c>
      <c r="O74">
        <v>1</v>
      </c>
      <c r="P74" s="1" t="s">
        <v>44</v>
      </c>
      <c r="Q74">
        <v>2</v>
      </c>
      <c r="R74" s="1" t="s">
        <v>39</v>
      </c>
      <c r="S74">
        <v>2501</v>
      </c>
      <c r="T74">
        <v>18775</v>
      </c>
      <c r="U74">
        <v>1</v>
      </c>
      <c r="V74" s="1" t="s">
        <v>40</v>
      </c>
      <c r="W74">
        <v>17</v>
      </c>
      <c r="X74">
        <v>3</v>
      </c>
      <c r="Y74">
        <v>2</v>
      </c>
      <c r="Z74">
        <v>80</v>
      </c>
      <c r="AA74">
        <v>0</v>
      </c>
      <c r="AB74">
        <v>1</v>
      </c>
      <c r="AC74">
        <v>4</v>
      </c>
      <c r="AD74">
        <v>3</v>
      </c>
      <c r="AE74">
        <v>1</v>
      </c>
      <c r="AF74">
        <v>1</v>
      </c>
      <c r="AG74">
        <v>1</v>
      </c>
      <c r="AH74">
        <v>0</v>
      </c>
      <c r="AI74">
        <f>IF(tbl_HRData[[#This Row],[Attrition]] = "Yes",1,0)</f>
        <v>0</v>
      </c>
      <c r="AJ74">
        <f>IF(tbl_HRData[[#This Row],[Attrition]] = "No",1,0)</f>
        <v>1</v>
      </c>
      <c r="AK74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74" s="1" t="str">
        <f>IF(tbl_HRData[[#This Row],[MonthlyIncome]]&lt;5000,"Low",
IF(tbl_HRData[[#This Row],[MonthlyIncome]]&lt;10000,"Medium",
IF(tbl_HRData[[#This Row],[MonthlyIncome]]&lt;15000,"Upper Medium","High")))</f>
        <v>Low</v>
      </c>
      <c r="AM74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75" spans="1:39" x14ac:dyDescent="0.35">
      <c r="A75" s="1">
        <v>74</v>
      </c>
      <c r="B75">
        <v>32</v>
      </c>
      <c r="C75" s="1" t="s">
        <v>40</v>
      </c>
      <c r="D75" s="1" t="s">
        <v>34</v>
      </c>
      <c r="E75">
        <v>548</v>
      </c>
      <c r="F75" s="1" t="s">
        <v>42</v>
      </c>
      <c r="G75">
        <v>1</v>
      </c>
      <c r="H75">
        <v>3</v>
      </c>
      <c r="I75" s="1" t="s">
        <v>36</v>
      </c>
      <c r="J75">
        <v>96</v>
      </c>
      <c r="K75">
        <v>2</v>
      </c>
      <c r="L75" s="1" t="s">
        <v>43</v>
      </c>
      <c r="M75">
        <v>66</v>
      </c>
      <c r="N75">
        <v>3</v>
      </c>
      <c r="O75">
        <v>2</v>
      </c>
      <c r="P75" s="1" t="s">
        <v>44</v>
      </c>
      <c r="Q75">
        <v>2</v>
      </c>
      <c r="R75" s="1" t="s">
        <v>45</v>
      </c>
      <c r="S75">
        <v>6220</v>
      </c>
      <c r="T75">
        <v>7346</v>
      </c>
      <c r="U75">
        <v>1</v>
      </c>
      <c r="V75" s="1" t="s">
        <v>40</v>
      </c>
      <c r="W75">
        <v>17</v>
      </c>
      <c r="X75">
        <v>3</v>
      </c>
      <c r="Y75">
        <v>2</v>
      </c>
      <c r="Z75">
        <v>80</v>
      </c>
      <c r="AA75">
        <v>2</v>
      </c>
      <c r="AB75">
        <v>10</v>
      </c>
      <c r="AC75">
        <v>3</v>
      </c>
      <c r="AD75">
        <v>3</v>
      </c>
      <c r="AE75">
        <v>10</v>
      </c>
      <c r="AF75">
        <v>4</v>
      </c>
      <c r="AG75">
        <v>0</v>
      </c>
      <c r="AH75">
        <v>9</v>
      </c>
      <c r="AI75">
        <f>IF(tbl_HRData[[#This Row],[Attrition]] = "Yes",1,0)</f>
        <v>0</v>
      </c>
      <c r="AJ75">
        <f>IF(tbl_HRData[[#This Row],[Attrition]] = "No",1,0)</f>
        <v>1</v>
      </c>
      <c r="AK75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75" s="1" t="str">
        <f>IF(tbl_HRData[[#This Row],[MonthlyIncome]]&lt;5000,"Low",
IF(tbl_HRData[[#This Row],[MonthlyIncome]]&lt;10000,"Medium",
IF(tbl_HRData[[#This Row],[MonthlyIncome]]&lt;15000,"Upper Medium","High")))</f>
        <v>Medium</v>
      </c>
      <c r="AM75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76" spans="1:39" x14ac:dyDescent="0.35">
      <c r="A76" s="1">
        <v>75</v>
      </c>
      <c r="B76">
        <v>36</v>
      </c>
      <c r="C76" s="1" t="s">
        <v>40</v>
      </c>
      <c r="D76" s="1" t="s">
        <v>34</v>
      </c>
      <c r="E76">
        <v>132</v>
      </c>
      <c r="F76" s="1" t="s">
        <v>42</v>
      </c>
      <c r="G76">
        <v>6</v>
      </c>
      <c r="H76">
        <v>3</v>
      </c>
      <c r="I76" s="1" t="s">
        <v>36</v>
      </c>
      <c r="J76">
        <v>97</v>
      </c>
      <c r="K76">
        <v>2</v>
      </c>
      <c r="L76" s="1" t="s">
        <v>37</v>
      </c>
      <c r="M76">
        <v>55</v>
      </c>
      <c r="N76">
        <v>4</v>
      </c>
      <c r="O76">
        <v>1</v>
      </c>
      <c r="P76" s="1" t="s">
        <v>47</v>
      </c>
      <c r="Q76">
        <v>4</v>
      </c>
      <c r="R76" s="1" t="s">
        <v>45</v>
      </c>
      <c r="S76">
        <v>3038</v>
      </c>
      <c r="T76">
        <v>22002</v>
      </c>
      <c r="U76">
        <v>3</v>
      </c>
      <c r="V76" s="1" t="s">
        <v>40</v>
      </c>
      <c r="W76">
        <v>12</v>
      </c>
      <c r="X76">
        <v>3</v>
      </c>
      <c r="Y76">
        <v>2</v>
      </c>
      <c r="Z76">
        <v>80</v>
      </c>
      <c r="AA76">
        <v>0</v>
      </c>
      <c r="AB76">
        <v>5</v>
      </c>
      <c r="AC76">
        <v>3</v>
      </c>
      <c r="AD76">
        <v>3</v>
      </c>
      <c r="AE76">
        <v>1</v>
      </c>
      <c r="AF76">
        <v>0</v>
      </c>
      <c r="AG76">
        <v>0</v>
      </c>
      <c r="AH76">
        <v>0</v>
      </c>
      <c r="AI76">
        <f>IF(tbl_HRData[[#This Row],[Attrition]] = "Yes",1,0)</f>
        <v>0</v>
      </c>
      <c r="AJ76">
        <f>IF(tbl_HRData[[#This Row],[Attrition]] = "No",1,0)</f>
        <v>1</v>
      </c>
      <c r="AK76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76" s="1" t="str">
        <f>IF(tbl_HRData[[#This Row],[MonthlyIncome]]&lt;5000,"Low",
IF(tbl_HRData[[#This Row],[MonthlyIncome]]&lt;10000,"Medium",
IF(tbl_HRData[[#This Row],[MonthlyIncome]]&lt;15000,"Upper Medium","High")))</f>
        <v>Low</v>
      </c>
      <c r="AM76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77" spans="1:39" x14ac:dyDescent="0.35">
      <c r="A77" s="1">
        <v>76</v>
      </c>
      <c r="B77">
        <v>31</v>
      </c>
      <c r="C77" s="1" t="s">
        <v>40</v>
      </c>
      <c r="D77" s="1" t="s">
        <v>34</v>
      </c>
      <c r="E77">
        <v>746</v>
      </c>
      <c r="F77" s="1" t="s">
        <v>42</v>
      </c>
      <c r="G77">
        <v>8</v>
      </c>
      <c r="H77">
        <v>4</v>
      </c>
      <c r="I77" s="1" t="s">
        <v>36</v>
      </c>
      <c r="J77">
        <v>98</v>
      </c>
      <c r="K77">
        <v>3</v>
      </c>
      <c r="L77" s="1" t="s">
        <v>37</v>
      </c>
      <c r="M77">
        <v>61</v>
      </c>
      <c r="N77">
        <v>3</v>
      </c>
      <c r="O77">
        <v>2</v>
      </c>
      <c r="P77" s="1" t="s">
        <v>50</v>
      </c>
      <c r="Q77">
        <v>4</v>
      </c>
      <c r="R77" s="1" t="s">
        <v>39</v>
      </c>
      <c r="S77">
        <v>4424</v>
      </c>
      <c r="T77">
        <v>20682</v>
      </c>
      <c r="U77">
        <v>1</v>
      </c>
      <c r="V77" s="1" t="s">
        <v>40</v>
      </c>
      <c r="W77">
        <v>23</v>
      </c>
      <c r="X77">
        <v>4</v>
      </c>
      <c r="Y77">
        <v>4</v>
      </c>
      <c r="Z77">
        <v>80</v>
      </c>
      <c r="AA77">
        <v>0</v>
      </c>
      <c r="AB77">
        <v>11</v>
      </c>
      <c r="AC77">
        <v>2</v>
      </c>
      <c r="AD77">
        <v>3</v>
      </c>
      <c r="AE77">
        <v>11</v>
      </c>
      <c r="AF77">
        <v>7</v>
      </c>
      <c r="AG77">
        <v>1</v>
      </c>
      <c r="AH77">
        <v>8</v>
      </c>
      <c r="AI77">
        <f>IF(tbl_HRData[[#This Row],[Attrition]] = "Yes",1,0)</f>
        <v>0</v>
      </c>
      <c r="AJ77">
        <f>IF(tbl_HRData[[#This Row],[Attrition]] = "No",1,0)</f>
        <v>1</v>
      </c>
      <c r="AK77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77" s="1" t="str">
        <f>IF(tbl_HRData[[#This Row],[MonthlyIncome]]&lt;5000,"Low",
IF(tbl_HRData[[#This Row],[MonthlyIncome]]&lt;10000,"Medium",
IF(tbl_HRData[[#This Row],[MonthlyIncome]]&lt;15000,"Upper Medium","High")))</f>
        <v>Low</v>
      </c>
      <c r="AM77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78" spans="1:39" x14ac:dyDescent="0.35">
      <c r="A78" s="1">
        <v>77</v>
      </c>
      <c r="B78">
        <v>35</v>
      </c>
      <c r="C78" s="1" t="s">
        <v>40</v>
      </c>
      <c r="D78" s="1" t="s">
        <v>34</v>
      </c>
      <c r="E78">
        <v>776</v>
      </c>
      <c r="F78" s="1" t="s">
        <v>35</v>
      </c>
      <c r="G78">
        <v>1</v>
      </c>
      <c r="H78">
        <v>4</v>
      </c>
      <c r="I78" s="1" t="s">
        <v>56</v>
      </c>
      <c r="J78">
        <v>100</v>
      </c>
      <c r="K78">
        <v>3</v>
      </c>
      <c r="L78" s="1" t="s">
        <v>43</v>
      </c>
      <c r="M78">
        <v>32</v>
      </c>
      <c r="N78">
        <v>2</v>
      </c>
      <c r="O78">
        <v>2</v>
      </c>
      <c r="P78" s="1" t="s">
        <v>38</v>
      </c>
      <c r="Q78">
        <v>1</v>
      </c>
      <c r="R78" s="1" t="s">
        <v>39</v>
      </c>
      <c r="S78">
        <v>4312</v>
      </c>
      <c r="T78">
        <v>23016</v>
      </c>
      <c r="U78">
        <v>0</v>
      </c>
      <c r="V78" s="1" t="s">
        <v>40</v>
      </c>
      <c r="W78">
        <v>14</v>
      </c>
      <c r="X78">
        <v>3</v>
      </c>
      <c r="Y78">
        <v>2</v>
      </c>
      <c r="Z78">
        <v>80</v>
      </c>
      <c r="AA78">
        <v>0</v>
      </c>
      <c r="AB78">
        <v>16</v>
      </c>
      <c r="AC78">
        <v>2</v>
      </c>
      <c r="AD78">
        <v>3</v>
      </c>
      <c r="AE78">
        <v>15</v>
      </c>
      <c r="AF78">
        <v>13</v>
      </c>
      <c r="AG78">
        <v>2</v>
      </c>
      <c r="AH78">
        <v>8</v>
      </c>
      <c r="AI78">
        <f>IF(tbl_HRData[[#This Row],[Attrition]] = "Yes",1,0)</f>
        <v>0</v>
      </c>
      <c r="AJ78">
        <f>IF(tbl_HRData[[#This Row],[Attrition]] = "No",1,0)</f>
        <v>1</v>
      </c>
      <c r="AK78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78" s="1" t="str">
        <f>IF(tbl_HRData[[#This Row],[MonthlyIncome]]&lt;5000,"Low",
IF(tbl_HRData[[#This Row],[MonthlyIncome]]&lt;10000,"Medium",
IF(tbl_HRData[[#This Row],[MonthlyIncome]]&lt;15000,"Upper Medium","High")))</f>
        <v>Low</v>
      </c>
      <c r="AM78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79" spans="1:39" x14ac:dyDescent="0.35">
      <c r="A79" s="1">
        <v>78</v>
      </c>
      <c r="B79">
        <v>45</v>
      </c>
      <c r="C79" s="1" t="s">
        <v>40</v>
      </c>
      <c r="D79" s="1" t="s">
        <v>34</v>
      </c>
      <c r="E79">
        <v>193</v>
      </c>
      <c r="F79" s="1" t="s">
        <v>42</v>
      </c>
      <c r="G79">
        <v>6</v>
      </c>
      <c r="H79">
        <v>4</v>
      </c>
      <c r="I79" s="1" t="s">
        <v>46</v>
      </c>
      <c r="J79">
        <v>101</v>
      </c>
      <c r="K79">
        <v>4</v>
      </c>
      <c r="L79" s="1" t="s">
        <v>43</v>
      </c>
      <c r="M79">
        <v>52</v>
      </c>
      <c r="N79">
        <v>3</v>
      </c>
      <c r="O79">
        <v>3</v>
      </c>
      <c r="P79" s="1" t="s">
        <v>55</v>
      </c>
      <c r="Q79">
        <v>1</v>
      </c>
      <c r="R79" s="1" t="s">
        <v>45</v>
      </c>
      <c r="S79">
        <v>13245</v>
      </c>
      <c r="T79">
        <v>15067</v>
      </c>
      <c r="U79">
        <v>4</v>
      </c>
      <c r="V79" s="1" t="s">
        <v>33</v>
      </c>
      <c r="W79">
        <v>14</v>
      </c>
      <c r="X79">
        <v>3</v>
      </c>
      <c r="Y79">
        <v>2</v>
      </c>
      <c r="Z79">
        <v>80</v>
      </c>
      <c r="AA79">
        <v>0</v>
      </c>
      <c r="AB79">
        <v>17</v>
      </c>
      <c r="AC79">
        <v>3</v>
      </c>
      <c r="AD79">
        <v>4</v>
      </c>
      <c r="AE79">
        <v>0</v>
      </c>
      <c r="AF79">
        <v>0</v>
      </c>
      <c r="AG79">
        <v>0</v>
      </c>
      <c r="AH79">
        <v>0</v>
      </c>
      <c r="AI79">
        <f>IF(tbl_HRData[[#This Row],[Attrition]] = "Yes",1,0)</f>
        <v>0</v>
      </c>
      <c r="AJ79">
        <f>IF(tbl_HRData[[#This Row],[Attrition]] = "No",1,0)</f>
        <v>1</v>
      </c>
      <c r="AK79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79" s="1" t="str">
        <f>IF(tbl_HRData[[#This Row],[MonthlyIncome]]&lt;5000,"Low",
IF(tbl_HRData[[#This Row],[MonthlyIncome]]&lt;10000,"Medium",
IF(tbl_HRData[[#This Row],[MonthlyIncome]]&lt;15000,"Upper Medium","High")))</f>
        <v>Upper Medium</v>
      </c>
      <c r="AM79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80" spans="1:39" x14ac:dyDescent="0.35">
      <c r="A80" s="1">
        <v>79</v>
      </c>
      <c r="B80">
        <v>37</v>
      </c>
      <c r="C80" s="1" t="s">
        <v>40</v>
      </c>
      <c r="D80" s="1" t="s">
        <v>34</v>
      </c>
      <c r="E80">
        <v>397</v>
      </c>
      <c r="F80" s="1" t="s">
        <v>42</v>
      </c>
      <c r="G80">
        <v>7</v>
      </c>
      <c r="H80">
        <v>4</v>
      </c>
      <c r="I80" s="1" t="s">
        <v>48</v>
      </c>
      <c r="J80">
        <v>102</v>
      </c>
      <c r="K80">
        <v>1</v>
      </c>
      <c r="L80" s="1" t="s">
        <v>43</v>
      </c>
      <c r="M80">
        <v>30</v>
      </c>
      <c r="N80">
        <v>3</v>
      </c>
      <c r="O80">
        <v>3</v>
      </c>
      <c r="P80" s="1" t="s">
        <v>55</v>
      </c>
      <c r="Q80">
        <v>3</v>
      </c>
      <c r="R80" s="1" t="s">
        <v>39</v>
      </c>
      <c r="S80">
        <v>13664</v>
      </c>
      <c r="T80">
        <v>25258</v>
      </c>
      <c r="U80">
        <v>4</v>
      </c>
      <c r="V80" s="1" t="s">
        <v>40</v>
      </c>
      <c r="W80">
        <v>13</v>
      </c>
      <c r="X80">
        <v>3</v>
      </c>
      <c r="Y80">
        <v>1</v>
      </c>
      <c r="Z80">
        <v>80</v>
      </c>
      <c r="AA80">
        <v>0</v>
      </c>
      <c r="AB80">
        <v>16</v>
      </c>
      <c r="AC80">
        <v>3</v>
      </c>
      <c r="AD80">
        <v>4</v>
      </c>
      <c r="AE80">
        <v>5</v>
      </c>
      <c r="AF80">
        <v>2</v>
      </c>
      <c r="AG80">
        <v>0</v>
      </c>
      <c r="AH80">
        <v>2</v>
      </c>
      <c r="AI80">
        <f>IF(tbl_HRData[[#This Row],[Attrition]] = "Yes",1,0)</f>
        <v>0</v>
      </c>
      <c r="AJ80">
        <f>IF(tbl_HRData[[#This Row],[Attrition]] = "No",1,0)</f>
        <v>1</v>
      </c>
      <c r="AK80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80" s="1" t="str">
        <f>IF(tbl_HRData[[#This Row],[MonthlyIncome]]&lt;5000,"Low",
IF(tbl_HRData[[#This Row],[MonthlyIncome]]&lt;10000,"Medium",
IF(tbl_HRData[[#This Row],[MonthlyIncome]]&lt;15000,"Upper Medium","High")))</f>
        <v>Upper Medium</v>
      </c>
      <c r="AM80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81" spans="1:39" x14ac:dyDescent="0.35">
      <c r="A81" s="1">
        <v>80</v>
      </c>
      <c r="B81">
        <v>46</v>
      </c>
      <c r="C81" s="1" t="s">
        <v>40</v>
      </c>
      <c r="D81" s="1" t="s">
        <v>34</v>
      </c>
      <c r="E81">
        <v>945</v>
      </c>
      <c r="F81" s="1" t="s">
        <v>58</v>
      </c>
      <c r="G81">
        <v>5</v>
      </c>
      <c r="H81">
        <v>2</v>
      </c>
      <c r="I81" s="1" t="s">
        <v>48</v>
      </c>
      <c r="J81">
        <v>103</v>
      </c>
      <c r="K81">
        <v>2</v>
      </c>
      <c r="L81" s="1" t="s">
        <v>43</v>
      </c>
      <c r="M81">
        <v>80</v>
      </c>
      <c r="N81">
        <v>3</v>
      </c>
      <c r="O81">
        <v>2</v>
      </c>
      <c r="P81" s="1" t="s">
        <v>58</v>
      </c>
      <c r="Q81">
        <v>2</v>
      </c>
      <c r="R81" s="1" t="s">
        <v>49</v>
      </c>
      <c r="S81">
        <v>5021</v>
      </c>
      <c r="T81">
        <v>10425</v>
      </c>
      <c r="U81">
        <v>8</v>
      </c>
      <c r="V81" s="1" t="s">
        <v>33</v>
      </c>
      <c r="W81">
        <v>22</v>
      </c>
      <c r="X81">
        <v>4</v>
      </c>
      <c r="Y81">
        <v>4</v>
      </c>
      <c r="Z81">
        <v>80</v>
      </c>
      <c r="AA81">
        <v>1</v>
      </c>
      <c r="AB81">
        <v>16</v>
      </c>
      <c r="AC81">
        <v>2</v>
      </c>
      <c r="AD81">
        <v>3</v>
      </c>
      <c r="AE81">
        <v>4</v>
      </c>
      <c r="AF81">
        <v>2</v>
      </c>
      <c r="AG81">
        <v>0</v>
      </c>
      <c r="AH81">
        <v>2</v>
      </c>
      <c r="AI81">
        <f>IF(tbl_HRData[[#This Row],[Attrition]] = "Yes",1,0)</f>
        <v>0</v>
      </c>
      <c r="AJ81">
        <f>IF(tbl_HRData[[#This Row],[Attrition]] = "No",1,0)</f>
        <v>1</v>
      </c>
      <c r="AK81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81" s="1" t="str">
        <f>IF(tbl_HRData[[#This Row],[MonthlyIncome]]&lt;5000,"Low",
IF(tbl_HRData[[#This Row],[MonthlyIncome]]&lt;10000,"Medium",
IF(tbl_HRData[[#This Row],[MonthlyIncome]]&lt;15000,"Upper Medium","High")))</f>
        <v>Medium</v>
      </c>
      <c r="AM81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82" spans="1:39" x14ac:dyDescent="0.35">
      <c r="A82" s="1">
        <v>81</v>
      </c>
      <c r="B82">
        <v>30</v>
      </c>
      <c r="C82" s="1" t="s">
        <v>40</v>
      </c>
      <c r="D82" s="1" t="s">
        <v>34</v>
      </c>
      <c r="E82">
        <v>852</v>
      </c>
      <c r="F82" s="1" t="s">
        <v>42</v>
      </c>
      <c r="G82">
        <v>1</v>
      </c>
      <c r="H82">
        <v>1</v>
      </c>
      <c r="I82" s="1" t="s">
        <v>36</v>
      </c>
      <c r="J82">
        <v>104</v>
      </c>
      <c r="K82">
        <v>4</v>
      </c>
      <c r="L82" s="1" t="s">
        <v>43</v>
      </c>
      <c r="M82">
        <v>55</v>
      </c>
      <c r="N82">
        <v>2</v>
      </c>
      <c r="O82">
        <v>2</v>
      </c>
      <c r="P82" s="1" t="s">
        <v>47</v>
      </c>
      <c r="Q82">
        <v>4</v>
      </c>
      <c r="R82" s="1" t="s">
        <v>45</v>
      </c>
      <c r="S82">
        <v>5126</v>
      </c>
      <c r="T82">
        <v>15998</v>
      </c>
      <c r="U82">
        <v>1</v>
      </c>
      <c r="V82" s="1" t="s">
        <v>33</v>
      </c>
      <c r="W82">
        <v>12</v>
      </c>
      <c r="X82">
        <v>3</v>
      </c>
      <c r="Y82">
        <v>3</v>
      </c>
      <c r="Z82">
        <v>80</v>
      </c>
      <c r="AA82">
        <v>2</v>
      </c>
      <c r="AB82">
        <v>10</v>
      </c>
      <c r="AC82">
        <v>1</v>
      </c>
      <c r="AD82">
        <v>2</v>
      </c>
      <c r="AE82">
        <v>10</v>
      </c>
      <c r="AF82">
        <v>8</v>
      </c>
      <c r="AG82">
        <v>3</v>
      </c>
      <c r="AH82">
        <v>0</v>
      </c>
      <c r="AI82">
        <f>IF(tbl_HRData[[#This Row],[Attrition]] = "Yes",1,0)</f>
        <v>0</v>
      </c>
      <c r="AJ82">
        <f>IF(tbl_HRData[[#This Row],[Attrition]] = "No",1,0)</f>
        <v>1</v>
      </c>
      <c r="AK82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82" s="1" t="str">
        <f>IF(tbl_HRData[[#This Row],[MonthlyIncome]]&lt;5000,"Low",
IF(tbl_HRData[[#This Row],[MonthlyIncome]]&lt;10000,"Medium",
IF(tbl_HRData[[#This Row],[MonthlyIncome]]&lt;15000,"Upper Medium","High")))</f>
        <v>Medium</v>
      </c>
      <c r="AM82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83" spans="1:39" x14ac:dyDescent="0.35">
      <c r="A83" s="1">
        <v>82</v>
      </c>
      <c r="B83">
        <v>35</v>
      </c>
      <c r="C83" s="1" t="s">
        <v>40</v>
      </c>
      <c r="D83" s="1" t="s">
        <v>34</v>
      </c>
      <c r="E83">
        <v>1214</v>
      </c>
      <c r="F83" s="1" t="s">
        <v>42</v>
      </c>
      <c r="G83">
        <v>1</v>
      </c>
      <c r="H83">
        <v>3</v>
      </c>
      <c r="I83" s="1" t="s">
        <v>48</v>
      </c>
      <c r="J83">
        <v>105</v>
      </c>
      <c r="K83">
        <v>2</v>
      </c>
      <c r="L83" s="1" t="s">
        <v>43</v>
      </c>
      <c r="M83">
        <v>30</v>
      </c>
      <c r="N83">
        <v>2</v>
      </c>
      <c r="O83">
        <v>1</v>
      </c>
      <c r="P83" s="1" t="s">
        <v>44</v>
      </c>
      <c r="Q83">
        <v>3</v>
      </c>
      <c r="R83" s="1" t="s">
        <v>39</v>
      </c>
      <c r="S83">
        <v>2859</v>
      </c>
      <c r="T83">
        <v>26278</v>
      </c>
      <c r="U83">
        <v>1</v>
      </c>
      <c r="V83" s="1" t="s">
        <v>40</v>
      </c>
      <c r="W83">
        <v>18</v>
      </c>
      <c r="X83">
        <v>3</v>
      </c>
      <c r="Y83">
        <v>1</v>
      </c>
      <c r="Z83">
        <v>80</v>
      </c>
      <c r="AA83">
        <v>0</v>
      </c>
      <c r="AB83">
        <v>6</v>
      </c>
      <c r="AC83">
        <v>3</v>
      </c>
      <c r="AD83">
        <v>3</v>
      </c>
      <c r="AE83">
        <v>6</v>
      </c>
      <c r="AF83">
        <v>4</v>
      </c>
      <c r="AG83">
        <v>0</v>
      </c>
      <c r="AH83">
        <v>4</v>
      </c>
      <c r="AI83">
        <f>IF(tbl_HRData[[#This Row],[Attrition]] = "Yes",1,0)</f>
        <v>0</v>
      </c>
      <c r="AJ83">
        <f>IF(tbl_HRData[[#This Row],[Attrition]] = "No",1,0)</f>
        <v>1</v>
      </c>
      <c r="AK83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83" s="1" t="str">
        <f>IF(tbl_HRData[[#This Row],[MonthlyIncome]]&lt;5000,"Low",
IF(tbl_HRData[[#This Row],[MonthlyIncome]]&lt;10000,"Medium",
IF(tbl_HRData[[#This Row],[MonthlyIncome]]&lt;15000,"Upper Medium","High")))</f>
        <v>Low</v>
      </c>
      <c r="AM83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84" spans="1:39" x14ac:dyDescent="0.35">
      <c r="A84" s="1">
        <v>83</v>
      </c>
      <c r="B84">
        <v>55</v>
      </c>
      <c r="C84" s="1" t="s">
        <v>40</v>
      </c>
      <c r="D84" s="1" t="s">
        <v>34</v>
      </c>
      <c r="E84">
        <v>111</v>
      </c>
      <c r="F84" s="1" t="s">
        <v>35</v>
      </c>
      <c r="G84">
        <v>1</v>
      </c>
      <c r="H84">
        <v>2</v>
      </c>
      <c r="I84" s="1" t="s">
        <v>36</v>
      </c>
      <c r="J84">
        <v>106</v>
      </c>
      <c r="K84">
        <v>1</v>
      </c>
      <c r="L84" s="1" t="s">
        <v>43</v>
      </c>
      <c r="M84">
        <v>70</v>
      </c>
      <c r="N84">
        <v>3</v>
      </c>
      <c r="O84">
        <v>3</v>
      </c>
      <c r="P84" s="1" t="s">
        <v>38</v>
      </c>
      <c r="Q84">
        <v>4</v>
      </c>
      <c r="R84" s="1" t="s">
        <v>45</v>
      </c>
      <c r="S84">
        <v>10239</v>
      </c>
      <c r="T84">
        <v>18092</v>
      </c>
      <c r="U84">
        <v>3</v>
      </c>
      <c r="V84" s="1" t="s">
        <v>40</v>
      </c>
      <c r="W84">
        <v>14</v>
      </c>
      <c r="X84">
        <v>3</v>
      </c>
      <c r="Y84">
        <v>4</v>
      </c>
      <c r="Z84">
        <v>80</v>
      </c>
      <c r="AA84">
        <v>1</v>
      </c>
      <c r="AB84">
        <v>24</v>
      </c>
      <c r="AC84">
        <v>4</v>
      </c>
      <c r="AD84">
        <v>3</v>
      </c>
      <c r="AE84">
        <v>1</v>
      </c>
      <c r="AF84">
        <v>0</v>
      </c>
      <c r="AG84">
        <v>1</v>
      </c>
      <c r="AH84">
        <v>0</v>
      </c>
      <c r="AI84">
        <f>IF(tbl_HRData[[#This Row],[Attrition]] = "Yes",1,0)</f>
        <v>0</v>
      </c>
      <c r="AJ84">
        <f>IF(tbl_HRData[[#This Row],[Attrition]] = "No",1,0)</f>
        <v>1</v>
      </c>
      <c r="AK84" t="str">
        <f>IF(tbl_HRData[[#This Row],[Age]] &lt; 25, "Under 25", IF(tbl_HRData[[#This Row],[Age]] &lt;= 34, "25-34", IF(tbl_HRData[[#This Row],[Age]] &lt;= 44, "35-44", IF(tbl_HRData[[#This Row],[Age]] &lt;= 54, "45-54", "55+"))))</f>
        <v>55+</v>
      </c>
      <c r="AL84" s="1" t="str">
        <f>IF(tbl_HRData[[#This Row],[MonthlyIncome]]&lt;5000,"Low",
IF(tbl_HRData[[#This Row],[MonthlyIncome]]&lt;10000,"Medium",
IF(tbl_HRData[[#This Row],[MonthlyIncome]]&lt;15000,"Upper Medium","High")))</f>
        <v>Upper Medium</v>
      </c>
      <c r="AM84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85" spans="1:39" x14ac:dyDescent="0.35">
      <c r="A85" s="1">
        <v>84</v>
      </c>
      <c r="B85">
        <v>38</v>
      </c>
      <c r="C85" s="1" t="s">
        <v>40</v>
      </c>
      <c r="D85" s="1" t="s">
        <v>52</v>
      </c>
      <c r="E85">
        <v>573</v>
      </c>
      <c r="F85" s="1" t="s">
        <v>42</v>
      </c>
      <c r="G85">
        <v>6</v>
      </c>
      <c r="H85">
        <v>3</v>
      </c>
      <c r="I85" s="1" t="s">
        <v>48</v>
      </c>
      <c r="J85">
        <v>107</v>
      </c>
      <c r="K85">
        <v>2</v>
      </c>
      <c r="L85" s="1" t="s">
        <v>37</v>
      </c>
      <c r="M85">
        <v>79</v>
      </c>
      <c r="N85">
        <v>1</v>
      </c>
      <c r="O85">
        <v>2</v>
      </c>
      <c r="P85" s="1" t="s">
        <v>44</v>
      </c>
      <c r="Q85">
        <v>4</v>
      </c>
      <c r="R85" s="1" t="s">
        <v>49</v>
      </c>
      <c r="S85">
        <v>5329</v>
      </c>
      <c r="T85">
        <v>15717</v>
      </c>
      <c r="U85">
        <v>7</v>
      </c>
      <c r="V85" s="1" t="s">
        <v>33</v>
      </c>
      <c r="W85">
        <v>12</v>
      </c>
      <c r="X85">
        <v>3</v>
      </c>
      <c r="Y85">
        <v>4</v>
      </c>
      <c r="Z85">
        <v>80</v>
      </c>
      <c r="AA85">
        <v>3</v>
      </c>
      <c r="AB85">
        <v>17</v>
      </c>
      <c r="AC85">
        <v>3</v>
      </c>
      <c r="AD85">
        <v>3</v>
      </c>
      <c r="AE85">
        <v>13</v>
      </c>
      <c r="AF85">
        <v>11</v>
      </c>
      <c r="AG85">
        <v>1</v>
      </c>
      <c r="AH85">
        <v>9</v>
      </c>
      <c r="AI85">
        <f>IF(tbl_HRData[[#This Row],[Attrition]] = "Yes",1,0)</f>
        <v>0</v>
      </c>
      <c r="AJ85">
        <f>IF(tbl_HRData[[#This Row],[Attrition]] = "No",1,0)</f>
        <v>1</v>
      </c>
      <c r="AK85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85" s="1" t="str">
        <f>IF(tbl_HRData[[#This Row],[MonthlyIncome]]&lt;5000,"Low",
IF(tbl_HRData[[#This Row],[MonthlyIncome]]&lt;10000,"Medium",
IF(tbl_HRData[[#This Row],[MonthlyIncome]]&lt;15000,"Upper Medium","High")))</f>
        <v>Medium</v>
      </c>
      <c r="AM85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86" spans="1:39" x14ac:dyDescent="0.35">
      <c r="A86" s="1">
        <v>85</v>
      </c>
      <c r="B86">
        <v>34</v>
      </c>
      <c r="C86" s="1" t="s">
        <v>40</v>
      </c>
      <c r="D86" s="1" t="s">
        <v>34</v>
      </c>
      <c r="E86">
        <v>1153</v>
      </c>
      <c r="F86" s="1" t="s">
        <v>42</v>
      </c>
      <c r="G86">
        <v>1</v>
      </c>
      <c r="H86">
        <v>2</v>
      </c>
      <c r="I86" s="1" t="s">
        <v>48</v>
      </c>
      <c r="J86">
        <v>110</v>
      </c>
      <c r="K86">
        <v>1</v>
      </c>
      <c r="L86" s="1" t="s">
        <v>43</v>
      </c>
      <c r="M86">
        <v>94</v>
      </c>
      <c r="N86">
        <v>3</v>
      </c>
      <c r="O86">
        <v>2</v>
      </c>
      <c r="P86" s="1" t="s">
        <v>50</v>
      </c>
      <c r="Q86">
        <v>2</v>
      </c>
      <c r="R86" s="1" t="s">
        <v>45</v>
      </c>
      <c r="S86">
        <v>4325</v>
      </c>
      <c r="T86">
        <v>17736</v>
      </c>
      <c r="U86">
        <v>1</v>
      </c>
      <c r="V86" s="1" t="s">
        <v>40</v>
      </c>
      <c r="W86">
        <v>15</v>
      </c>
      <c r="X86">
        <v>3</v>
      </c>
      <c r="Y86">
        <v>3</v>
      </c>
      <c r="Z86">
        <v>80</v>
      </c>
      <c r="AA86">
        <v>0</v>
      </c>
      <c r="AB86">
        <v>5</v>
      </c>
      <c r="AC86">
        <v>2</v>
      </c>
      <c r="AD86">
        <v>3</v>
      </c>
      <c r="AE86">
        <v>5</v>
      </c>
      <c r="AF86">
        <v>2</v>
      </c>
      <c r="AG86">
        <v>1</v>
      </c>
      <c r="AH86">
        <v>3</v>
      </c>
      <c r="AI86">
        <f>IF(tbl_HRData[[#This Row],[Attrition]] = "Yes",1,0)</f>
        <v>0</v>
      </c>
      <c r="AJ86">
        <f>IF(tbl_HRData[[#This Row],[Attrition]] = "No",1,0)</f>
        <v>1</v>
      </c>
      <c r="AK86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86" s="1" t="str">
        <f>IF(tbl_HRData[[#This Row],[MonthlyIncome]]&lt;5000,"Low",
IF(tbl_HRData[[#This Row],[MonthlyIncome]]&lt;10000,"Medium",
IF(tbl_HRData[[#This Row],[MonthlyIncome]]&lt;15000,"Upper Medium","High")))</f>
        <v>Low</v>
      </c>
      <c r="AM86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87" spans="1:39" x14ac:dyDescent="0.35">
      <c r="A87" s="1">
        <v>86</v>
      </c>
      <c r="B87">
        <v>56</v>
      </c>
      <c r="C87" s="1" t="s">
        <v>40</v>
      </c>
      <c r="D87" s="1" t="s">
        <v>34</v>
      </c>
      <c r="E87">
        <v>1400</v>
      </c>
      <c r="F87" s="1" t="s">
        <v>42</v>
      </c>
      <c r="G87">
        <v>7</v>
      </c>
      <c r="H87">
        <v>3</v>
      </c>
      <c r="I87" s="1" t="s">
        <v>36</v>
      </c>
      <c r="J87">
        <v>112</v>
      </c>
      <c r="K87">
        <v>4</v>
      </c>
      <c r="L87" s="1" t="s">
        <v>43</v>
      </c>
      <c r="M87">
        <v>49</v>
      </c>
      <c r="N87">
        <v>1</v>
      </c>
      <c r="O87">
        <v>3</v>
      </c>
      <c r="P87" s="1" t="s">
        <v>50</v>
      </c>
      <c r="Q87">
        <v>4</v>
      </c>
      <c r="R87" s="1" t="s">
        <v>39</v>
      </c>
      <c r="S87">
        <v>7260</v>
      </c>
      <c r="T87">
        <v>21698</v>
      </c>
      <c r="U87">
        <v>4</v>
      </c>
      <c r="V87" s="1" t="s">
        <v>40</v>
      </c>
      <c r="W87">
        <v>11</v>
      </c>
      <c r="X87">
        <v>3</v>
      </c>
      <c r="Y87">
        <v>1</v>
      </c>
      <c r="Z87">
        <v>80</v>
      </c>
      <c r="AA87">
        <v>0</v>
      </c>
      <c r="AB87">
        <v>37</v>
      </c>
      <c r="AC87">
        <v>3</v>
      </c>
      <c r="AD87">
        <v>2</v>
      </c>
      <c r="AE87">
        <v>6</v>
      </c>
      <c r="AF87">
        <v>4</v>
      </c>
      <c r="AG87">
        <v>0</v>
      </c>
      <c r="AH87">
        <v>2</v>
      </c>
      <c r="AI87">
        <f>IF(tbl_HRData[[#This Row],[Attrition]] = "Yes",1,0)</f>
        <v>0</v>
      </c>
      <c r="AJ87">
        <f>IF(tbl_HRData[[#This Row],[Attrition]] = "No",1,0)</f>
        <v>1</v>
      </c>
      <c r="AK87" t="str">
        <f>IF(tbl_HRData[[#This Row],[Age]] &lt; 25, "Under 25", IF(tbl_HRData[[#This Row],[Age]] &lt;= 34, "25-34", IF(tbl_HRData[[#This Row],[Age]] &lt;= 44, "35-44", IF(tbl_HRData[[#This Row],[Age]] &lt;= 54, "45-54", "55+"))))</f>
        <v>55+</v>
      </c>
      <c r="AL87" s="1" t="str">
        <f>IF(tbl_HRData[[#This Row],[MonthlyIncome]]&lt;5000,"Low",
IF(tbl_HRData[[#This Row],[MonthlyIncome]]&lt;10000,"Medium",
IF(tbl_HRData[[#This Row],[MonthlyIncome]]&lt;15000,"Upper Medium","High")))</f>
        <v>Medium</v>
      </c>
      <c r="AM87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88" spans="1:39" x14ac:dyDescent="0.35">
      <c r="A88" s="1">
        <v>87</v>
      </c>
      <c r="B88">
        <v>23</v>
      </c>
      <c r="C88" s="1" t="s">
        <v>40</v>
      </c>
      <c r="D88" s="1" t="s">
        <v>34</v>
      </c>
      <c r="E88">
        <v>541</v>
      </c>
      <c r="F88" s="1" t="s">
        <v>35</v>
      </c>
      <c r="G88">
        <v>2</v>
      </c>
      <c r="H88">
        <v>1</v>
      </c>
      <c r="I88" s="1" t="s">
        <v>57</v>
      </c>
      <c r="J88">
        <v>113</v>
      </c>
      <c r="K88">
        <v>3</v>
      </c>
      <c r="L88" s="1" t="s">
        <v>43</v>
      </c>
      <c r="M88">
        <v>62</v>
      </c>
      <c r="N88">
        <v>3</v>
      </c>
      <c r="O88">
        <v>1</v>
      </c>
      <c r="P88" s="1" t="s">
        <v>54</v>
      </c>
      <c r="Q88">
        <v>1</v>
      </c>
      <c r="R88" s="1" t="s">
        <v>49</v>
      </c>
      <c r="S88">
        <v>2322</v>
      </c>
      <c r="T88">
        <v>9518</v>
      </c>
      <c r="U88">
        <v>3</v>
      </c>
      <c r="V88" s="1" t="s">
        <v>40</v>
      </c>
      <c r="W88">
        <v>13</v>
      </c>
      <c r="X88">
        <v>3</v>
      </c>
      <c r="Y88">
        <v>3</v>
      </c>
      <c r="Z88">
        <v>80</v>
      </c>
      <c r="AA88">
        <v>1</v>
      </c>
      <c r="AB88">
        <v>3</v>
      </c>
      <c r="AC88">
        <v>3</v>
      </c>
      <c r="AD88">
        <v>3</v>
      </c>
      <c r="AE88">
        <v>0</v>
      </c>
      <c r="AF88">
        <v>0</v>
      </c>
      <c r="AG88">
        <v>0</v>
      </c>
      <c r="AH88">
        <v>0</v>
      </c>
      <c r="AI88">
        <f>IF(tbl_HRData[[#This Row],[Attrition]] = "Yes",1,0)</f>
        <v>0</v>
      </c>
      <c r="AJ88">
        <f>IF(tbl_HRData[[#This Row],[Attrition]] = "No",1,0)</f>
        <v>1</v>
      </c>
      <c r="AK88" t="str">
        <f>IF(tbl_HRData[[#This Row],[Age]] &lt; 25, "Under 25", IF(tbl_HRData[[#This Row],[Age]] &lt;= 34, "25-34", IF(tbl_HRData[[#This Row],[Age]] &lt;= 44, "35-44", IF(tbl_HRData[[#This Row],[Age]] &lt;= 54, "45-54", "55+"))))</f>
        <v>Under 25</v>
      </c>
      <c r="AL88" s="1" t="str">
        <f>IF(tbl_HRData[[#This Row],[MonthlyIncome]]&lt;5000,"Low",
IF(tbl_HRData[[#This Row],[MonthlyIncome]]&lt;10000,"Medium",
IF(tbl_HRData[[#This Row],[MonthlyIncome]]&lt;15000,"Upper Medium","High")))</f>
        <v>Low</v>
      </c>
      <c r="AM88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89" spans="1:39" x14ac:dyDescent="0.35">
      <c r="A89" s="1">
        <v>88</v>
      </c>
      <c r="B89">
        <v>51</v>
      </c>
      <c r="C89" s="1" t="s">
        <v>40</v>
      </c>
      <c r="D89" s="1" t="s">
        <v>34</v>
      </c>
      <c r="E89">
        <v>432</v>
      </c>
      <c r="F89" s="1" t="s">
        <v>42</v>
      </c>
      <c r="G89">
        <v>9</v>
      </c>
      <c r="H89">
        <v>4</v>
      </c>
      <c r="I89" s="1" t="s">
        <v>36</v>
      </c>
      <c r="J89">
        <v>116</v>
      </c>
      <c r="K89">
        <v>4</v>
      </c>
      <c r="L89" s="1" t="s">
        <v>43</v>
      </c>
      <c r="M89">
        <v>96</v>
      </c>
      <c r="N89">
        <v>3</v>
      </c>
      <c r="O89">
        <v>1</v>
      </c>
      <c r="P89" s="1" t="s">
        <v>47</v>
      </c>
      <c r="Q89">
        <v>4</v>
      </c>
      <c r="R89" s="1" t="s">
        <v>45</v>
      </c>
      <c r="S89">
        <v>2075</v>
      </c>
      <c r="T89">
        <v>18725</v>
      </c>
      <c r="U89">
        <v>3</v>
      </c>
      <c r="V89" s="1" t="s">
        <v>40</v>
      </c>
      <c r="W89">
        <v>23</v>
      </c>
      <c r="X89">
        <v>4</v>
      </c>
      <c r="Y89">
        <v>2</v>
      </c>
      <c r="Z89">
        <v>80</v>
      </c>
      <c r="AA89">
        <v>2</v>
      </c>
      <c r="AB89">
        <v>10</v>
      </c>
      <c r="AC89">
        <v>4</v>
      </c>
      <c r="AD89">
        <v>3</v>
      </c>
      <c r="AE89">
        <v>4</v>
      </c>
      <c r="AF89">
        <v>2</v>
      </c>
      <c r="AG89">
        <v>0</v>
      </c>
      <c r="AH89">
        <v>3</v>
      </c>
      <c r="AI89">
        <f>IF(tbl_HRData[[#This Row],[Attrition]] = "Yes",1,0)</f>
        <v>0</v>
      </c>
      <c r="AJ89">
        <f>IF(tbl_HRData[[#This Row],[Attrition]] = "No",1,0)</f>
        <v>1</v>
      </c>
      <c r="AK89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89" s="1" t="str">
        <f>IF(tbl_HRData[[#This Row],[MonthlyIncome]]&lt;5000,"Low",
IF(tbl_HRData[[#This Row],[MonthlyIncome]]&lt;10000,"Medium",
IF(tbl_HRData[[#This Row],[MonthlyIncome]]&lt;15000,"Upper Medium","High")))</f>
        <v>Low</v>
      </c>
      <c r="AM89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90" spans="1:39" x14ac:dyDescent="0.35">
      <c r="A90" s="1">
        <v>89</v>
      </c>
      <c r="B90">
        <v>30</v>
      </c>
      <c r="C90" s="1" t="s">
        <v>40</v>
      </c>
      <c r="D90" s="1" t="s">
        <v>34</v>
      </c>
      <c r="E90">
        <v>288</v>
      </c>
      <c r="F90" s="1" t="s">
        <v>42</v>
      </c>
      <c r="G90">
        <v>2</v>
      </c>
      <c r="H90">
        <v>3</v>
      </c>
      <c r="I90" s="1" t="s">
        <v>36</v>
      </c>
      <c r="J90">
        <v>117</v>
      </c>
      <c r="K90">
        <v>3</v>
      </c>
      <c r="L90" s="1" t="s">
        <v>43</v>
      </c>
      <c r="M90">
        <v>99</v>
      </c>
      <c r="N90">
        <v>2</v>
      </c>
      <c r="O90">
        <v>2</v>
      </c>
      <c r="P90" s="1" t="s">
        <v>51</v>
      </c>
      <c r="Q90">
        <v>4</v>
      </c>
      <c r="R90" s="1" t="s">
        <v>45</v>
      </c>
      <c r="S90">
        <v>4152</v>
      </c>
      <c r="T90">
        <v>15830</v>
      </c>
      <c r="U90">
        <v>1</v>
      </c>
      <c r="V90" s="1" t="s">
        <v>40</v>
      </c>
      <c r="W90">
        <v>19</v>
      </c>
      <c r="X90">
        <v>3</v>
      </c>
      <c r="Y90">
        <v>1</v>
      </c>
      <c r="Z90">
        <v>80</v>
      </c>
      <c r="AA90">
        <v>3</v>
      </c>
      <c r="AB90">
        <v>11</v>
      </c>
      <c r="AC90">
        <v>3</v>
      </c>
      <c r="AD90">
        <v>3</v>
      </c>
      <c r="AE90">
        <v>11</v>
      </c>
      <c r="AF90">
        <v>10</v>
      </c>
      <c r="AG90">
        <v>10</v>
      </c>
      <c r="AH90">
        <v>8</v>
      </c>
      <c r="AI90">
        <f>IF(tbl_HRData[[#This Row],[Attrition]] = "Yes",1,0)</f>
        <v>0</v>
      </c>
      <c r="AJ90">
        <f>IF(tbl_HRData[[#This Row],[Attrition]] = "No",1,0)</f>
        <v>1</v>
      </c>
      <c r="AK90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90" s="1" t="str">
        <f>IF(tbl_HRData[[#This Row],[MonthlyIncome]]&lt;5000,"Low",
IF(tbl_HRData[[#This Row],[MonthlyIncome]]&lt;10000,"Medium",
IF(tbl_HRData[[#This Row],[MonthlyIncome]]&lt;15000,"Upper Medium","High")))</f>
        <v>Low</v>
      </c>
      <c r="AM90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91" spans="1:39" x14ac:dyDescent="0.35">
      <c r="A91" s="1">
        <v>90</v>
      </c>
      <c r="B91">
        <v>46</v>
      </c>
      <c r="C91" s="1" t="s">
        <v>33</v>
      </c>
      <c r="D91" s="1" t="s">
        <v>34</v>
      </c>
      <c r="E91">
        <v>669</v>
      </c>
      <c r="F91" s="1" t="s">
        <v>35</v>
      </c>
      <c r="G91">
        <v>9</v>
      </c>
      <c r="H91">
        <v>2</v>
      </c>
      <c r="I91" s="1" t="s">
        <v>48</v>
      </c>
      <c r="J91">
        <v>118</v>
      </c>
      <c r="K91">
        <v>3</v>
      </c>
      <c r="L91" s="1" t="s">
        <v>43</v>
      </c>
      <c r="M91">
        <v>64</v>
      </c>
      <c r="N91">
        <v>2</v>
      </c>
      <c r="O91">
        <v>3</v>
      </c>
      <c r="P91" s="1" t="s">
        <v>38</v>
      </c>
      <c r="Q91">
        <v>4</v>
      </c>
      <c r="R91" s="1" t="s">
        <v>39</v>
      </c>
      <c r="S91">
        <v>9619</v>
      </c>
      <c r="T91">
        <v>13596</v>
      </c>
      <c r="U91">
        <v>1</v>
      </c>
      <c r="V91" s="1" t="s">
        <v>40</v>
      </c>
      <c r="W91">
        <v>16</v>
      </c>
      <c r="X91">
        <v>3</v>
      </c>
      <c r="Y91">
        <v>4</v>
      </c>
      <c r="Z91">
        <v>80</v>
      </c>
      <c r="AA91">
        <v>0</v>
      </c>
      <c r="AB91">
        <v>9</v>
      </c>
      <c r="AC91">
        <v>3</v>
      </c>
      <c r="AD91">
        <v>3</v>
      </c>
      <c r="AE91">
        <v>9</v>
      </c>
      <c r="AF91">
        <v>8</v>
      </c>
      <c r="AG91">
        <v>4</v>
      </c>
      <c r="AH91">
        <v>7</v>
      </c>
      <c r="AI91">
        <f>IF(tbl_HRData[[#This Row],[Attrition]] = "Yes",1,0)</f>
        <v>1</v>
      </c>
      <c r="AJ91">
        <f>IF(tbl_HRData[[#This Row],[Attrition]] = "No",1,0)</f>
        <v>0</v>
      </c>
      <c r="AK91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91" s="1" t="str">
        <f>IF(tbl_HRData[[#This Row],[MonthlyIncome]]&lt;5000,"Low",
IF(tbl_HRData[[#This Row],[MonthlyIncome]]&lt;10000,"Medium",
IF(tbl_HRData[[#This Row],[MonthlyIncome]]&lt;15000,"Upper Medium","High")))</f>
        <v>Medium</v>
      </c>
      <c r="AM91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92" spans="1:39" x14ac:dyDescent="0.35">
      <c r="A92" s="1">
        <v>91</v>
      </c>
      <c r="B92">
        <v>40</v>
      </c>
      <c r="C92" s="1" t="s">
        <v>40</v>
      </c>
      <c r="D92" s="1" t="s">
        <v>41</v>
      </c>
      <c r="E92">
        <v>530</v>
      </c>
      <c r="F92" s="1" t="s">
        <v>42</v>
      </c>
      <c r="G92">
        <v>1</v>
      </c>
      <c r="H92">
        <v>4</v>
      </c>
      <c r="I92" s="1" t="s">
        <v>36</v>
      </c>
      <c r="J92">
        <v>119</v>
      </c>
      <c r="K92">
        <v>3</v>
      </c>
      <c r="L92" s="1" t="s">
        <v>43</v>
      </c>
      <c r="M92">
        <v>78</v>
      </c>
      <c r="N92">
        <v>2</v>
      </c>
      <c r="O92">
        <v>4</v>
      </c>
      <c r="P92" s="1" t="s">
        <v>51</v>
      </c>
      <c r="Q92">
        <v>2</v>
      </c>
      <c r="R92" s="1" t="s">
        <v>45</v>
      </c>
      <c r="S92">
        <v>13503</v>
      </c>
      <c r="T92">
        <v>14115</v>
      </c>
      <c r="U92">
        <v>1</v>
      </c>
      <c r="V92" s="1" t="s">
        <v>40</v>
      </c>
      <c r="W92">
        <v>22</v>
      </c>
      <c r="X92">
        <v>4</v>
      </c>
      <c r="Y92">
        <v>4</v>
      </c>
      <c r="Z92">
        <v>80</v>
      </c>
      <c r="AA92">
        <v>1</v>
      </c>
      <c r="AB92">
        <v>22</v>
      </c>
      <c r="AC92">
        <v>3</v>
      </c>
      <c r="AD92">
        <v>2</v>
      </c>
      <c r="AE92">
        <v>22</v>
      </c>
      <c r="AF92">
        <v>3</v>
      </c>
      <c r="AG92">
        <v>11</v>
      </c>
      <c r="AH92">
        <v>11</v>
      </c>
      <c r="AI92">
        <f>IF(tbl_HRData[[#This Row],[Attrition]] = "Yes",1,0)</f>
        <v>0</v>
      </c>
      <c r="AJ92">
        <f>IF(tbl_HRData[[#This Row],[Attrition]] = "No",1,0)</f>
        <v>1</v>
      </c>
      <c r="AK92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92" s="1" t="str">
        <f>IF(tbl_HRData[[#This Row],[MonthlyIncome]]&lt;5000,"Low",
IF(tbl_HRData[[#This Row],[MonthlyIncome]]&lt;10000,"Medium",
IF(tbl_HRData[[#This Row],[MonthlyIncome]]&lt;15000,"Upper Medium","High")))</f>
        <v>Upper Medium</v>
      </c>
      <c r="AM92" s="1" t="str">
        <f>IF(tbl_HRData[[#This Row],[YearsAtCompany]]&lt;=5,"0-5 Years",
IF(tbl_HRData[[#This Row],[YearsAtCompany]]&lt;=10,"6-10 Years",
IF(tbl_HRData[[#This Row],[YearsAtCompany]]&lt;=20,"11-20 Years","21+ Years")))</f>
        <v>21+ Years</v>
      </c>
    </row>
    <row r="93" spans="1:39" x14ac:dyDescent="0.35">
      <c r="A93" s="1">
        <v>92</v>
      </c>
      <c r="B93">
        <v>51</v>
      </c>
      <c r="C93" s="1" t="s">
        <v>40</v>
      </c>
      <c r="D93" s="1" t="s">
        <v>34</v>
      </c>
      <c r="E93">
        <v>632</v>
      </c>
      <c r="F93" s="1" t="s">
        <v>35</v>
      </c>
      <c r="G93">
        <v>21</v>
      </c>
      <c r="H93">
        <v>4</v>
      </c>
      <c r="I93" s="1" t="s">
        <v>56</v>
      </c>
      <c r="J93">
        <v>120</v>
      </c>
      <c r="K93">
        <v>3</v>
      </c>
      <c r="L93" s="1" t="s">
        <v>43</v>
      </c>
      <c r="M93">
        <v>71</v>
      </c>
      <c r="N93">
        <v>3</v>
      </c>
      <c r="O93">
        <v>2</v>
      </c>
      <c r="P93" s="1" t="s">
        <v>38</v>
      </c>
      <c r="Q93">
        <v>4</v>
      </c>
      <c r="R93" s="1" t="s">
        <v>39</v>
      </c>
      <c r="S93">
        <v>5441</v>
      </c>
      <c r="T93">
        <v>8423</v>
      </c>
      <c r="U93">
        <v>0</v>
      </c>
      <c r="V93" s="1" t="s">
        <v>33</v>
      </c>
      <c r="W93">
        <v>22</v>
      </c>
      <c r="X93">
        <v>4</v>
      </c>
      <c r="Y93">
        <v>4</v>
      </c>
      <c r="Z93">
        <v>80</v>
      </c>
      <c r="AA93">
        <v>0</v>
      </c>
      <c r="AB93">
        <v>11</v>
      </c>
      <c r="AC93">
        <v>2</v>
      </c>
      <c r="AD93">
        <v>1</v>
      </c>
      <c r="AE93">
        <v>10</v>
      </c>
      <c r="AF93">
        <v>7</v>
      </c>
      <c r="AG93">
        <v>1</v>
      </c>
      <c r="AH93">
        <v>0</v>
      </c>
      <c r="AI93">
        <f>IF(tbl_HRData[[#This Row],[Attrition]] = "Yes",1,0)</f>
        <v>0</v>
      </c>
      <c r="AJ93">
        <f>IF(tbl_HRData[[#This Row],[Attrition]] = "No",1,0)</f>
        <v>1</v>
      </c>
      <c r="AK93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93" s="1" t="str">
        <f>IF(tbl_HRData[[#This Row],[MonthlyIncome]]&lt;5000,"Low",
IF(tbl_HRData[[#This Row],[MonthlyIncome]]&lt;10000,"Medium",
IF(tbl_HRData[[#This Row],[MonthlyIncome]]&lt;15000,"Upper Medium","High")))</f>
        <v>Medium</v>
      </c>
      <c r="AM93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94" spans="1:39" x14ac:dyDescent="0.35">
      <c r="A94" s="1">
        <v>93</v>
      </c>
      <c r="B94">
        <v>30</v>
      </c>
      <c r="C94" s="1" t="s">
        <v>40</v>
      </c>
      <c r="D94" s="1" t="s">
        <v>34</v>
      </c>
      <c r="E94">
        <v>1334</v>
      </c>
      <c r="F94" s="1" t="s">
        <v>35</v>
      </c>
      <c r="G94">
        <v>4</v>
      </c>
      <c r="H94">
        <v>2</v>
      </c>
      <c r="I94" s="1" t="s">
        <v>48</v>
      </c>
      <c r="J94">
        <v>121</v>
      </c>
      <c r="K94">
        <v>3</v>
      </c>
      <c r="L94" s="1" t="s">
        <v>37</v>
      </c>
      <c r="M94">
        <v>63</v>
      </c>
      <c r="N94">
        <v>2</v>
      </c>
      <c r="O94">
        <v>2</v>
      </c>
      <c r="P94" s="1" t="s">
        <v>38</v>
      </c>
      <c r="Q94">
        <v>2</v>
      </c>
      <c r="R94" s="1" t="s">
        <v>49</v>
      </c>
      <c r="S94">
        <v>5209</v>
      </c>
      <c r="T94">
        <v>19760</v>
      </c>
      <c r="U94">
        <v>1</v>
      </c>
      <c r="V94" s="1" t="s">
        <v>33</v>
      </c>
      <c r="W94">
        <v>12</v>
      </c>
      <c r="X94">
        <v>3</v>
      </c>
      <c r="Y94">
        <v>2</v>
      </c>
      <c r="Z94">
        <v>80</v>
      </c>
      <c r="AA94">
        <v>3</v>
      </c>
      <c r="AB94">
        <v>11</v>
      </c>
      <c r="AC94">
        <v>4</v>
      </c>
      <c r="AD94">
        <v>2</v>
      </c>
      <c r="AE94">
        <v>11</v>
      </c>
      <c r="AF94">
        <v>8</v>
      </c>
      <c r="AG94">
        <v>2</v>
      </c>
      <c r="AH94">
        <v>7</v>
      </c>
      <c r="AI94">
        <f>IF(tbl_HRData[[#This Row],[Attrition]] = "Yes",1,0)</f>
        <v>0</v>
      </c>
      <c r="AJ94">
        <f>IF(tbl_HRData[[#This Row],[Attrition]] = "No",1,0)</f>
        <v>1</v>
      </c>
      <c r="AK94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94" s="1" t="str">
        <f>IF(tbl_HRData[[#This Row],[MonthlyIncome]]&lt;5000,"Low",
IF(tbl_HRData[[#This Row],[MonthlyIncome]]&lt;10000,"Medium",
IF(tbl_HRData[[#This Row],[MonthlyIncome]]&lt;15000,"Upper Medium","High")))</f>
        <v>Medium</v>
      </c>
      <c r="AM94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95" spans="1:39" x14ac:dyDescent="0.35">
      <c r="A95" s="1">
        <v>94</v>
      </c>
      <c r="B95">
        <v>46</v>
      </c>
      <c r="C95" s="1" t="s">
        <v>40</v>
      </c>
      <c r="D95" s="1" t="s">
        <v>41</v>
      </c>
      <c r="E95">
        <v>638</v>
      </c>
      <c r="F95" s="1" t="s">
        <v>42</v>
      </c>
      <c r="G95">
        <v>1</v>
      </c>
      <c r="H95">
        <v>3</v>
      </c>
      <c r="I95" s="1" t="s">
        <v>48</v>
      </c>
      <c r="J95">
        <v>124</v>
      </c>
      <c r="K95">
        <v>3</v>
      </c>
      <c r="L95" s="1" t="s">
        <v>43</v>
      </c>
      <c r="M95">
        <v>40</v>
      </c>
      <c r="N95">
        <v>2</v>
      </c>
      <c r="O95">
        <v>3</v>
      </c>
      <c r="P95" s="1" t="s">
        <v>51</v>
      </c>
      <c r="Q95">
        <v>1</v>
      </c>
      <c r="R95" s="1" t="s">
        <v>45</v>
      </c>
      <c r="S95">
        <v>10673</v>
      </c>
      <c r="T95">
        <v>3142</v>
      </c>
      <c r="U95">
        <v>2</v>
      </c>
      <c r="V95" s="1" t="s">
        <v>33</v>
      </c>
      <c r="W95">
        <v>13</v>
      </c>
      <c r="X95">
        <v>3</v>
      </c>
      <c r="Y95">
        <v>3</v>
      </c>
      <c r="Z95">
        <v>80</v>
      </c>
      <c r="AA95">
        <v>1</v>
      </c>
      <c r="AB95">
        <v>21</v>
      </c>
      <c r="AC95">
        <v>5</v>
      </c>
      <c r="AD95">
        <v>2</v>
      </c>
      <c r="AE95">
        <v>10</v>
      </c>
      <c r="AF95">
        <v>9</v>
      </c>
      <c r="AG95">
        <v>9</v>
      </c>
      <c r="AH95">
        <v>5</v>
      </c>
      <c r="AI95">
        <f>IF(tbl_HRData[[#This Row],[Attrition]] = "Yes",1,0)</f>
        <v>0</v>
      </c>
      <c r="AJ95">
        <f>IF(tbl_HRData[[#This Row],[Attrition]] = "No",1,0)</f>
        <v>1</v>
      </c>
      <c r="AK95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95" s="1" t="str">
        <f>IF(tbl_HRData[[#This Row],[MonthlyIncome]]&lt;5000,"Low",
IF(tbl_HRData[[#This Row],[MonthlyIncome]]&lt;10000,"Medium",
IF(tbl_HRData[[#This Row],[MonthlyIncome]]&lt;15000,"Upper Medium","High")))</f>
        <v>Upper Medium</v>
      </c>
      <c r="AM95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96" spans="1:39" x14ac:dyDescent="0.35">
      <c r="A96" s="1">
        <v>95</v>
      </c>
      <c r="B96">
        <v>32</v>
      </c>
      <c r="C96" s="1" t="s">
        <v>40</v>
      </c>
      <c r="D96" s="1" t="s">
        <v>34</v>
      </c>
      <c r="E96">
        <v>1093</v>
      </c>
      <c r="F96" s="1" t="s">
        <v>35</v>
      </c>
      <c r="G96">
        <v>6</v>
      </c>
      <c r="H96">
        <v>4</v>
      </c>
      <c r="I96" s="1" t="s">
        <v>48</v>
      </c>
      <c r="J96">
        <v>125</v>
      </c>
      <c r="K96">
        <v>2</v>
      </c>
      <c r="L96" s="1" t="s">
        <v>43</v>
      </c>
      <c r="M96">
        <v>87</v>
      </c>
      <c r="N96">
        <v>3</v>
      </c>
      <c r="O96">
        <v>2</v>
      </c>
      <c r="P96" s="1" t="s">
        <v>38</v>
      </c>
      <c r="Q96">
        <v>3</v>
      </c>
      <c r="R96" s="1" t="s">
        <v>39</v>
      </c>
      <c r="S96">
        <v>5010</v>
      </c>
      <c r="T96">
        <v>24301</v>
      </c>
      <c r="U96">
        <v>1</v>
      </c>
      <c r="V96" s="1" t="s">
        <v>40</v>
      </c>
      <c r="W96">
        <v>16</v>
      </c>
      <c r="X96">
        <v>3</v>
      </c>
      <c r="Y96">
        <v>1</v>
      </c>
      <c r="Z96">
        <v>80</v>
      </c>
      <c r="AA96">
        <v>0</v>
      </c>
      <c r="AB96">
        <v>12</v>
      </c>
      <c r="AC96">
        <v>0</v>
      </c>
      <c r="AD96">
        <v>3</v>
      </c>
      <c r="AE96">
        <v>11</v>
      </c>
      <c r="AF96">
        <v>8</v>
      </c>
      <c r="AG96">
        <v>5</v>
      </c>
      <c r="AH96">
        <v>7</v>
      </c>
      <c r="AI96">
        <f>IF(tbl_HRData[[#This Row],[Attrition]] = "Yes",1,0)</f>
        <v>0</v>
      </c>
      <c r="AJ96">
        <f>IF(tbl_HRData[[#This Row],[Attrition]] = "No",1,0)</f>
        <v>1</v>
      </c>
      <c r="AK96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96" s="1" t="str">
        <f>IF(tbl_HRData[[#This Row],[MonthlyIncome]]&lt;5000,"Low",
IF(tbl_HRData[[#This Row],[MonthlyIncome]]&lt;10000,"Medium",
IF(tbl_HRData[[#This Row],[MonthlyIncome]]&lt;15000,"Upper Medium","High")))</f>
        <v>Medium</v>
      </c>
      <c r="AM96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97" spans="1:39" x14ac:dyDescent="0.35">
      <c r="A97" s="1">
        <v>96</v>
      </c>
      <c r="B97">
        <v>54</v>
      </c>
      <c r="C97" s="1" t="s">
        <v>40</v>
      </c>
      <c r="D97" s="1" t="s">
        <v>34</v>
      </c>
      <c r="E97">
        <v>1217</v>
      </c>
      <c r="F97" s="1" t="s">
        <v>42</v>
      </c>
      <c r="G97">
        <v>2</v>
      </c>
      <c r="H97">
        <v>4</v>
      </c>
      <c r="I97" s="1" t="s">
        <v>57</v>
      </c>
      <c r="J97">
        <v>126</v>
      </c>
      <c r="K97">
        <v>1</v>
      </c>
      <c r="L97" s="1" t="s">
        <v>37</v>
      </c>
      <c r="M97">
        <v>60</v>
      </c>
      <c r="N97">
        <v>3</v>
      </c>
      <c r="O97">
        <v>3</v>
      </c>
      <c r="P97" s="1" t="s">
        <v>55</v>
      </c>
      <c r="Q97">
        <v>3</v>
      </c>
      <c r="R97" s="1" t="s">
        <v>45</v>
      </c>
      <c r="S97">
        <v>13549</v>
      </c>
      <c r="T97">
        <v>24001</v>
      </c>
      <c r="U97">
        <v>9</v>
      </c>
      <c r="V97" s="1" t="s">
        <v>40</v>
      </c>
      <c r="W97">
        <v>12</v>
      </c>
      <c r="X97">
        <v>3</v>
      </c>
      <c r="Y97">
        <v>1</v>
      </c>
      <c r="Z97">
        <v>80</v>
      </c>
      <c r="AA97">
        <v>1</v>
      </c>
      <c r="AB97">
        <v>16</v>
      </c>
      <c r="AC97">
        <v>5</v>
      </c>
      <c r="AD97">
        <v>1</v>
      </c>
      <c r="AE97">
        <v>4</v>
      </c>
      <c r="AF97">
        <v>3</v>
      </c>
      <c r="AG97">
        <v>0</v>
      </c>
      <c r="AH97">
        <v>3</v>
      </c>
      <c r="AI97">
        <f>IF(tbl_HRData[[#This Row],[Attrition]] = "Yes",1,0)</f>
        <v>0</v>
      </c>
      <c r="AJ97">
        <f>IF(tbl_HRData[[#This Row],[Attrition]] = "No",1,0)</f>
        <v>1</v>
      </c>
      <c r="AK97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97" s="1" t="str">
        <f>IF(tbl_HRData[[#This Row],[MonthlyIncome]]&lt;5000,"Low",
IF(tbl_HRData[[#This Row],[MonthlyIncome]]&lt;10000,"Medium",
IF(tbl_HRData[[#This Row],[MonthlyIncome]]&lt;15000,"Upper Medium","High")))</f>
        <v>Upper Medium</v>
      </c>
      <c r="AM97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98" spans="1:39" x14ac:dyDescent="0.35">
      <c r="A98" s="1">
        <v>97</v>
      </c>
      <c r="B98">
        <v>24</v>
      </c>
      <c r="C98" s="1" t="s">
        <v>40</v>
      </c>
      <c r="D98" s="1" t="s">
        <v>34</v>
      </c>
      <c r="E98">
        <v>1353</v>
      </c>
      <c r="F98" s="1" t="s">
        <v>35</v>
      </c>
      <c r="G98">
        <v>3</v>
      </c>
      <c r="H98">
        <v>2</v>
      </c>
      <c r="I98" s="1" t="s">
        <v>46</v>
      </c>
      <c r="J98">
        <v>128</v>
      </c>
      <c r="K98">
        <v>1</v>
      </c>
      <c r="L98" s="1" t="s">
        <v>37</v>
      </c>
      <c r="M98">
        <v>33</v>
      </c>
      <c r="N98">
        <v>3</v>
      </c>
      <c r="O98">
        <v>2</v>
      </c>
      <c r="P98" s="1" t="s">
        <v>38</v>
      </c>
      <c r="Q98">
        <v>3</v>
      </c>
      <c r="R98" s="1" t="s">
        <v>45</v>
      </c>
      <c r="S98">
        <v>4999</v>
      </c>
      <c r="T98">
        <v>17519</v>
      </c>
      <c r="U98">
        <v>0</v>
      </c>
      <c r="V98" s="1" t="s">
        <v>40</v>
      </c>
      <c r="W98">
        <v>21</v>
      </c>
      <c r="X98">
        <v>4</v>
      </c>
      <c r="Y98">
        <v>1</v>
      </c>
      <c r="Z98">
        <v>80</v>
      </c>
      <c r="AA98">
        <v>1</v>
      </c>
      <c r="AB98">
        <v>4</v>
      </c>
      <c r="AC98">
        <v>2</v>
      </c>
      <c r="AD98">
        <v>2</v>
      </c>
      <c r="AE98">
        <v>3</v>
      </c>
      <c r="AF98">
        <v>2</v>
      </c>
      <c r="AG98">
        <v>0</v>
      </c>
      <c r="AH98">
        <v>2</v>
      </c>
      <c r="AI98">
        <f>IF(tbl_HRData[[#This Row],[Attrition]] = "Yes",1,0)</f>
        <v>0</v>
      </c>
      <c r="AJ98">
        <f>IF(tbl_HRData[[#This Row],[Attrition]] = "No",1,0)</f>
        <v>1</v>
      </c>
      <c r="AK98" t="str">
        <f>IF(tbl_HRData[[#This Row],[Age]] &lt; 25, "Under 25", IF(tbl_HRData[[#This Row],[Age]] &lt;= 34, "25-34", IF(tbl_HRData[[#This Row],[Age]] &lt;= 44, "35-44", IF(tbl_HRData[[#This Row],[Age]] &lt;= 54, "45-54", "55+"))))</f>
        <v>Under 25</v>
      </c>
      <c r="AL98" s="1" t="str">
        <f>IF(tbl_HRData[[#This Row],[MonthlyIncome]]&lt;5000,"Low",
IF(tbl_HRData[[#This Row],[MonthlyIncome]]&lt;10000,"Medium",
IF(tbl_HRData[[#This Row],[MonthlyIncome]]&lt;15000,"Upper Medium","High")))</f>
        <v>Low</v>
      </c>
      <c r="AM98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99" spans="1:39" x14ac:dyDescent="0.35">
      <c r="A99" s="1">
        <v>98</v>
      </c>
      <c r="B99">
        <v>28</v>
      </c>
      <c r="C99" s="1" t="s">
        <v>40</v>
      </c>
      <c r="D99" s="1" t="s">
        <v>52</v>
      </c>
      <c r="E99">
        <v>120</v>
      </c>
      <c r="F99" s="1" t="s">
        <v>35</v>
      </c>
      <c r="G99">
        <v>4</v>
      </c>
      <c r="H99">
        <v>3</v>
      </c>
      <c r="I99" s="1" t="s">
        <v>48</v>
      </c>
      <c r="J99">
        <v>129</v>
      </c>
      <c r="K99">
        <v>2</v>
      </c>
      <c r="L99" s="1" t="s">
        <v>43</v>
      </c>
      <c r="M99">
        <v>43</v>
      </c>
      <c r="N99">
        <v>3</v>
      </c>
      <c r="O99">
        <v>2</v>
      </c>
      <c r="P99" s="1" t="s">
        <v>38</v>
      </c>
      <c r="Q99">
        <v>3</v>
      </c>
      <c r="R99" s="1" t="s">
        <v>45</v>
      </c>
      <c r="S99">
        <v>4221</v>
      </c>
      <c r="T99">
        <v>8863</v>
      </c>
      <c r="U99">
        <v>1</v>
      </c>
      <c r="V99" s="1" t="s">
        <v>40</v>
      </c>
      <c r="W99">
        <v>15</v>
      </c>
      <c r="X99">
        <v>3</v>
      </c>
      <c r="Y99">
        <v>2</v>
      </c>
      <c r="Z99">
        <v>80</v>
      </c>
      <c r="AA99">
        <v>0</v>
      </c>
      <c r="AB99">
        <v>5</v>
      </c>
      <c r="AC99">
        <v>3</v>
      </c>
      <c r="AD99">
        <v>4</v>
      </c>
      <c r="AE99">
        <v>5</v>
      </c>
      <c r="AF99">
        <v>4</v>
      </c>
      <c r="AG99">
        <v>0</v>
      </c>
      <c r="AH99">
        <v>4</v>
      </c>
      <c r="AI99">
        <f>IF(tbl_HRData[[#This Row],[Attrition]] = "Yes",1,0)</f>
        <v>0</v>
      </c>
      <c r="AJ99">
        <f>IF(tbl_HRData[[#This Row],[Attrition]] = "No",1,0)</f>
        <v>1</v>
      </c>
      <c r="AK99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99" s="1" t="str">
        <f>IF(tbl_HRData[[#This Row],[MonthlyIncome]]&lt;5000,"Low",
IF(tbl_HRData[[#This Row],[MonthlyIncome]]&lt;10000,"Medium",
IF(tbl_HRData[[#This Row],[MonthlyIncome]]&lt;15000,"Upper Medium","High")))</f>
        <v>Low</v>
      </c>
      <c r="AM99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00" spans="1:39" x14ac:dyDescent="0.35">
      <c r="A100" s="1">
        <v>99</v>
      </c>
      <c r="B100">
        <v>58</v>
      </c>
      <c r="C100" s="1" t="s">
        <v>40</v>
      </c>
      <c r="D100" s="1" t="s">
        <v>34</v>
      </c>
      <c r="E100">
        <v>682</v>
      </c>
      <c r="F100" s="1" t="s">
        <v>35</v>
      </c>
      <c r="G100">
        <v>10</v>
      </c>
      <c r="H100">
        <v>4</v>
      </c>
      <c r="I100" s="1" t="s">
        <v>48</v>
      </c>
      <c r="J100">
        <v>131</v>
      </c>
      <c r="K100">
        <v>4</v>
      </c>
      <c r="L100" s="1" t="s">
        <v>43</v>
      </c>
      <c r="M100">
        <v>37</v>
      </c>
      <c r="N100">
        <v>3</v>
      </c>
      <c r="O100">
        <v>4</v>
      </c>
      <c r="P100" s="1" t="s">
        <v>38</v>
      </c>
      <c r="Q100">
        <v>3</v>
      </c>
      <c r="R100" s="1" t="s">
        <v>39</v>
      </c>
      <c r="S100">
        <v>13872</v>
      </c>
      <c r="T100">
        <v>24409</v>
      </c>
      <c r="U100">
        <v>0</v>
      </c>
      <c r="V100" s="1" t="s">
        <v>40</v>
      </c>
      <c r="W100">
        <v>13</v>
      </c>
      <c r="X100">
        <v>3</v>
      </c>
      <c r="Y100">
        <v>3</v>
      </c>
      <c r="Z100">
        <v>80</v>
      </c>
      <c r="AA100">
        <v>0</v>
      </c>
      <c r="AB100">
        <v>38</v>
      </c>
      <c r="AC100">
        <v>1</v>
      </c>
      <c r="AD100">
        <v>2</v>
      </c>
      <c r="AE100">
        <v>37</v>
      </c>
      <c r="AF100">
        <v>10</v>
      </c>
      <c r="AG100">
        <v>1</v>
      </c>
      <c r="AH100">
        <v>8</v>
      </c>
      <c r="AI100">
        <f>IF(tbl_HRData[[#This Row],[Attrition]] = "Yes",1,0)</f>
        <v>0</v>
      </c>
      <c r="AJ100">
        <f>IF(tbl_HRData[[#This Row],[Attrition]] = "No",1,0)</f>
        <v>1</v>
      </c>
      <c r="AK100" t="str">
        <f>IF(tbl_HRData[[#This Row],[Age]] &lt; 25, "Under 25", IF(tbl_HRData[[#This Row],[Age]] &lt;= 34, "25-34", IF(tbl_HRData[[#This Row],[Age]] &lt;= 44, "35-44", IF(tbl_HRData[[#This Row],[Age]] &lt;= 54, "45-54", "55+"))))</f>
        <v>55+</v>
      </c>
      <c r="AL100" s="1" t="str">
        <f>IF(tbl_HRData[[#This Row],[MonthlyIncome]]&lt;5000,"Low",
IF(tbl_HRData[[#This Row],[MonthlyIncome]]&lt;10000,"Medium",
IF(tbl_HRData[[#This Row],[MonthlyIncome]]&lt;15000,"Upper Medium","High")))</f>
        <v>Upper Medium</v>
      </c>
      <c r="AM100" s="1" t="str">
        <f>IF(tbl_HRData[[#This Row],[YearsAtCompany]]&lt;=5,"0-5 Years",
IF(tbl_HRData[[#This Row],[YearsAtCompany]]&lt;=10,"6-10 Years",
IF(tbl_HRData[[#This Row],[YearsAtCompany]]&lt;=20,"11-20 Years","21+ Years")))</f>
        <v>21+ Years</v>
      </c>
    </row>
    <row r="101" spans="1:39" x14ac:dyDescent="0.35">
      <c r="A101" s="1">
        <v>100</v>
      </c>
      <c r="B101">
        <v>44</v>
      </c>
      <c r="C101" s="1" t="s">
        <v>40</v>
      </c>
      <c r="D101" s="1" t="s">
        <v>52</v>
      </c>
      <c r="E101">
        <v>489</v>
      </c>
      <c r="F101" s="1" t="s">
        <v>42</v>
      </c>
      <c r="G101">
        <v>23</v>
      </c>
      <c r="H101">
        <v>3</v>
      </c>
      <c r="I101" s="1" t="s">
        <v>48</v>
      </c>
      <c r="J101">
        <v>132</v>
      </c>
      <c r="K101">
        <v>2</v>
      </c>
      <c r="L101" s="1" t="s">
        <v>43</v>
      </c>
      <c r="M101">
        <v>67</v>
      </c>
      <c r="N101">
        <v>3</v>
      </c>
      <c r="O101">
        <v>2</v>
      </c>
      <c r="P101" s="1" t="s">
        <v>47</v>
      </c>
      <c r="Q101">
        <v>2</v>
      </c>
      <c r="R101" s="1" t="s">
        <v>45</v>
      </c>
      <c r="S101">
        <v>2042</v>
      </c>
      <c r="T101">
        <v>25043</v>
      </c>
      <c r="U101">
        <v>4</v>
      </c>
      <c r="V101" s="1" t="s">
        <v>40</v>
      </c>
      <c r="W101">
        <v>12</v>
      </c>
      <c r="X101">
        <v>3</v>
      </c>
      <c r="Y101">
        <v>3</v>
      </c>
      <c r="Z101">
        <v>80</v>
      </c>
      <c r="AA101">
        <v>1</v>
      </c>
      <c r="AB101">
        <v>17</v>
      </c>
      <c r="AC101">
        <v>3</v>
      </c>
      <c r="AD101">
        <v>4</v>
      </c>
      <c r="AE101">
        <v>3</v>
      </c>
      <c r="AF101">
        <v>2</v>
      </c>
      <c r="AG101">
        <v>1</v>
      </c>
      <c r="AH101">
        <v>2</v>
      </c>
      <c r="AI101">
        <f>IF(tbl_HRData[[#This Row],[Attrition]] = "Yes",1,0)</f>
        <v>0</v>
      </c>
      <c r="AJ101">
        <f>IF(tbl_HRData[[#This Row],[Attrition]] = "No",1,0)</f>
        <v>1</v>
      </c>
      <c r="AK101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01" s="1" t="str">
        <f>IF(tbl_HRData[[#This Row],[MonthlyIncome]]&lt;5000,"Low",
IF(tbl_HRData[[#This Row],[MonthlyIncome]]&lt;10000,"Medium",
IF(tbl_HRData[[#This Row],[MonthlyIncome]]&lt;15000,"Upper Medium","High")))</f>
        <v>Low</v>
      </c>
      <c r="AM101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02" spans="1:39" x14ac:dyDescent="0.35">
      <c r="A102" s="1">
        <v>101</v>
      </c>
      <c r="B102">
        <v>37</v>
      </c>
      <c r="C102" s="1" t="s">
        <v>33</v>
      </c>
      <c r="D102" s="1" t="s">
        <v>34</v>
      </c>
      <c r="E102">
        <v>807</v>
      </c>
      <c r="F102" s="1" t="s">
        <v>58</v>
      </c>
      <c r="G102">
        <v>6</v>
      </c>
      <c r="H102">
        <v>4</v>
      </c>
      <c r="I102" s="1" t="s">
        <v>58</v>
      </c>
      <c r="J102">
        <v>133</v>
      </c>
      <c r="K102">
        <v>3</v>
      </c>
      <c r="L102" s="1" t="s">
        <v>43</v>
      </c>
      <c r="M102">
        <v>63</v>
      </c>
      <c r="N102">
        <v>3</v>
      </c>
      <c r="O102">
        <v>1</v>
      </c>
      <c r="P102" s="1" t="s">
        <v>58</v>
      </c>
      <c r="Q102">
        <v>1</v>
      </c>
      <c r="R102" s="1" t="s">
        <v>49</v>
      </c>
      <c r="S102">
        <v>2073</v>
      </c>
      <c r="T102">
        <v>23648</v>
      </c>
      <c r="U102">
        <v>4</v>
      </c>
      <c r="V102" s="1" t="s">
        <v>33</v>
      </c>
      <c r="W102">
        <v>22</v>
      </c>
      <c r="X102">
        <v>4</v>
      </c>
      <c r="Y102">
        <v>4</v>
      </c>
      <c r="Z102">
        <v>80</v>
      </c>
      <c r="AA102">
        <v>0</v>
      </c>
      <c r="AB102">
        <v>7</v>
      </c>
      <c r="AC102">
        <v>3</v>
      </c>
      <c r="AD102">
        <v>3</v>
      </c>
      <c r="AE102">
        <v>3</v>
      </c>
      <c r="AF102">
        <v>2</v>
      </c>
      <c r="AG102">
        <v>0</v>
      </c>
      <c r="AH102">
        <v>2</v>
      </c>
      <c r="AI102">
        <f>IF(tbl_HRData[[#This Row],[Attrition]] = "Yes",1,0)</f>
        <v>1</v>
      </c>
      <c r="AJ102">
        <f>IF(tbl_HRData[[#This Row],[Attrition]] = "No",1,0)</f>
        <v>0</v>
      </c>
      <c r="AK102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02" s="1" t="str">
        <f>IF(tbl_HRData[[#This Row],[MonthlyIncome]]&lt;5000,"Low",
IF(tbl_HRData[[#This Row],[MonthlyIncome]]&lt;10000,"Medium",
IF(tbl_HRData[[#This Row],[MonthlyIncome]]&lt;15000,"Upper Medium","High")))</f>
        <v>Low</v>
      </c>
      <c r="AM102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03" spans="1:39" x14ac:dyDescent="0.35">
      <c r="A103" s="1">
        <v>102</v>
      </c>
      <c r="B103">
        <v>32</v>
      </c>
      <c r="C103" s="1" t="s">
        <v>40</v>
      </c>
      <c r="D103" s="1" t="s">
        <v>34</v>
      </c>
      <c r="E103">
        <v>827</v>
      </c>
      <c r="F103" s="1" t="s">
        <v>42</v>
      </c>
      <c r="G103">
        <v>1</v>
      </c>
      <c r="H103">
        <v>1</v>
      </c>
      <c r="I103" s="1" t="s">
        <v>36</v>
      </c>
      <c r="J103">
        <v>134</v>
      </c>
      <c r="K103">
        <v>4</v>
      </c>
      <c r="L103" s="1" t="s">
        <v>43</v>
      </c>
      <c r="M103">
        <v>71</v>
      </c>
      <c r="N103">
        <v>3</v>
      </c>
      <c r="O103">
        <v>1</v>
      </c>
      <c r="P103" s="1" t="s">
        <v>44</v>
      </c>
      <c r="Q103">
        <v>1</v>
      </c>
      <c r="R103" s="1" t="s">
        <v>39</v>
      </c>
      <c r="S103">
        <v>2956</v>
      </c>
      <c r="T103">
        <v>15178</v>
      </c>
      <c r="U103">
        <v>1</v>
      </c>
      <c r="V103" s="1" t="s">
        <v>40</v>
      </c>
      <c r="W103">
        <v>13</v>
      </c>
      <c r="X103">
        <v>3</v>
      </c>
      <c r="Y103">
        <v>4</v>
      </c>
      <c r="Z103">
        <v>80</v>
      </c>
      <c r="AA103">
        <v>0</v>
      </c>
      <c r="AB103">
        <v>1</v>
      </c>
      <c r="AC103">
        <v>2</v>
      </c>
      <c r="AD103">
        <v>3</v>
      </c>
      <c r="AE103">
        <v>1</v>
      </c>
      <c r="AF103">
        <v>0</v>
      </c>
      <c r="AG103">
        <v>0</v>
      </c>
      <c r="AH103">
        <v>0</v>
      </c>
      <c r="AI103">
        <f>IF(tbl_HRData[[#This Row],[Attrition]] = "Yes",1,0)</f>
        <v>0</v>
      </c>
      <c r="AJ103">
        <f>IF(tbl_HRData[[#This Row],[Attrition]] = "No",1,0)</f>
        <v>1</v>
      </c>
      <c r="AK103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03" s="1" t="str">
        <f>IF(tbl_HRData[[#This Row],[MonthlyIncome]]&lt;5000,"Low",
IF(tbl_HRData[[#This Row],[MonthlyIncome]]&lt;10000,"Medium",
IF(tbl_HRData[[#This Row],[MonthlyIncome]]&lt;15000,"Upper Medium","High")))</f>
        <v>Low</v>
      </c>
      <c r="AM103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04" spans="1:39" x14ac:dyDescent="0.35">
      <c r="A104" s="1">
        <v>103</v>
      </c>
      <c r="B104">
        <v>20</v>
      </c>
      <c r="C104" s="1" t="s">
        <v>33</v>
      </c>
      <c r="D104" s="1" t="s">
        <v>41</v>
      </c>
      <c r="E104">
        <v>871</v>
      </c>
      <c r="F104" s="1" t="s">
        <v>42</v>
      </c>
      <c r="G104">
        <v>6</v>
      </c>
      <c r="H104">
        <v>3</v>
      </c>
      <c r="I104" s="1" t="s">
        <v>36</v>
      </c>
      <c r="J104">
        <v>137</v>
      </c>
      <c r="K104">
        <v>4</v>
      </c>
      <c r="L104" s="1" t="s">
        <v>37</v>
      </c>
      <c r="M104">
        <v>66</v>
      </c>
      <c r="N104">
        <v>2</v>
      </c>
      <c r="O104">
        <v>1</v>
      </c>
      <c r="P104" s="1" t="s">
        <v>47</v>
      </c>
      <c r="Q104">
        <v>4</v>
      </c>
      <c r="R104" s="1" t="s">
        <v>39</v>
      </c>
      <c r="S104">
        <v>2926</v>
      </c>
      <c r="T104">
        <v>19783</v>
      </c>
      <c r="U104">
        <v>1</v>
      </c>
      <c r="V104" s="1" t="s">
        <v>33</v>
      </c>
      <c r="W104">
        <v>18</v>
      </c>
      <c r="X104">
        <v>3</v>
      </c>
      <c r="Y104">
        <v>2</v>
      </c>
      <c r="Z104">
        <v>80</v>
      </c>
      <c r="AA104">
        <v>0</v>
      </c>
      <c r="AB104">
        <v>1</v>
      </c>
      <c r="AC104">
        <v>5</v>
      </c>
      <c r="AD104">
        <v>3</v>
      </c>
      <c r="AE104">
        <v>1</v>
      </c>
      <c r="AF104">
        <v>0</v>
      </c>
      <c r="AG104">
        <v>1</v>
      </c>
      <c r="AH104">
        <v>0</v>
      </c>
      <c r="AI104">
        <f>IF(tbl_HRData[[#This Row],[Attrition]] = "Yes",1,0)</f>
        <v>1</v>
      </c>
      <c r="AJ104">
        <f>IF(tbl_HRData[[#This Row],[Attrition]] = "No",1,0)</f>
        <v>0</v>
      </c>
      <c r="AK104" t="str">
        <f>IF(tbl_HRData[[#This Row],[Age]] &lt; 25, "Under 25", IF(tbl_HRData[[#This Row],[Age]] &lt;= 34, "25-34", IF(tbl_HRData[[#This Row],[Age]] &lt;= 44, "35-44", IF(tbl_HRData[[#This Row],[Age]] &lt;= 54, "45-54", "55+"))))</f>
        <v>Under 25</v>
      </c>
      <c r="AL104" s="1" t="str">
        <f>IF(tbl_HRData[[#This Row],[MonthlyIncome]]&lt;5000,"Low",
IF(tbl_HRData[[#This Row],[MonthlyIncome]]&lt;10000,"Medium",
IF(tbl_HRData[[#This Row],[MonthlyIncome]]&lt;15000,"Upper Medium","High")))</f>
        <v>Low</v>
      </c>
      <c r="AM104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05" spans="1:39" x14ac:dyDescent="0.35">
      <c r="A105" s="1">
        <v>104</v>
      </c>
      <c r="B105">
        <v>34</v>
      </c>
      <c r="C105" s="1" t="s">
        <v>40</v>
      </c>
      <c r="D105" s="1" t="s">
        <v>34</v>
      </c>
      <c r="E105">
        <v>665</v>
      </c>
      <c r="F105" s="1" t="s">
        <v>42</v>
      </c>
      <c r="G105">
        <v>6</v>
      </c>
      <c r="H105">
        <v>4</v>
      </c>
      <c r="I105" s="1" t="s">
        <v>46</v>
      </c>
      <c r="J105">
        <v>138</v>
      </c>
      <c r="K105">
        <v>1</v>
      </c>
      <c r="L105" s="1" t="s">
        <v>37</v>
      </c>
      <c r="M105">
        <v>41</v>
      </c>
      <c r="N105">
        <v>3</v>
      </c>
      <c r="O105">
        <v>2</v>
      </c>
      <c r="P105" s="1" t="s">
        <v>44</v>
      </c>
      <c r="Q105">
        <v>3</v>
      </c>
      <c r="R105" s="1" t="s">
        <v>39</v>
      </c>
      <c r="S105">
        <v>4809</v>
      </c>
      <c r="T105">
        <v>12482</v>
      </c>
      <c r="U105">
        <v>1</v>
      </c>
      <c r="V105" s="1" t="s">
        <v>40</v>
      </c>
      <c r="W105">
        <v>14</v>
      </c>
      <c r="X105">
        <v>3</v>
      </c>
      <c r="Y105">
        <v>3</v>
      </c>
      <c r="Z105">
        <v>80</v>
      </c>
      <c r="AA105">
        <v>0</v>
      </c>
      <c r="AB105">
        <v>16</v>
      </c>
      <c r="AC105">
        <v>3</v>
      </c>
      <c r="AD105">
        <v>3</v>
      </c>
      <c r="AE105">
        <v>16</v>
      </c>
      <c r="AF105">
        <v>13</v>
      </c>
      <c r="AG105">
        <v>2</v>
      </c>
      <c r="AH105">
        <v>10</v>
      </c>
      <c r="AI105">
        <f>IF(tbl_HRData[[#This Row],[Attrition]] = "Yes",1,0)</f>
        <v>0</v>
      </c>
      <c r="AJ105">
        <f>IF(tbl_HRData[[#This Row],[Attrition]] = "No",1,0)</f>
        <v>1</v>
      </c>
      <c r="AK105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05" s="1" t="str">
        <f>IF(tbl_HRData[[#This Row],[MonthlyIncome]]&lt;5000,"Low",
IF(tbl_HRData[[#This Row],[MonthlyIncome]]&lt;10000,"Medium",
IF(tbl_HRData[[#This Row],[MonthlyIncome]]&lt;15000,"Upper Medium","High")))</f>
        <v>Low</v>
      </c>
      <c r="AM105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106" spans="1:39" x14ac:dyDescent="0.35">
      <c r="A106" s="1">
        <v>105</v>
      </c>
      <c r="B106">
        <v>37</v>
      </c>
      <c r="C106" s="1" t="s">
        <v>40</v>
      </c>
      <c r="D106" s="1" t="s">
        <v>52</v>
      </c>
      <c r="E106">
        <v>1040</v>
      </c>
      <c r="F106" s="1" t="s">
        <v>42</v>
      </c>
      <c r="G106">
        <v>2</v>
      </c>
      <c r="H106">
        <v>2</v>
      </c>
      <c r="I106" s="1" t="s">
        <v>36</v>
      </c>
      <c r="J106">
        <v>139</v>
      </c>
      <c r="K106">
        <v>3</v>
      </c>
      <c r="L106" s="1" t="s">
        <v>43</v>
      </c>
      <c r="M106">
        <v>100</v>
      </c>
      <c r="N106">
        <v>2</v>
      </c>
      <c r="O106">
        <v>2</v>
      </c>
      <c r="P106" s="1" t="s">
        <v>51</v>
      </c>
      <c r="Q106">
        <v>4</v>
      </c>
      <c r="R106" s="1" t="s">
        <v>49</v>
      </c>
      <c r="S106">
        <v>5163</v>
      </c>
      <c r="T106">
        <v>15850</v>
      </c>
      <c r="U106">
        <v>5</v>
      </c>
      <c r="V106" s="1" t="s">
        <v>40</v>
      </c>
      <c r="W106">
        <v>14</v>
      </c>
      <c r="X106">
        <v>3</v>
      </c>
      <c r="Y106">
        <v>4</v>
      </c>
      <c r="Z106">
        <v>80</v>
      </c>
      <c r="AA106">
        <v>1</v>
      </c>
      <c r="AB106">
        <v>17</v>
      </c>
      <c r="AC106">
        <v>2</v>
      </c>
      <c r="AD106">
        <v>4</v>
      </c>
      <c r="AE106">
        <v>1</v>
      </c>
      <c r="AF106">
        <v>0</v>
      </c>
      <c r="AG106">
        <v>0</v>
      </c>
      <c r="AH106">
        <v>0</v>
      </c>
      <c r="AI106">
        <f>IF(tbl_HRData[[#This Row],[Attrition]] = "Yes",1,0)</f>
        <v>0</v>
      </c>
      <c r="AJ106">
        <f>IF(tbl_HRData[[#This Row],[Attrition]] = "No",1,0)</f>
        <v>1</v>
      </c>
      <c r="AK106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06" s="1" t="str">
        <f>IF(tbl_HRData[[#This Row],[MonthlyIncome]]&lt;5000,"Low",
IF(tbl_HRData[[#This Row],[MonthlyIncome]]&lt;10000,"Medium",
IF(tbl_HRData[[#This Row],[MonthlyIncome]]&lt;15000,"Upper Medium","High")))</f>
        <v>Medium</v>
      </c>
      <c r="AM106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07" spans="1:39" x14ac:dyDescent="0.35">
      <c r="A107" s="1">
        <v>106</v>
      </c>
      <c r="B107">
        <v>59</v>
      </c>
      <c r="C107" s="1" t="s">
        <v>40</v>
      </c>
      <c r="D107" s="1" t="s">
        <v>52</v>
      </c>
      <c r="E107">
        <v>1420</v>
      </c>
      <c r="F107" s="1" t="s">
        <v>58</v>
      </c>
      <c r="G107">
        <v>2</v>
      </c>
      <c r="H107">
        <v>4</v>
      </c>
      <c r="I107" s="1" t="s">
        <v>58</v>
      </c>
      <c r="J107">
        <v>140</v>
      </c>
      <c r="K107">
        <v>3</v>
      </c>
      <c r="L107" s="1" t="s">
        <v>37</v>
      </c>
      <c r="M107">
        <v>32</v>
      </c>
      <c r="N107">
        <v>2</v>
      </c>
      <c r="O107">
        <v>5</v>
      </c>
      <c r="P107" s="1" t="s">
        <v>53</v>
      </c>
      <c r="Q107">
        <v>4</v>
      </c>
      <c r="R107" s="1" t="s">
        <v>45</v>
      </c>
      <c r="S107">
        <v>18844</v>
      </c>
      <c r="T107">
        <v>21922</v>
      </c>
      <c r="U107">
        <v>9</v>
      </c>
      <c r="V107" s="1" t="s">
        <v>40</v>
      </c>
      <c r="W107">
        <v>21</v>
      </c>
      <c r="X107">
        <v>4</v>
      </c>
      <c r="Y107">
        <v>4</v>
      </c>
      <c r="Z107">
        <v>80</v>
      </c>
      <c r="AA107">
        <v>1</v>
      </c>
      <c r="AB107">
        <v>30</v>
      </c>
      <c r="AC107">
        <v>3</v>
      </c>
      <c r="AD107">
        <v>3</v>
      </c>
      <c r="AE107">
        <v>3</v>
      </c>
      <c r="AF107">
        <v>2</v>
      </c>
      <c r="AG107">
        <v>2</v>
      </c>
      <c r="AH107">
        <v>2</v>
      </c>
      <c r="AI107">
        <f>IF(tbl_HRData[[#This Row],[Attrition]] = "Yes",1,0)</f>
        <v>0</v>
      </c>
      <c r="AJ107">
        <f>IF(tbl_HRData[[#This Row],[Attrition]] = "No",1,0)</f>
        <v>1</v>
      </c>
      <c r="AK107" t="str">
        <f>IF(tbl_HRData[[#This Row],[Age]] &lt; 25, "Under 25", IF(tbl_HRData[[#This Row],[Age]] &lt;= 34, "25-34", IF(tbl_HRData[[#This Row],[Age]] &lt;= 44, "35-44", IF(tbl_HRData[[#This Row],[Age]] &lt;= 54, "45-54", "55+"))))</f>
        <v>55+</v>
      </c>
      <c r="AL107" s="1" t="str">
        <f>IF(tbl_HRData[[#This Row],[MonthlyIncome]]&lt;5000,"Low",
IF(tbl_HRData[[#This Row],[MonthlyIncome]]&lt;10000,"Medium",
IF(tbl_HRData[[#This Row],[MonthlyIncome]]&lt;15000,"Upper Medium","High")))</f>
        <v>High</v>
      </c>
      <c r="AM107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08" spans="1:39" x14ac:dyDescent="0.35">
      <c r="A108" s="1">
        <v>107</v>
      </c>
      <c r="B108">
        <v>50</v>
      </c>
      <c r="C108" s="1" t="s">
        <v>40</v>
      </c>
      <c r="D108" s="1" t="s">
        <v>41</v>
      </c>
      <c r="E108">
        <v>1115</v>
      </c>
      <c r="F108" s="1" t="s">
        <v>42</v>
      </c>
      <c r="G108">
        <v>1</v>
      </c>
      <c r="H108">
        <v>3</v>
      </c>
      <c r="I108" s="1" t="s">
        <v>36</v>
      </c>
      <c r="J108">
        <v>141</v>
      </c>
      <c r="K108">
        <v>1</v>
      </c>
      <c r="L108" s="1" t="s">
        <v>37</v>
      </c>
      <c r="M108">
        <v>73</v>
      </c>
      <c r="N108">
        <v>3</v>
      </c>
      <c r="O108">
        <v>5</v>
      </c>
      <c r="P108" s="1" t="s">
        <v>55</v>
      </c>
      <c r="Q108">
        <v>2</v>
      </c>
      <c r="R108" s="1" t="s">
        <v>45</v>
      </c>
      <c r="S108">
        <v>18172</v>
      </c>
      <c r="T108">
        <v>9755</v>
      </c>
      <c r="U108">
        <v>3</v>
      </c>
      <c r="V108" s="1" t="s">
        <v>33</v>
      </c>
      <c r="W108">
        <v>19</v>
      </c>
      <c r="X108">
        <v>3</v>
      </c>
      <c r="Y108">
        <v>1</v>
      </c>
      <c r="Z108">
        <v>80</v>
      </c>
      <c r="AA108">
        <v>0</v>
      </c>
      <c r="AB108">
        <v>28</v>
      </c>
      <c r="AC108">
        <v>1</v>
      </c>
      <c r="AD108">
        <v>2</v>
      </c>
      <c r="AE108">
        <v>8</v>
      </c>
      <c r="AF108">
        <v>3</v>
      </c>
      <c r="AG108">
        <v>0</v>
      </c>
      <c r="AH108">
        <v>7</v>
      </c>
      <c r="AI108">
        <f>IF(tbl_HRData[[#This Row],[Attrition]] = "Yes",1,0)</f>
        <v>0</v>
      </c>
      <c r="AJ108">
        <f>IF(tbl_HRData[[#This Row],[Attrition]] = "No",1,0)</f>
        <v>1</v>
      </c>
      <c r="AK108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108" s="1" t="str">
        <f>IF(tbl_HRData[[#This Row],[MonthlyIncome]]&lt;5000,"Low",
IF(tbl_HRData[[#This Row],[MonthlyIncome]]&lt;10000,"Medium",
IF(tbl_HRData[[#This Row],[MonthlyIncome]]&lt;15000,"Upper Medium","High")))</f>
        <v>High</v>
      </c>
      <c r="AM108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09" spans="1:39" x14ac:dyDescent="0.35">
      <c r="A109" s="1">
        <v>108</v>
      </c>
      <c r="B109">
        <v>25</v>
      </c>
      <c r="C109" s="1" t="s">
        <v>33</v>
      </c>
      <c r="D109" s="1" t="s">
        <v>34</v>
      </c>
      <c r="E109">
        <v>240</v>
      </c>
      <c r="F109" s="1" t="s">
        <v>35</v>
      </c>
      <c r="G109">
        <v>5</v>
      </c>
      <c r="H109">
        <v>3</v>
      </c>
      <c r="I109" s="1" t="s">
        <v>56</v>
      </c>
      <c r="J109">
        <v>142</v>
      </c>
      <c r="K109">
        <v>3</v>
      </c>
      <c r="L109" s="1" t="s">
        <v>43</v>
      </c>
      <c r="M109">
        <v>46</v>
      </c>
      <c r="N109">
        <v>2</v>
      </c>
      <c r="O109">
        <v>2</v>
      </c>
      <c r="P109" s="1" t="s">
        <v>38</v>
      </c>
      <c r="Q109">
        <v>3</v>
      </c>
      <c r="R109" s="1" t="s">
        <v>39</v>
      </c>
      <c r="S109">
        <v>5744</v>
      </c>
      <c r="T109">
        <v>26959</v>
      </c>
      <c r="U109">
        <v>1</v>
      </c>
      <c r="V109" s="1" t="s">
        <v>33</v>
      </c>
      <c r="W109">
        <v>11</v>
      </c>
      <c r="X109">
        <v>3</v>
      </c>
      <c r="Y109">
        <v>4</v>
      </c>
      <c r="Z109">
        <v>80</v>
      </c>
      <c r="AA109">
        <v>0</v>
      </c>
      <c r="AB109">
        <v>6</v>
      </c>
      <c r="AC109">
        <v>1</v>
      </c>
      <c r="AD109">
        <v>3</v>
      </c>
      <c r="AE109">
        <v>6</v>
      </c>
      <c r="AF109">
        <v>4</v>
      </c>
      <c r="AG109">
        <v>0</v>
      </c>
      <c r="AH109">
        <v>3</v>
      </c>
      <c r="AI109">
        <f>IF(tbl_HRData[[#This Row],[Attrition]] = "Yes",1,0)</f>
        <v>1</v>
      </c>
      <c r="AJ109">
        <f>IF(tbl_HRData[[#This Row],[Attrition]] = "No",1,0)</f>
        <v>0</v>
      </c>
      <c r="AK109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09" s="1" t="str">
        <f>IF(tbl_HRData[[#This Row],[MonthlyIncome]]&lt;5000,"Low",
IF(tbl_HRData[[#This Row],[MonthlyIncome]]&lt;10000,"Medium",
IF(tbl_HRData[[#This Row],[MonthlyIncome]]&lt;15000,"Upper Medium","High")))</f>
        <v>Medium</v>
      </c>
      <c r="AM109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10" spans="1:39" x14ac:dyDescent="0.35">
      <c r="A110" s="1">
        <v>109</v>
      </c>
      <c r="B110">
        <v>25</v>
      </c>
      <c r="C110" s="1" t="s">
        <v>40</v>
      </c>
      <c r="D110" s="1" t="s">
        <v>34</v>
      </c>
      <c r="E110">
        <v>1280</v>
      </c>
      <c r="F110" s="1" t="s">
        <v>42</v>
      </c>
      <c r="G110">
        <v>7</v>
      </c>
      <c r="H110">
        <v>1</v>
      </c>
      <c r="I110" s="1" t="s">
        <v>48</v>
      </c>
      <c r="J110">
        <v>143</v>
      </c>
      <c r="K110">
        <v>4</v>
      </c>
      <c r="L110" s="1" t="s">
        <v>43</v>
      </c>
      <c r="M110">
        <v>64</v>
      </c>
      <c r="N110">
        <v>2</v>
      </c>
      <c r="O110">
        <v>1</v>
      </c>
      <c r="P110" s="1" t="s">
        <v>44</v>
      </c>
      <c r="Q110">
        <v>4</v>
      </c>
      <c r="R110" s="1" t="s">
        <v>45</v>
      </c>
      <c r="S110">
        <v>2889</v>
      </c>
      <c r="T110">
        <v>26897</v>
      </c>
      <c r="U110">
        <v>1</v>
      </c>
      <c r="V110" s="1" t="s">
        <v>40</v>
      </c>
      <c r="W110">
        <v>11</v>
      </c>
      <c r="X110">
        <v>3</v>
      </c>
      <c r="Y110">
        <v>3</v>
      </c>
      <c r="Z110">
        <v>80</v>
      </c>
      <c r="AA110">
        <v>2</v>
      </c>
      <c r="AB110">
        <v>2</v>
      </c>
      <c r="AC110">
        <v>2</v>
      </c>
      <c r="AD110">
        <v>3</v>
      </c>
      <c r="AE110">
        <v>2</v>
      </c>
      <c r="AF110">
        <v>2</v>
      </c>
      <c r="AG110">
        <v>2</v>
      </c>
      <c r="AH110">
        <v>1</v>
      </c>
      <c r="AI110">
        <f>IF(tbl_HRData[[#This Row],[Attrition]] = "Yes",1,0)</f>
        <v>0</v>
      </c>
      <c r="AJ110">
        <f>IF(tbl_HRData[[#This Row],[Attrition]] = "No",1,0)</f>
        <v>1</v>
      </c>
      <c r="AK110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10" s="1" t="str">
        <f>IF(tbl_HRData[[#This Row],[MonthlyIncome]]&lt;5000,"Low",
IF(tbl_HRData[[#This Row],[MonthlyIncome]]&lt;10000,"Medium",
IF(tbl_HRData[[#This Row],[MonthlyIncome]]&lt;15000,"Upper Medium","High")))</f>
        <v>Low</v>
      </c>
      <c r="AM110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11" spans="1:39" x14ac:dyDescent="0.35">
      <c r="A111" s="1">
        <v>110</v>
      </c>
      <c r="B111">
        <v>22</v>
      </c>
      <c r="C111" s="1" t="s">
        <v>40</v>
      </c>
      <c r="D111" s="1" t="s">
        <v>34</v>
      </c>
      <c r="E111">
        <v>534</v>
      </c>
      <c r="F111" s="1" t="s">
        <v>42</v>
      </c>
      <c r="G111">
        <v>15</v>
      </c>
      <c r="H111">
        <v>3</v>
      </c>
      <c r="I111" s="1" t="s">
        <v>48</v>
      </c>
      <c r="J111">
        <v>144</v>
      </c>
      <c r="K111">
        <v>2</v>
      </c>
      <c r="L111" s="1" t="s">
        <v>37</v>
      </c>
      <c r="M111">
        <v>59</v>
      </c>
      <c r="N111">
        <v>3</v>
      </c>
      <c r="O111">
        <v>1</v>
      </c>
      <c r="P111" s="1" t="s">
        <v>47</v>
      </c>
      <c r="Q111">
        <v>4</v>
      </c>
      <c r="R111" s="1" t="s">
        <v>39</v>
      </c>
      <c r="S111">
        <v>2871</v>
      </c>
      <c r="T111">
        <v>23785</v>
      </c>
      <c r="U111">
        <v>1</v>
      </c>
      <c r="V111" s="1" t="s">
        <v>40</v>
      </c>
      <c r="W111">
        <v>15</v>
      </c>
      <c r="X111">
        <v>3</v>
      </c>
      <c r="Y111">
        <v>3</v>
      </c>
      <c r="Z111">
        <v>80</v>
      </c>
      <c r="AA111">
        <v>0</v>
      </c>
      <c r="AB111">
        <v>1</v>
      </c>
      <c r="AC111">
        <v>5</v>
      </c>
      <c r="AD111">
        <v>3</v>
      </c>
      <c r="AE111">
        <v>0</v>
      </c>
      <c r="AF111">
        <v>0</v>
      </c>
      <c r="AG111">
        <v>0</v>
      </c>
      <c r="AH111">
        <v>0</v>
      </c>
      <c r="AI111">
        <f>IF(tbl_HRData[[#This Row],[Attrition]] = "Yes",1,0)</f>
        <v>0</v>
      </c>
      <c r="AJ111">
        <f>IF(tbl_HRData[[#This Row],[Attrition]] = "No",1,0)</f>
        <v>1</v>
      </c>
      <c r="AK111" t="str">
        <f>IF(tbl_HRData[[#This Row],[Age]] &lt; 25, "Under 25", IF(tbl_HRData[[#This Row],[Age]] &lt;= 34, "25-34", IF(tbl_HRData[[#This Row],[Age]] &lt;= 44, "35-44", IF(tbl_HRData[[#This Row],[Age]] &lt;= 54, "45-54", "55+"))))</f>
        <v>Under 25</v>
      </c>
      <c r="AL111" s="1" t="str">
        <f>IF(tbl_HRData[[#This Row],[MonthlyIncome]]&lt;5000,"Low",
IF(tbl_HRData[[#This Row],[MonthlyIncome]]&lt;10000,"Medium",
IF(tbl_HRData[[#This Row],[MonthlyIncome]]&lt;15000,"Upper Medium","High")))</f>
        <v>Low</v>
      </c>
      <c r="AM111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12" spans="1:39" x14ac:dyDescent="0.35">
      <c r="A112" s="1">
        <v>111</v>
      </c>
      <c r="B112">
        <v>51</v>
      </c>
      <c r="C112" s="1" t="s">
        <v>40</v>
      </c>
      <c r="D112" s="1" t="s">
        <v>41</v>
      </c>
      <c r="E112">
        <v>1456</v>
      </c>
      <c r="F112" s="1" t="s">
        <v>42</v>
      </c>
      <c r="G112">
        <v>1</v>
      </c>
      <c r="H112">
        <v>4</v>
      </c>
      <c r="I112" s="1" t="s">
        <v>48</v>
      </c>
      <c r="J112">
        <v>145</v>
      </c>
      <c r="K112">
        <v>1</v>
      </c>
      <c r="L112" s="1" t="s">
        <v>37</v>
      </c>
      <c r="M112">
        <v>30</v>
      </c>
      <c r="N112">
        <v>2</v>
      </c>
      <c r="O112">
        <v>3</v>
      </c>
      <c r="P112" s="1" t="s">
        <v>51</v>
      </c>
      <c r="Q112">
        <v>1</v>
      </c>
      <c r="R112" s="1" t="s">
        <v>39</v>
      </c>
      <c r="S112">
        <v>7484</v>
      </c>
      <c r="T112">
        <v>25796</v>
      </c>
      <c r="U112">
        <v>3</v>
      </c>
      <c r="V112" s="1" t="s">
        <v>40</v>
      </c>
      <c r="W112">
        <v>20</v>
      </c>
      <c r="X112">
        <v>4</v>
      </c>
      <c r="Y112">
        <v>3</v>
      </c>
      <c r="Z112">
        <v>80</v>
      </c>
      <c r="AA112">
        <v>0</v>
      </c>
      <c r="AB112">
        <v>23</v>
      </c>
      <c r="AC112">
        <v>1</v>
      </c>
      <c r="AD112">
        <v>2</v>
      </c>
      <c r="AE112">
        <v>13</v>
      </c>
      <c r="AF112">
        <v>12</v>
      </c>
      <c r="AG112">
        <v>12</v>
      </c>
      <c r="AH112">
        <v>8</v>
      </c>
      <c r="AI112">
        <f>IF(tbl_HRData[[#This Row],[Attrition]] = "Yes",1,0)</f>
        <v>0</v>
      </c>
      <c r="AJ112">
        <f>IF(tbl_HRData[[#This Row],[Attrition]] = "No",1,0)</f>
        <v>1</v>
      </c>
      <c r="AK112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112" s="1" t="str">
        <f>IF(tbl_HRData[[#This Row],[MonthlyIncome]]&lt;5000,"Low",
IF(tbl_HRData[[#This Row],[MonthlyIncome]]&lt;10000,"Medium",
IF(tbl_HRData[[#This Row],[MonthlyIncome]]&lt;15000,"Upper Medium","High")))</f>
        <v>Medium</v>
      </c>
      <c r="AM112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113" spans="1:39" x14ac:dyDescent="0.35">
      <c r="A113" s="1">
        <v>112</v>
      </c>
      <c r="B113">
        <v>34</v>
      </c>
      <c r="C113" s="1" t="s">
        <v>33</v>
      </c>
      <c r="D113" s="1" t="s">
        <v>41</v>
      </c>
      <c r="E113">
        <v>658</v>
      </c>
      <c r="F113" s="1" t="s">
        <v>42</v>
      </c>
      <c r="G113">
        <v>7</v>
      </c>
      <c r="H113">
        <v>3</v>
      </c>
      <c r="I113" s="1" t="s">
        <v>36</v>
      </c>
      <c r="J113">
        <v>147</v>
      </c>
      <c r="K113">
        <v>1</v>
      </c>
      <c r="L113" s="1" t="s">
        <v>43</v>
      </c>
      <c r="M113">
        <v>66</v>
      </c>
      <c r="N113">
        <v>1</v>
      </c>
      <c r="O113">
        <v>2</v>
      </c>
      <c r="P113" s="1" t="s">
        <v>47</v>
      </c>
      <c r="Q113">
        <v>3</v>
      </c>
      <c r="R113" s="1" t="s">
        <v>39</v>
      </c>
      <c r="S113">
        <v>6074</v>
      </c>
      <c r="T113">
        <v>22887</v>
      </c>
      <c r="U113">
        <v>1</v>
      </c>
      <c r="V113" s="1" t="s">
        <v>33</v>
      </c>
      <c r="W113">
        <v>24</v>
      </c>
      <c r="X113">
        <v>4</v>
      </c>
      <c r="Y113">
        <v>4</v>
      </c>
      <c r="Z113">
        <v>80</v>
      </c>
      <c r="AA113">
        <v>0</v>
      </c>
      <c r="AB113">
        <v>9</v>
      </c>
      <c r="AC113">
        <v>3</v>
      </c>
      <c r="AD113">
        <v>3</v>
      </c>
      <c r="AE113">
        <v>9</v>
      </c>
      <c r="AF113">
        <v>7</v>
      </c>
      <c r="AG113">
        <v>0</v>
      </c>
      <c r="AH113">
        <v>6</v>
      </c>
      <c r="AI113">
        <f>IF(tbl_HRData[[#This Row],[Attrition]] = "Yes",1,0)</f>
        <v>1</v>
      </c>
      <c r="AJ113">
        <f>IF(tbl_HRData[[#This Row],[Attrition]] = "No",1,0)</f>
        <v>0</v>
      </c>
      <c r="AK113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13" s="1" t="str">
        <f>IF(tbl_HRData[[#This Row],[MonthlyIncome]]&lt;5000,"Low",
IF(tbl_HRData[[#This Row],[MonthlyIncome]]&lt;10000,"Medium",
IF(tbl_HRData[[#This Row],[MonthlyIncome]]&lt;15000,"Upper Medium","High")))</f>
        <v>Medium</v>
      </c>
      <c r="AM113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14" spans="1:39" x14ac:dyDescent="0.35">
      <c r="A114" s="1">
        <v>113</v>
      </c>
      <c r="B114">
        <v>54</v>
      </c>
      <c r="C114" s="1" t="s">
        <v>40</v>
      </c>
      <c r="D114" s="1" t="s">
        <v>52</v>
      </c>
      <c r="E114">
        <v>142</v>
      </c>
      <c r="F114" s="1" t="s">
        <v>58</v>
      </c>
      <c r="G114">
        <v>26</v>
      </c>
      <c r="H114">
        <v>3</v>
      </c>
      <c r="I114" s="1" t="s">
        <v>58</v>
      </c>
      <c r="J114">
        <v>148</v>
      </c>
      <c r="K114">
        <v>4</v>
      </c>
      <c r="L114" s="1" t="s">
        <v>37</v>
      </c>
      <c r="M114">
        <v>30</v>
      </c>
      <c r="N114">
        <v>4</v>
      </c>
      <c r="O114">
        <v>4</v>
      </c>
      <c r="P114" s="1" t="s">
        <v>53</v>
      </c>
      <c r="Q114">
        <v>4</v>
      </c>
      <c r="R114" s="1" t="s">
        <v>39</v>
      </c>
      <c r="S114">
        <v>17328</v>
      </c>
      <c r="T114">
        <v>13871</v>
      </c>
      <c r="U114">
        <v>2</v>
      </c>
      <c r="V114" s="1" t="s">
        <v>33</v>
      </c>
      <c r="W114">
        <v>12</v>
      </c>
      <c r="X114">
        <v>3</v>
      </c>
      <c r="Y114">
        <v>3</v>
      </c>
      <c r="Z114">
        <v>80</v>
      </c>
      <c r="AA114">
        <v>0</v>
      </c>
      <c r="AB114">
        <v>23</v>
      </c>
      <c r="AC114">
        <v>3</v>
      </c>
      <c r="AD114">
        <v>3</v>
      </c>
      <c r="AE114">
        <v>5</v>
      </c>
      <c r="AF114">
        <v>3</v>
      </c>
      <c r="AG114">
        <v>4</v>
      </c>
      <c r="AH114">
        <v>4</v>
      </c>
      <c r="AI114">
        <f>IF(tbl_HRData[[#This Row],[Attrition]] = "Yes",1,0)</f>
        <v>0</v>
      </c>
      <c r="AJ114">
        <f>IF(tbl_HRData[[#This Row],[Attrition]] = "No",1,0)</f>
        <v>1</v>
      </c>
      <c r="AK114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114" s="1" t="str">
        <f>IF(tbl_HRData[[#This Row],[MonthlyIncome]]&lt;5000,"Low",
IF(tbl_HRData[[#This Row],[MonthlyIncome]]&lt;10000,"Medium",
IF(tbl_HRData[[#This Row],[MonthlyIncome]]&lt;15000,"Upper Medium","High")))</f>
        <v>High</v>
      </c>
      <c r="AM114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15" spans="1:39" x14ac:dyDescent="0.35">
      <c r="A115" s="1">
        <v>114</v>
      </c>
      <c r="B115">
        <v>24</v>
      </c>
      <c r="C115" s="1" t="s">
        <v>40</v>
      </c>
      <c r="D115" s="1" t="s">
        <v>34</v>
      </c>
      <c r="E115">
        <v>1127</v>
      </c>
      <c r="F115" s="1" t="s">
        <v>42</v>
      </c>
      <c r="G115">
        <v>18</v>
      </c>
      <c r="H115">
        <v>1</v>
      </c>
      <c r="I115" s="1" t="s">
        <v>36</v>
      </c>
      <c r="J115">
        <v>150</v>
      </c>
      <c r="K115">
        <v>2</v>
      </c>
      <c r="L115" s="1" t="s">
        <v>43</v>
      </c>
      <c r="M115">
        <v>52</v>
      </c>
      <c r="N115">
        <v>3</v>
      </c>
      <c r="O115">
        <v>1</v>
      </c>
      <c r="P115" s="1" t="s">
        <v>47</v>
      </c>
      <c r="Q115">
        <v>3</v>
      </c>
      <c r="R115" s="1" t="s">
        <v>45</v>
      </c>
      <c r="S115">
        <v>2774</v>
      </c>
      <c r="T115">
        <v>13257</v>
      </c>
      <c r="U115">
        <v>0</v>
      </c>
      <c r="V115" s="1" t="s">
        <v>40</v>
      </c>
      <c r="W115">
        <v>12</v>
      </c>
      <c r="X115">
        <v>3</v>
      </c>
      <c r="Y115">
        <v>3</v>
      </c>
      <c r="Z115">
        <v>80</v>
      </c>
      <c r="AA115">
        <v>1</v>
      </c>
      <c r="AB115">
        <v>6</v>
      </c>
      <c r="AC115">
        <v>2</v>
      </c>
      <c r="AD115">
        <v>3</v>
      </c>
      <c r="AE115">
        <v>5</v>
      </c>
      <c r="AF115">
        <v>3</v>
      </c>
      <c r="AG115">
        <v>1</v>
      </c>
      <c r="AH115">
        <v>2</v>
      </c>
      <c r="AI115">
        <f>IF(tbl_HRData[[#This Row],[Attrition]] = "Yes",1,0)</f>
        <v>0</v>
      </c>
      <c r="AJ115">
        <f>IF(tbl_HRData[[#This Row],[Attrition]] = "No",1,0)</f>
        <v>1</v>
      </c>
      <c r="AK115" t="str">
        <f>IF(tbl_HRData[[#This Row],[Age]] &lt; 25, "Under 25", IF(tbl_HRData[[#This Row],[Age]] &lt;= 34, "25-34", IF(tbl_HRData[[#This Row],[Age]] &lt;= 44, "35-44", IF(tbl_HRData[[#This Row],[Age]] &lt;= 54, "45-54", "55+"))))</f>
        <v>Under 25</v>
      </c>
      <c r="AL115" s="1" t="str">
        <f>IF(tbl_HRData[[#This Row],[MonthlyIncome]]&lt;5000,"Low",
IF(tbl_HRData[[#This Row],[MonthlyIncome]]&lt;10000,"Medium",
IF(tbl_HRData[[#This Row],[MonthlyIncome]]&lt;15000,"Upper Medium","High")))</f>
        <v>Low</v>
      </c>
      <c r="AM115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16" spans="1:39" x14ac:dyDescent="0.35">
      <c r="A116" s="1">
        <v>115</v>
      </c>
      <c r="B116">
        <v>34</v>
      </c>
      <c r="C116" s="1" t="s">
        <v>40</v>
      </c>
      <c r="D116" s="1" t="s">
        <v>34</v>
      </c>
      <c r="E116">
        <v>1031</v>
      </c>
      <c r="F116" s="1" t="s">
        <v>42</v>
      </c>
      <c r="G116">
        <v>6</v>
      </c>
      <c r="H116">
        <v>4</v>
      </c>
      <c r="I116" s="1" t="s">
        <v>36</v>
      </c>
      <c r="J116">
        <v>151</v>
      </c>
      <c r="K116">
        <v>3</v>
      </c>
      <c r="L116" s="1" t="s">
        <v>37</v>
      </c>
      <c r="M116">
        <v>45</v>
      </c>
      <c r="N116">
        <v>2</v>
      </c>
      <c r="O116">
        <v>2</v>
      </c>
      <c r="P116" s="1" t="s">
        <v>44</v>
      </c>
      <c r="Q116">
        <v>2</v>
      </c>
      <c r="R116" s="1" t="s">
        <v>49</v>
      </c>
      <c r="S116">
        <v>4505</v>
      </c>
      <c r="T116">
        <v>15000</v>
      </c>
      <c r="U116">
        <v>6</v>
      </c>
      <c r="V116" s="1" t="s">
        <v>40</v>
      </c>
      <c r="W116">
        <v>15</v>
      </c>
      <c r="X116">
        <v>3</v>
      </c>
      <c r="Y116">
        <v>3</v>
      </c>
      <c r="Z116">
        <v>80</v>
      </c>
      <c r="AA116">
        <v>1</v>
      </c>
      <c r="AB116">
        <v>12</v>
      </c>
      <c r="AC116">
        <v>3</v>
      </c>
      <c r="AD116">
        <v>3</v>
      </c>
      <c r="AE116">
        <v>1</v>
      </c>
      <c r="AF116">
        <v>0</v>
      </c>
      <c r="AG116">
        <v>0</v>
      </c>
      <c r="AH116">
        <v>0</v>
      </c>
      <c r="AI116">
        <f>IF(tbl_HRData[[#This Row],[Attrition]] = "Yes",1,0)</f>
        <v>0</v>
      </c>
      <c r="AJ116">
        <f>IF(tbl_HRData[[#This Row],[Attrition]] = "No",1,0)</f>
        <v>1</v>
      </c>
      <c r="AK116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16" s="1" t="str">
        <f>IF(tbl_HRData[[#This Row],[MonthlyIncome]]&lt;5000,"Low",
IF(tbl_HRData[[#This Row],[MonthlyIncome]]&lt;10000,"Medium",
IF(tbl_HRData[[#This Row],[MonthlyIncome]]&lt;15000,"Upper Medium","High")))</f>
        <v>Low</v>
      </c>
      <c r="AM116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17" spans="1:39" x14ac:dyDescent="0.35">
      <c r="A117" s="1">
        <v>116</v>
      </c>
      <c r="B117">
        <v>37</v>
      </c>
      <c r="C117" s="1" t="s">
        <v>40</v>
      </c>
      <c r="D117" s="1" t="s">
        <v>34</v>
      </c>
      <c r="E117">
        <v>1189</v>
      </c>
      <c r="F117" s="1" t="s">
        <v>35</v>
      </c>
      <c r="G117">
        <v>3</v>
      </c>
      <c r="H117">
        <v>3</v>
      </c>
      <c r="I117" s="1" t="s">
        <v>36</v>
      </c>
      <c r="J117">
        <v>152</v>
      </c>
      <c r="K117">
        <v>3</v>
      </c>
      <c r="L117" s="1" t="s">
        <v>43</v>
      </c>
      <c r="M117">
        <v>87</v>
      </c>
      <c r="N117">
        <v>3</v>
      </c>
      <c r="O117">
        <v>3</v>
      </c>
      <c r="P117" s="1" t="s">
        <v>38</v>
      </c>
      <c r="Q117">
        <v>4</v>
      </c>
      <c r="R117" s="1" t="s">
        <v>39</v>
      </c>
      <c r="S117">
        <v>7428</v>
      </c>
      <c r="T117">
        <v>14506</v>
      </c>
      <c r="U117">
        <v>2</v>
      </c>
      <c r="V117" s="1" t="s">
        <v>40</v>
      </c>
      <c r="W117">
        <v>12</v>
      </c>
      <c r="X117">
        <v>3</v>
      </c>
      <c r="Y117">
        <v>1</v>
      </c>
      <c r="Z117">
        <v>80</v>
      </c>
      <c r="AA117">
        <v>0</v>
      </c>
      <c r="AB117">
        <v>12</v>
      </c>
      <c r="AC117">
        <v>3</v>
      </c>
      <c r="AD117">
        <v>3</v>
      </c>
      <c r="AE117">
        <v>5</v>
      </c>
      <c r="AF117">
        <v>3</v>
      </c>
      <c r="AG117">
        <v>1</v>
      </c>
      <c r="AH117">
        <v>3</v>
      </c>
      <c r="AI117">
        <f>IF(tbl_HRData[[#This Row],[Attrition]] = "Yes",1,0)</f>
        <v>0</v>
      </c>
      <c r="AJ117">
        <f>IF(tbl_HRData[[#This Row],[Attrition]] = "No",1,0)</f>
        <v>1</v>
      </c>
      <c r="AK117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17" s="1" t="str">
        <f>IF(tbl_HRData[[#This Row],[MonthlyIncome]]&lt;5000,"Low",
IF(tbl_HRData[[#This Row],[MonthlyIncome]]&lt;10000,"Medium",
IF(tbl_HRData[[#This Row],[MonthlyIncome]]&lt;15000,"Upper Medium","High")))</f>
        <v>Medium</v>
      </c>
      <c r="AM117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18" spans="1:39" x14ac:dyDescent="0.35">
      <c r="A118" s="1">
        <v>117</v>
      </c>
      <c r="B118">
        <v>34</v>
      </c>
      <c r="C118" s="1" t="s">
        <v>40</v>
      </c>
      <c r="D118" s="1" t="s">
        <v>34</v>
      </c>
      <c r="E118">
        <v>1354</v>
      </c>
      <c r="F118" s="1" t="s">
        <v>42</v>
      </c>
      <c r="G118">
        <v>5</v>
      </c>
      <c r="H118">
        <v>3</v>
      </c>
      <c r="I118" s="1" t="s">
        <v>48</v>
      </c>
      <c r="J118">
        <v>153</v>
      </c>
      <c r="K118">
        <v>3</v>
      </c>
      <c r="L118" s="1" t="s">
        <v>37</v>
      </c>
      <c r="M118">
        <v>45</v>
      </c>
      <c r="N118">
        <v>2</v>
      </c>
      <c r="O118">
        <v>3</v>
      </c>
      <c r="P118" s="1" t="s">
        <v>53</v>
      </c>
      <c r="Q118">
        <v>1</v>
      </c>
      <c r="R118" s="1" t="s">
        <v>39</v>
      </c>
      <c r="S118">
        <v>11631</v>
      </c>
      <c r="T118">
        <v>5615</v>
      </c>
      <c r="U118">
        <v>2</v>
      </c>
      <c r="V118" s="1" t="s">
        <v>40</v>
      </c>
      <c r="W118">
        <v>12</v>
      </c>
      <c r="X118">
        <v>3</v>
      </c>
      <c r="Y118">
        <v>4</v>
      </c>
      <c r="Z118">
        <v>80</v>
      </c>
      <c r="AA118">
        <v>0</v>
      </c>
      <c r="AB118">
        <v>14</v>
      </c>
      <c r="AC118">
        <v>6</v>
      </c>
      <c r="AD118">
        <v>3</v>
      </c>
      <c r="AE118">
        <v>11</v>
      </c>
      <c r="AF118">
        <v>10</v>
      </c>
      <c r="AG118">
        <v>5</v>
      </c>
      <c r="AH118">
        <v>8</v>
      </c>
      <c r="AI118">
        <f>IF(tbl_HRData[[#This Row],[Attrition]] = "Yes",1,0)</f>
        <v>0</v>
      </c>
      <c r="AJ118">
        <f>IF(tbl_HRData[[#This Row],[Attrition]] = "No",1,0)</f>
        <v>1</v>
      </c>
      <c r="AK118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18" s="1" t="str">
        <f>IF(tbl_HRData[[#This Row],[MonthlyIncome]]&lt;5000,"Low",
IF(tbl_HRData[[#This Row],[MonthlyIncome]]&lt;10000,"Medium",
IF(tbl_HRData[[#This Row],[MonthlyIncome]]&lt;15000,"Upper Medium","High")))</f>
        <v>Upper Medium</v>
      </c>
      <c r="AM118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119" spans="1:39" x14ac:dyDescent="0.35">
      <c r="A119" s="1">
        <v>118</v>
      </c>
      <c r="B119">
        <v>36</v>
      </c>
      <c r="C119" s="1" t="s">
        <v>40</v>
      </c>
      <c r="D119" s="1" t="s">
        <v>41</v>
      </c>
      <c r="E119">
        <v>1467</v>
      </c>
      <c r="F119" s="1" t="s">
        <v>35</v>
      </c>
      <c r="G119">
        <v>11</v>
      </c>
      <c r="H119">
        <v>2</v>
      </c>
      <c r="I119" s="1" t="s">
        <v>57</v>
      </c>
      <c r="J119">
        <v>154</v>
      </c>
      <c r="K119">
        <v>2</v>
      </c>
      <c r="L119" s="1" t="s">
        <v>37</v>
      </c>
      <c r="M119">
        <v>92</v>
      </c>
      <c r="N119">
        <v>3</v>
      </c>
      <c r="O119">
        <v>3</v>
      </c>
      <c r="P119" s="1" t="s">
        <v>38</v>
      </c>
      <c r="Q119">
        <v>4</v>
      </c>
      <c r="R119" s="1" t="s">
        <v>45</v>
      </c>
      <c r="S119">
        <v>9738</v>
      </c>
      <c r="T119">
        <v>22952</v>
      </c>
      <c r="U119">
        <v>0</v>
      </c>
      <c r="V119" s="1" t="s">
        <v>40</v>
      </c>
      <c r="W119">
        <v>14</v>
      </c>
      <c r="X119">
        <v>3</v>
      </c>
      <c r="Y119">
        <v>3</v>
      </c>
      <c r="Z119">
        <v>80</v>
      </c>
      <c r="AA119">
        <v>1</v>
      </c>
      <c r="AB119">
        <v>10</v>
      </c>
      <c r="AC119">
        <v>6</v>
      </c>
      <c r="AD119">
        <v>3</v>
      </c>
      <c r="AE119">
        <v>9</v>
      </c>
      <c r="AF119">
        <v>7</v>
      </c>
      <c r="AG119">
        <v>2</v>
      </c>
      <c r="AH119">
        <v>8</v>
      </c>
      <c r="AI119">
        <f>IF(tbl_HRData[[#This Row],[Attrition]] = "Yes",1,0)</f>
        <v>0</v>
      </c>
      <c r="AJ119">
        <f>IF(tbl_HRData[[#This Row],[Attrition]] = "No",1,0)</f>
        <v>1</v>
      </c>
      <c r="AK119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19" s="1" t="str">
        <f>IF(tbl_HRData[[#This Row],[MonthlyIncome]]&lt;5000,"Low",
IF(tbl_HRData[[#This Row],[MonthlyIncome]]&lt;10000,"Medium",
IF(tbl_HRData[[#This Row],[MonthlyIncome]]&lt;15000,"Upper Medium","High")))</f>
        <v>Medium</v>
      </c>
      <c r="AM119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20" spans="1:39" x14ac:dyDescent="0.35">
      <c r="A120" s="1">
        <v>119</v>
      </c>
      <c r="B120">
        <v>36</v>
      </c>
      <c r="C120" s="1" t="s">
        <v>40</v>
      </c>
      <c r="D120" s="1" t="s">
        <v>34</v>
      </c>
      <c r="E120">
        <v>922</v>
      </c>
      <c r="F120" s="1" t="s">
        <v>42</v>
      </c>
      <c r="G120">
        <v>3</v>
      </c>
      <c r="H120">
        <v>2</v>
      </c>
      <c r="I120" s="1" t="s">
        <v>36</v>
      </c>
      <c r="J120">
        <v>155</v>
      </c>
      <c r="K120">
        <v>1</v>
      </c>
      <c r="L120" s="1" t="s">
        <v>37</v>
      </c>
      <c r="M120">
        <v>39</v>
      </c>
      <c r="N120">
        <v>3</v>
      </c>
      <c r="O120">
        <v>1</v>
      </c>
      <c r="P120" s="1" t="s">
        <v>47</v>
      </c>
      <c r="Q120">
        <v>4</v>
      </c>
      <c r="R120" s="1" t="s">
        <v>49</v>
      </c>
      <c r="S120">
        <v>2835</v>
      </c>
      <c r="T120">
        <v>2561</v>
      </c>
      <c r="U120">
        <v>5</v>
      </c>
      <c r="V120" s="1" t="s">
        <v>40</v>
      </c>
      <c r="W120">
        <v>22</v>
      </c>
      <c r="X120">
        <v>4</v>
      </c>
      <c r="Y120">
        <v>1</v>
      </c>
      <c r="Z120">
        <v>80</v>
      </c>
      <c r="AA120">
        <v>1</v>
      </c>
      <c r="AB120">
        <v>7</v>
      </c>
      <c r="AC120">
        <v>2</v>
      </c>
      <c r="AD120">
        <v>3</v>
      </c>
      <c r="AE120">
        <v>1</v>
      </c>
      <c r="AF120">
        <v>0</v>
      </c>
      <c r="AG120">
        <v>0</v>
      </c>
      <c r="AH120">
        <v>0</v>
      </c>
      <c r="AI120">
        <f>IF(tbl_HRData[[#This Row],[Attrition]] = "Yes",1,0)</f>
        <v>0</v>
      </c>
      <c r="AJ120">
        <f>IF(tbl_HRData[[#This Row],[Attrition]] = "No",1,0)</f>
        <v>1</v>
      </c>
      <c r="AK120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20" s="1" t="str">
        <f>IF(tbl_HRData[[#This Row],[MonthlyIncome]]&lt;5000,"Low",
IF(tbl_HRData[[#This Row],[MonthlyIncome]]&lt;10000,"Medium",
IF(tbl_HRData[[#This Row],[MonthlyIncome]]&lt;15000,"Upper Medium","High")))</f>
        <v>Low</v>
      </c>
      <c r="AM120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21" spans="1:39" x14ac:dyDescent="0.35">
      <c r="A121" s="1">
        <v>120</v>
      </c>
      <c r="B121">
        <v>43</v>
      </c>
      <c r="C121" s="1" t="s">
        <v>40</v>
      </c>
      <c r="D121" s="1" t="s">
        <v>41</v>
      </c>
      <c r="E121">
        <v>394</v>
      </c>
      <c r="F121" s="1" t="s">
        <v>35</v>
      </c>
      <c r="G121">
        <v>26</v>
      </c>
      <c r="H121">
        <v>2</v>
      </c>
      <c r="I121" s="1" t="s">
        <v>36</v>
      </c>
      <c r="J121">
        <v>158</v>
      </c>
      <c r="K121">
        <v>3</v>
      </c>
      <c r="L121" s="1" t="s">
        <v>43</v>
      </c>
      <c r="M121">
        <v>92</v>
      </c>
      <c r="N121">
        <v>3</v>
      </c>
      <c r="O121">
        <v>4</v>
      </c>
      <c r="P121" s="1" t="s">
        <v>53</v>
      </c>
      <c r="Q121">
        <v>4</v>
      </c>
      <c r="R121" s="1" t="s">
        <v>45</v>
      </c>
      <c r="S121">
        <v>16959</v>
      </c>
      <c r="T121">
        <v>19494</v>
      </c>
      <c r="U121">
        <v>1</v>
      </c>
      <c r="V121" s="1" t="s">
        <v>33</v>
      </c>
      <c r="W121">
        <v>12</v>
      </c>
      <c r="X121">
        <v>3</v>
      </c>
      <c r="Y121">
        <v>4</v>
      </c>
      <c r="Z121">
        <v>80</v>
      </c>
      <c r="AA121">
        <v>2</v>
      </c>
      <c r="AB121">
        <v>25</v>
      </c>
      <c r="AC121">
        <v>3</v>
      </c>
      <c r="AD121">
        <v>4</v>
      </c>
      <c r="AE121">
        <v>25</v>
      </c>
      <c r="AF121">
        <v>12</v>
      </c>
      <c r="AG121">
        <v>4</v>
      </c>
      <c r="AH121">
        <v>12</v>
      </c>
      <c r="AI121">
        <f>IF(tbl_HRData[[#This Row],[Attrition]] = "Yes",1,0)</f>
        <v>0</v>
      </c>
      <c r="AJ121">
        <f>IF(tbl_HRData[[#This Row],[Attrition]] = "No",1,0)</f>
        <v>1</v>
      </c>
      <c r="AK121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21" s="1" t="str">
        <f>IF(tbl_HRData[[#This Row],[MonthlyIncome]]&lt;5000,"Low",
IF(tbl_HRData[[#This Row],[MonthlyIncome]]&lt;10000,"Medium",
IF(tbl_HRData[[#This Row],[MonthlyIncome]]&lt;15000,"Upper Medium","High")))</f>
        <v>High</v>
      </c>
      <c r="AM121" s="1" t="str">
        <f>IF(tbl_HRData[[#This Row],[YearsAtCompany]]&lt;=5,"0-5 Years",
IF(tbl_HRData[[#This Row],[YearsAtCompany]]&lt;=10,"6-10 Years",
IF(tbl_HRData[[#This Row],[YearsAtCompany]]&lt;=20,"11-20 Years","21+ Years")))</f>
        <v>21+ Years</v>
      </c>
    </row>
    <row r="122" spans="1:39" x14ac:dyDescent="0.35">
      <c r="A122" s="1">
        <v>121</v>
      </c>
      <c r="B122">
        <v>30</v>
      </c>
      <c r="C122" s="1" t="s">
        <v>40</v>
      </c>
      <c r="D122" s="1" t="s">
        <v>41</v>
      </c>
      <c r="E122">
        <v>1312</v>
      </c>
      <c r="F122" s="1" t="s">
        <v>42</v>
      </c>
      <c r="G122">
        <v>23</v>
      </c>
      <c r="H122">
        <v>3</v>
      </c>
      <c r="I122" s="1" t="s">
        <v>36</v>
      </c>
      <c r="J122">
        <v>159</v>
      </c>
      <c r="K122">
        <v>1</v>
      </c>
      <c r="L122" s="1" t="s">
        <v>43</v>
      </c>
      <c r="M122">
        <v>96</v>
      </c>
      <c r="N122">
        <v>1</v>
      </c>
      <c r="O122">
        <v>1</v>
      </c>
      <c r="P122" s="1" t="s">
        <v>44</v>
      </c>
      <c r="Q122">
        <v>3</v>
      </c>
      <c r="R122" s="1" t="s">
        <v>49</v>
      </c>
      <c r="S122">
        <v>2613</v>
      </c>
      <c r="T122">
        <v>22310</v>
      </c>
      <c r="U122">
        <v>1</v>
      </c>
      <c r="V122" s="1" t="s">
        <v>40</v>
      </c>
      <c r="W122">
        <v>25</v>
      </c>
      <c r="X122">
        <v>4</v>
      </c>
      <c r="Y122">
        <v>3</v>
      </c>
      <c r="Z122">
        <v>80</v>
      </c>
      <c r="AA122">
        <v>3</v>
      </c>
      <c r="AB122">
        <v>10</v>
      </c>
      <c r="AC122">
        <v>2</v>
      </c>
      <c r="AD122">
        <v>2</v>
      </c>
      <c r="AE122">
        <v>10</v>
      </c>
      <c r="AF122">
        <v>7</v>
      </c>
      <c r="AG122">
        <v>0</v>
      </c>
      <c r="AH122">
        <v>9</v>
      </c>
      <c r="AI122">
        <f>IF(tbl_HRData[[#This Row],[Attrition]] = "Yes",1,0)</f>
        <v>0</v>
      </c>
      <c r="AJ122">
        <f>IF(tbl_HRData[[#This Row],[Attrition]] = "No",1,0)</f>
        <v>1</v>
      </c>
      <c r="AK122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22" s="1" t="str">
        <f>IF(tbl_HRData[[#This Row],[MonthlyIncome]]&lt;5000,"Low",
IF(tbl_HRData[[#This Row],[MonthlyIncome]]&lt;10000,"Medium",
IF(tbl_HRData[[#This Row],[MonthlyIncome]]&lt;15000,"Upper Medium","High")))</f>
        <v>Low</v>
      </c>
      <c r="AM122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23" spans="1:39" x14ac:dyDescent="0.35">
      <c r="A123" s="1">
        <v>122</v>
      </c>
      <c r="B123">
        <v>33</v>
      </c>
      <c r="C123" s="1" t="s">
        <v>40</v>
      </c>
      <c r="D123" s="1" t="s">
        <v>52</v>
      </c>
      <c r="E123">
        <v>750</v>
      </c>
      <c r="F123" s="1" t="s">
        <v>35</v>
      </c>
      <c r="G123">
        <v>22</v>
      </c>
      <c r="H123">
        <v>2</v>
      </c>
      <c r="I123" s="1" t="s">
        <v>56</v>
      </c>
      <c r="J123">
        <v>160</v>
      </c>
      <c r="K123">
        <v>3</v>
      </c>
      <c r="L123" s="1" t="s">
        <v>43</v>
      </c>
      <c r="M123">
        <v>95</v>
      </c>
      <c r="N123">
        <v>3</v>
      </c>
      <c r="O123">
        <v>2</v>
      </c>
      <c r="P123" s="1" t="s">
        <v>38</v>
      </c>
      <c r="Q123">
        <v>2</v>
      </c>
      <c r="R123" s="1" t="s">
        <v>45</v>
      </c>
      <c r="S123">
        <v>6146</v>
      </c>
      <c r="T123">
        <v>15480</v>
      </c>
      <c r="U123">
        <v>0</v>
      </c>
      <c r="V123" s="1" t="s">
        <v>40</v>
      </c>
      <c r="W123">
        <v>13</v>
      </c>
      <c r="X123">
        <v>3</v>
      </c>
      <c r="Y123">
        <v>1</v>
      </c>
      <c r="Z123">
        <v>80</v>
      </c>
      <c r="AA123">
        <v>1</v>
      </c>
      <c r="AB123">
        <v>8</v>
      </c>
      <c r="AC123">
        <v>2</v>
      </c>
      <c r="AD123">
        <v>4</v>
      </c>
      <c r="AE123">
        <v>7</v>
      </c>
      <c r="AF123">
        <v>7</v>
      </c>
      <c r="AG123">
        <v>0</v>
      </c>
      <c r="AH123">
        <v>7</v>
      </c>
      <c r="AI123">
        <f>IF(tbl_HRData[[#This Row],[Attrition]] = "Yes",1,0)</f>
        <v>0</v>
      </c>
      <c r="AJ123">
        <f>IF(tbl_HRData[[#This Row],[Attrition]] = "No",1,0)</f>
        <v>1</v>
      </c>
      <c r="AK123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23" s="1" t="str">
        <f>IF(tbl_HRData[[#This Row],[MonthlyIncome]]&lt;5000,"Low",
IF(tbl_HRData[[#This Row],[MonthlyIncome]]&lt;10000,"Medium",
IF(tbl_HRData[[#This Row],[MonthlyIncome]]&lt;15000,"Upper Medium","High")))</f>
        <v>Medium</v>
      </c>
      <c r="AM123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24" spans="1:39" x14ac:dyDescent="0.35">
      <c r="A124" s="1">
        <v>123</v>
      </c>
      <c r="B124">
        <v>56</v>
      </c>
      <c r="C124" s="1" t="s">
        <v>33</v>
      </c>
      <c r="D124" s="1" t="s">
        <v>34</v>
      </c>
      <c r="E124">
        <v>441</v>
      </c>
      <c r="F124" s="1" t="s">
        <v>42</v>
      </c>
      <c r="G124">
        <v>14</v>
      </c>
      <c r="H124">
        <v>4</v>
      </c>
      <c r="I124" s="1" t="s">
        <v>36</v>
      </c>
      <c r="J124">
        <v>161</v>
      </c>
      <c r="K124">
        <v>2</v>
      </c>
      <c r="L124" s="1" t="s">
        <v>37</v>
      </c>
      <c r="M124">
        <v>72</v>
      </c>
      <c r="N124">
        <v>3</v>
      </c>
      <c r="O124">
        <v>1</v>
      </c>
      <c r="P124" s="1" t="s">
        <v>44</v>
      </c>
      <c r="Q124">
        <v>2</v>
      </c>
      <c r="R124" s="1" t="s">
        <v>45</v>
      </c>
      <c r="S124">
        <v>4963</v>
      </c>
      <c r="T124">
        <v>4510</v>
      </c>
      <c r="U124">
        <v>9</v>
      </c>
      <c r="V124" s="1" t="s">
        <v>33</v>
      </c>
      <c r="W124">
        <v>18</v>
      </c>
      <c r="X124">
        <v>3</v>
      </c>
      <c r="Y124">
        <v>1</v>
      </c>
      <c r="Z124">
        <v>80</v>
      </c>
      <c r="AA124">
        <v>3</v>
      </c>
      <c r="AB124">
        <v>7</v>
      </c>
      <c r="AC124">
        <v>2</v>
      </c>
      <c r="AD124">
        <v>3</v>
      </c>
      <c r="AE124">
        <v>5</v>
      </c>
      <c r="AF124">
        <v>4</v>
      </c>
      <c r="AG124">
        <v>4</v>
      </c>
      <c r="AH124">
        <v>3</v>
      </c>
      <c r="AI124">
        <f>IF(tbl_HRData[[#This Row],[Attrition]] = "Yes",1,0)</f>
        <v>1</v>
      </c>
      <c r="AJ124">
        <f>IF(tbl_HRData[[#This Row],[Attrition]] = "No",1,0)</f>
        <v>0</v>
      </c>
      <c r="AK124" t="str">
        <f>IF(tbl_HRData[[#This Row],[Age]] &lt; 25, "Under 25", IF(tbl_HRData[[#This Row],[Age]] &lt;= 34, "25-34", IF(tbl_HRData[[#This Row],[Age]] &lt;= 44, "35-44", IF(tbl_HRData[[#This Row],[Age]] &lt;= 54, "45-54", "55+"))))</f>
        <v>55+</v>
      </c>
      <c r="AL124" s="1" t="str">
        <f>IF(tbl_HRData[[#This Row],[MonthlyIncome]]&lt;5000,"Low",
IF(tbl_HRData[[#This Row],[MonthlyIncome]]&lt;10000,"Medium",
IF(tbl_HRData[[#This Row],[MonthlyIncome]]&lt;15000,"Upper Medium","High")))</f>
        <v>Low</v>
      </c>
      <c r="AM124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25" spans="1:39" x14ac:dyDescent="0.35">
      <c r="A125" s="1">
        <v>124</v>
      </c>
      <c r="B125">
        <v>51</v>
      </c>
      <c r="C125" s="1" t="s">
        <v>40</v>
      </c>
      <c r="D125" s="1" t="s">
        <v>34</v>
      </c>
      <c r="E125">
        <v>684</v>
      </c>
      <c r="F125" s="1" t="s">
        <v>42</v>
      </c>
      <c r="G125">
        <v>6</v>
      </c>
      <c r="H125">
        <v>3</v>
      </c>
      <c r="I125" s="1" t="s">
        <v>36</v>
      </c>
      <c r="J125">
        <v>162</v>
      </c>
      <c r="K125">
        <v>1</v>
      </c>
      <c r="L125" s="1" t="s">
        <v>43</v>
      </c>
      <c r="M125">
        <v>51</v>
      </c>
      <c r="N125">
        <v>3</v>
      </c>
      <c r="O125">
        <v>5</v>
      </c>
      <c r="P125" s="1" t="s">
        <v>55</v>
      </c>
      <c r="Q125">
        <v>3</v>
      </c>
      <c r="R125" s="1" t="s">
        <v>39</v>
      </c>
      <c r="S125">
        <v>19537</v>
      </c>
      <c r="T125">
        <v>6462</v>
      </c>
      <c r="U125">
        <v>7</v>
      </c>
      <c r="V125" s="1" t="s">
        <v>40</v>
      </c>
      <c r="W125">
        <v>13</v>
      </c>
      <c r="X125">
        <v>3</v>
      </c>
      <c r="Y125">
        <v>3</v>
      </c>
      <c r="Z125">
        <v>80</v>
      </c>
      <c r="AA125">
        <v>0</v>
      </c>
      <c r="AB125">
        <v>23</v>
      </c>
      <c r="AC125">
        <v>5</v>
      </c>
      <c r="AD125">
        <v>3</v>
      </c>
      <c r="AE125">
        <v>20</v>
      </c>
      <c r="AF125">
        <v>18</v>
      </c>
      <c r="AG125">
        <v>15</v>
      </c>
      <c r="AH125">
        <v>15</v>
      </c>
      <c r="AI125">
        <f>IF(tbl_HRData[[#This Row],[Attrition]] = "Yes",1,0)</f>
        <v>0</v>
      </c>
      <c r="AJ125">
        <f>IF(tbl_HRData[[#This Row],[Attrition]] = "No",1,0)</f>
        <v>1</v>
      </c>
      <c r="AK125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125" s="1" t="str">
        <f>IF(tbl_HRData[[#This Row],[MonthlyIncome]]&lt;5000,"Low",
IF(tbl_HRData[[#This Row],[MonthlyIncome]]&lt;10000,"Medium",
IF(tbl_HRData[[#This Row],[MonthlyIncome]]&lt;15000,"Upper Medium","High")))</f>
        <v>High</v>
      </c>
      <c r="AM125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126" spans="1:39" x14ac:dyDescent="0.35">
      <c r="A126" s="1">
        <v>125</v>
      </c>
      <c r="B126">
        <v>31</v>
      </c>
      <c r="C126" s="1" t="s">
        <v>33</v>
      </c>
      <c r="D126" s="1" t="s">
        <v>34</v>
      </c>
      <c r="E126">
        <v>249</v>
      </c>
      <c r="F126" s="1" t="s">
        <v>35</v>
      </c>
      <c r="G126">
        <v>6</v>
      </c>
      <c r="H126">
        <v>4</v>
      </c>
      <c r="I126" s="1" t="s">
        <v>36</v>
      </c>
      <c r="J126">
        <v>163</v>
      </c>
      <c r="K126">
        <v>2</v>
      </c>
      <c r="L126" s="1" t="s">
        <v>43</v>
      </c>
      <c r="M126">
        <v>76</v>
      </c>
      <c r="N126">
        <v>1</v>
      </c>
      <c r="O126">
        <v>2</v>
      </c>
      <c r="P126" s="1" t="s">
        <v>38</v>
      </c>
      <c r="Q126">
        <v>3</v>
      </c>
      <c r="R126" s="1" t="s">
        <v>45</v>
      </c>
      <c r="S126">
        <v>6172</v>
      </c>
      <c r="T126">
        <v>20739</v>
      </c>
      <c r="U126">
        <v>4</v>
      </c>
      <c r="V126" s="1" t="s">
        <v>33</v>
      </c>
      <c r="W126">
        <v>18</v>
      </c>
      <c r="X126">
        <v>3</v>
      </c>
      <c r="Y126">
        <v>2</v>
      </c>
      <c r="Z126">
        <v>80</v>
      </c>
      <c r="AA126">
        <v>0</v>
      </c>
      <c r="AB126">
        <v>12</v>
      </c>
      <c r="AC126">
        <v>3</v>
      </c>
      <c r="AD126">
        <v>2</v>
      </c>
      <c r="AE126">
        <v>7</v>
      </c>
      <c r="AF126">
        <v>7</v>
      </c>
      <c r="AG126">
        <v>7</v>
      </c>
      <c r="AH126">
        <v>7</v>
      </c>
      <c r="AI126">
        <f>IF(tbl_HRData[[#This Row],[Attrition]] = "Yes",1,0)</f>
        <v>1</v>
      </c>
      <c r="AJ126">
        <f>IF(tbl_HRData[[#This Row],[Attrition]] = "No",1,0)</f>
        <v>0</v>
      </c>
      <c r="AK126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26" s="1" t="str">
        <f>IF(tbl_HRData[[#This Row],[MonthlyIncome]]&lt;5000,"Low",
IF(tbl_HRData[[#This Row],[MonthlyIncome]]&lt;10000,"Medium",
IF(tbl_HRData[[#This Row],[MonthlyIncome]]&lt;15000,"Upper Medium","High")))</f>
        <v>Medium</v>
      </c>
      <c r="AM126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27" spans="1:39" x14ac:dyDescent="0.35">
      <c r="A127" s="1">
        <v>126</v>
      </c>
      <c r="B127">
        <v>26</v>
      </c>
      <c r="C127" s="1" t="s">
        <v>40</v>
      </c>
      <c r="D127" s="1" t="s">
        <v>34</v>
      </c>
      <c r="E127">
        <v>841</v>
      </c>
      <c r="F127" s="1" t="s">
        <v>42</v>
      </c>
      <c r="G127">
        <v>6</v>
      </c>
      <c r="H127">
        <v>3</v>
      </c>
      <c r="I127" s="1" t="s">
        <v>46</v>
      </c>
      <c r="J127">
        <v>164</v>
      </c>
      <c r="K127">
        <v>3</v>
      </c>
      <c r="L127" s="1" t="s">
        <v>37</v>
      </c>
      <c r="M127">
        <v>46</v>
      </c>
      <c r="N127">
        <v>2</v>
      </c>
      <c r="O127">
        <v>1</v>
      </c>
      <c r="P127" s="1" t="s">
        <v>44</v>
      </c>
      <c r="Q127">
        <v>2</v>
      </c>
      <c r="R127" s="1" t="s">
        <v>45</v>
      </c>
      <c r="S127">
        <v>2368</v>
      </c>
      <c r="T127">
        <v>23300</v>
      </c>
      <c r="U127">
        <v>1</v>
      </c>
      <c r="V127" s="1" t="s">
        <v>40</v>
      </c>
      <c r="W127">
        <v>19</v>
      </c>
      <c r="X127">
        <v>3</v>
      </c>
      <c r="Y127">
        <v>3</v>
      </c>
      <c r="Z127">
        <v>80</v>
      </c>
      <c r="AA127">
        <v>0</v>
      </c>
      <c r="AB127">
        <v>5</v>
      </c>
      <c r="AC127">
        <v>3</v>
      </c>
      <c r="AD127">
        <v>2</v>
      </c>
      <c r="AE127">
        <v>5</v>
      </c>
      <c r="AF127">
        <v>4</v>
      </c>
      <c r="AG127">
        <v>4</v>
      </c>
      <c r="AH127">
        <v>3</v>
      </c>
      <c r="AI127">
        <f>IF(tbl_HRData[[#This Row],[Attrition]] = "Yes",1,0)</f>
        <v>0</v>
      </c>
      <c r="AJ127">
        <f>IF(tbl_HRData[[#This Row],[Attrition]] = "No",1,0)</f>
        <v>1</v>
      </c>
      <c r="AK127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27" s="1" t="str">
        <f>IF(tbl_HRData[[#This Row],[MonthlyIncome]]&lt;5000,"Low",
IF(tbl_HRData[[#This Row],[MonthlyIncome]]&lt;10000,"Medium",
IF(tbl_HRData[[#This Row],[MonthlyIncome]]&lt;15000,"Upper Medium","High")))</f>
        <v>Low</v>
      </c>
      <c r="AM127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28" spans="1:39" x14ac:dyDescent="0.35">
      <c r="A128" s="1">
        <v>127</v>
      </c>
      <c r="B128">
        <v>58</v>
      </c>
      <c r="C128" s="1" t="s">
        <v>33</v>
      </c>
      <c r="D128" s="1" t="s">
        <v>34</v>
      </c>
      <c r="E128">
        <v>147</v>
      </c>
      <c r="F128" s="1" t="s">
        <v>42</v>
      </c>
      <c r="G128">
        <v>23</v>
      </c>
      <c r="H128">
        <v>4</v>
      </c>
      <c r="I128" s="1" t="s">
        <v>48</v>
      </c>
      <c r="J128">
        <v>165</v>
      </c>
      <c r="K128">
        <v>4</v>
      </c>
      <c r="L128" s="1" t="s">
        <v>37</v>
      </c>
      <c r="M128">
        <v>94</v>
      </c>
      <c r="N128">
        <v>3</v>
      </c>
      <c r="O128">
        <v>3</v>
      </c>
      <c r="P128" s="1" t="s">
        <v>51</v>
      </c>
      <c r="Q128">
        <v>4</v>
      </c>
      <c r="R128" s="1" t="s">
        <v>45</v>
      </c>
      <c r="S128">
        <v>10312</v>
      </c>
      <c r="T128">
        <v>3465</v>
      </c>
      <c r="U128">
        <v>1</v>
      </c>
      <c r="V128" s="1" t="s">
        <v>40</v>
      </c>
      <c r="W128">
        <v>12</v>
      </c>
      <c r="X128">
        <v>3</v>
      </c>
      <c r="Y128">
        <v>4</v>
      </c>
      <c r="Z128">
        <v>80</v>
      </c>
      <c r="AA128">
        <v>1</v>
      </c>
      <c r="AB128">
        <v>40</v>
      </c>
      <c r="AC128">
        <v>3</v>
      </c>
      <c r="AD128">
        <v>2</v>
      </c>
      <c r="AE128">
        <v>40</v>
      </c>
      <c r="AF128">
        <v>10</v>
      </c>
      <c r="AG128">
        <v>15</v>
      </c>
      <c r="AH128">
        <v>6</v>
      </c>
      <c r="AI128">
        <f>IF(tbl_HRData[[#This Row],[Attrition]] = "Yes",1,0)</f>
        <v>1</v>
      </c>
      <c r="AJ128">
        <f>IF(tbl_HRData[[#This Row],[Attrition]] = "No",1,0)</f>
        <v>0</v>
      </c>
      <c r="AK128" t="str">
        <f>IF(tbl_HRData[[#This Row],[Age]] &lt; 25, "Under 25", IF(tbl_HRData[[#This Row],[Age]] &lt;= 34, "25-34", IF(tbl_HRData[[#This Row],[Age]] &lt;= 44, "35-44", IF(tbl_HRData[[#This Row],[Age]] &lt;= 54, "45-54", "55+"))))</f>
        <v>55+</v>
      </c>
      <c r="AL128" s="1" t="str">
        <f>IF(tbl_HRData[[#This Row],[MonthlyIncome]]&lt;5000,"Low",
IF(tbl_HRData[[#This Row],[MonthlyIncome]]&lt;10000,"Medium",
IF(tbl_HRData[[#This Row],[MonthlyIncome]]&lt;15000,"Upper Medium","High")))</f>
        <v>Upper Medium</v>
      </c>
      <c r="AM128" s="1" t="str">
        <f>IF(tbl_HRData[[#This Row],[YearsAtCompany]]&lt;=5,"0-5 Years",
IF(tbl_HRData[[#This Row],[YearsAtCompany]]&lt;=10,"6-10 Years",
IF(tbl_HRData[[#This Row],[YearsAtCompany]]&lt;=20,"11-20 Years","21+ Years")))</f>
        <v>21+ Years</v>
      </c>
    </row>
    <row r="129" spans="1:39" x14ac:dyDescent="0.35">
      <c r="A129" s="1">
        <v>128</v>
      </c>
      <c r="B129">
        <v>19</v>
      </c>
      <c r="C129" s="1" t="s">
        <v>33</v>
      </c>
      <c r="D129" s="1" t="s">
        <v>34</v>
      </c>
      <c r="E129">
        <v>528</v>
      </c>
      <c r="F129" s="1" t="s">
        <v>35</v>
      </c>
      <c r="G129">
        <v>22</v>
      </c>
      <c r="H129">
        <v>1</v>
      </c>
      <c r="I129" s="1" t="s">
        <v>56</v>
      </c>
      <c r="J129">
        <v>167</v>
      </c>
      <c r="K129">
        <v>4</v>
      </c>
      <c r="L129" s="1" t="s">
        <v>43</v>
      </c>
      <c r="M129">
        <v>50</v>
      </c>
      <c r="N129">
        <v>3</v>
      </c>
      <c r="O129">
        <v>1</v>
      </c>
      <c r="P129" s="1" t="s">
        <v>54</v>
      </c>
      <c r="Q129">
        <v>3</v>
      </c>
      <c r="R129" s="1" t="s">
        <v>39</v>
      </c>
      <c r="S129">
        <v>1675</v>
      </c>
      <c r="T129">
        <v>26820</v>
      </c>
      <c r="U129">
        <v>1</v>
      </c>
      <c r="V129" s="1" t="s">
        <v>33</v>
      </c>
      <c r="W129">
        <v>19</v>
      </c>
      <c r="X129">
        <v>3</v>
      </c>
      <c r="Y129">
        <v>4</v>
      </c>
      <c r="Z129">
        <v>80</v>
      </c>
      <c r="AA129">
        <v>0</v>
      </c>
      <c r="AB129">
        <v>0</v>
      </c>
      <c r="AC129">
        <v>2</v>
      </c>
      <c r="AD129">
        <v>2</v>
      </c>
      <c r="AE129">
        <v>0</v>
      </c>
      <c r="AF129">
        <v>0</v>
      </c>
      <c r="AG129">
        <v>0</v>
      </c>
      <c r="AH129">
        <v>0</v>
      </c>
      <c r="AI129">
        <f>IF(tbl_HRData[[#This Row],[Attrition]] = "Yes",1,0)</f>
        <v>1</v>
      </c>
      <c r="AJ129">
        <f>IF(tbl_HRData[[#This Row],[Attrition]] = "No",1,0)</f>
        <v>0</v>
      </c>
      <c r="AK129" t="str">
        <f>IF(tbl_HRData[[#This Row],[Age]] &lt; 25, "Under 25", IF(tbl_HRData[[#This Row],[Age]] &lt;= 34, "25-34", IF(tbl_HRData[[#This Row],[Age]] &lt;= 44, "35-44", IF(tbl_HRData[[#This Row],[Age]] &lt;= 54, "45-54", "55+"))))</f>
        <v>Under 25</v>
      </c>
      <c r="AL129" s="1" t="str">
        <f>IF(tbl_HRData[[#This Row],[MonthlyIncome]]&lt;5000,"Low",
IF(tbl_HRData[[#This Row],[MonthlyIncome]]&lt;10000,"Medium",
IF(tbl_HRData[[#This Row],[MonthlyIncome]]&lt;15000,"Upper Medium","High")))</f>
        <v>Low</v>
      </c>
      <c r="AM129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30" spans="1:39" x14ac:dyDescent="0.35">
      <c r="A130" s="1">
        <v>129</v>
      </c>
      <c r="B130">
        <v>22</v>
      </c>
      <c r="C130" s="1" t="s">
        <v>40</v>
      </c>
      <c r="D130" s="1" t="s">
        <v>34</v>
      </c>
      <c r="E130">
        <v>594</v>
      </c>
      <c r="F130" s="1" t="s">
        <v>42</v>
      </c>
      <c r="G130">
        <v>2</v>
      </c>
      <c r="H130">
        <v>1</v>
      </c>
      <c r="I130" s="1" t="s">
        <v>57</v>
      </c>
      <c r="J130">
        <v>169</v>
      </c>
      <c r="K130">
        <v>3</v>
      </c>
      <c r="L130" s="1" t="s">
        <v>43</v>
      </c>
      <c r="M130">
        <v>100</v>
      </c>
      <c r="N130">
        <v>3</v>
      </c>
      <c r="O130">
        <v>1</v>
      </c>
      <c r="P130" s="1" t="s">
        <v>47</v>
      </c>
      <c r="Q130">
        <v>4</v>
      </c>
      <c r="R130" s="1" t="s">
        <v>45</v>
      </c>
      <c r="S130">
        <v>2523</v>
      </c>
      <c r="T130">
        <v>19299</v>
      </c>
      <c r="U130">
        <v>0</v>
      </c>
      <c r="V130" s="1" t="s">
        <v>40</v>
      </c>
      <c r="W130">
        <v>14</v>
      </c>
      <c r="X130">
        <v>3</v>
      </c>
      <c r="Y130">
        <v>3</v>
      </c>
      <c r="Z130">
        <v>80</v>
      </c>
      <c r="AA130">
        <v>1</v>
      </c>
      <c r="AB130">
        <v>3</v>
      </c>
      <c r="AC130">
        <v>2</v>
      </c>
      <c r="AD130">
        <v>3</v>
      </c>
      <c r="AE130">
        <v>2</v>
      </c>
      <c r="AF130">
        <v>1</v>
      </c>
      <c r="AG130">
        <v>2</v>
      </c>
      <c r="AH130">
        <v>1</v>
      </c>
      <c r="AI130">
        <f>IF(tbl_HRData[[#This Row],[Attrition]] = "Yes",1,0)</f>
        <v>0</v>
      </c>
      <c r="AJ130">
        <f>IF(tbl_HRData[[#This Row],[Attrition]] = "No",1,0)</f>
        <v>1</v>
      </c>
      <c r="AK130" t="str">
        <f>IF(tbl_HRData[[#This Row],[Age]] &lt; 25, "Under 25", IF(tbl_HRData[[#This Row],[Age]] &lt;= 34, "25-34", IF(tbl_HRData[[#This Row],[Age]] &lt;= 44, "35-44", IF(tbl_HRData[[#This Row],[Age]] &lt;= 54, "45-54", "55+"))))</f>
        <v>Under 25</v>
      </c>
      <c r="AL130" s="1" t="str">
        <f>IF(tbl_HRData[[#This Row],[MonthlyIncome]]&lt;5000,"Low",
IF(tbl_HRData[[#This Row],[MonthlyIncome]]&lt;10000,"Medium",
IF(tbl_HRData[[#This Row],[MonthlyIncome]]&lt;15000,"Upper Medium","High")))</f>
        <v>Low</v>
      </c>
      <c r="AM130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31" spans="1:39" x14ac:dyDescent="0.35">
      <c r="A131" s="1">
        <v>130</v>
      </c>
      <c r="B131">
        <v>49</v>
      </c>
      <c r="C131" s="1" t="s">
        <v>40</v>
      </c>
      <c r="D131" s="1" t="s">
        <v>34</v>
      </c>
      <c r="E131">
        <v>470</v>
      </c>
      <c r="F131" s="1" t="s">
        <v>42</v>
      </c>
      <c r="G131">
        <v>20</v>
      </c>
      <c r="H131">
        <v>4</v>
      </c>
      <c r="I131" s="1" t="s">
        <v>48</v>
      </c>
      <c r="J131">
        <v>170</v>
      </c>
      <c r="K131">
        <v>3</v>
      </c>
      <c r="L131" s="1" t="s">
        <v>37</v>
      </c>
      <c r="M131">
        <v>96</v>
      </c>
      <c r="N131">
        <v>3</v>
      </c>
      <c r="O131">
        <v>2</v>
      </c>
      <c r="P131" s="1" t="s">
        <v>50</v>
      </c>
      <c r="Q131">
        <v>1</v>
      </c>
      <c r="R131" s="1" t="s">
        <v>45</v>
      </c>
      <c r="S131">
        <v>6567</v>
      </c>
      <c r="T131">
        <v>5549</v>
      </c>
      <c r="U131">
        <v>1</v>
      </c>
      <c r="V131" s="1" t="s">
        <v>40</v>
      </c>
      <c r="W131">
        <v>14</v>
      </c>
      <c r="X131">
        <v>3</v>
      </c>
      <c r="Y131">
        <v>3</v>
      </c>
      <c r="Z131">
        <v>80</v>
      </c>
      <c r="AA131">
        <v>0</v>
      </c>
      <c r="AB131">
        <v>16</v>
      </c>
      <c r="AC131">
        <v>2</v>
      </c>
      <c r="AD131">
        <v>2</v>
      </c>
      <c r="AE131">
        <v>15</v>
      </c>
      <c r="AF131">
        <v>11</v>
      </c>
      <c r="AG131">
        <v>5</v>
      </c>
      <c r="AH131">
        <v>11</v>
      </c>
      <c r="AI131">
        <f>IF(tbl_HRData[[#This Row],[Attrition]] = "Yes",1,0)</f>
        <v>0</v>
      </c>
      <c r="AJ131">
        <f>IF(tbl_HRData[[#This Row],[Attrition]] = "No",1,0)</f>
        <v>1</v>
      </c>
      <c r="AK131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131" s="1" t="str">
        <f>IF(tbl_HRData[[#This Row],[MonthlyIncome]]&lt;5000,"Low",
IF(tbl_HRData[[#This Row],[MonthlyIncome]]&lt;10000,"Medium",
IF(tbl_HRData[[#This Row],[MonthlyIncome]]&lt;15000,"Upper Medium","High")))</f>
        <v>Medium</v>
      </c>
      <c r="AM131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132" spans="1:39" x14ac:dyDescent="0.35">
      <c r="A132" s="1">
        <v>131</v>
      </c>
      <c r="B132">
        <v>43</v>
      </c>
      <c r="C132" s="1" t="s">
        <v>40</v>
      </c>
      <c r="D132" s="1" t="s">
        <v>41</v>
      </c>
      <c r="E132">
        <v>957</v>
      </c>
      <c r="F132" s="1" t="s">
        <v>42</v>
      </c>
      <c r="G132">
        <v>28</v>
      </c>
      <c r="H132">
        <v>3</v>
      </c>
      <c r="I132" s="1" t="s">
        <v>48</v>
      </c>
      <c r="J132">
        <v>171</v>
      </c>
      <c r="K132">
        <v>2</v>
      </c>
      <c r="L132" s="1" t="s">
        <v>37</v>
      </c>
      <c r="M132">
        <v>72</v>
      </c>
      <c r="N132">
        <v>4</v>
      </c>
      <c r="O132">
        <v>1</v>
      </c>
      <c r="P132" s="1" t="s">
        <v>44</v>
      </c>
      <c r="Q132">
        <v>3</v>
      </c>
      <c r="R132" s="1" t="s">
        <v>39</v>
      </c>
      <c r="S132">
        <v>4739</v>
      </c>
      <c r="T132">
        <v>16090</v>
      </c>
      <c r="U132">
        <v>4</v>
      </c>
      <c r="V132" s="1" t="s">
        <v>40</v>
      </c>
      <c r="W132">
        <v>12</v>
      </c>
      <c r="X132">
        <v>3</v>
      </c>
      <c r="Y132">
        <v>4</v>
      </c>
      <c r="Z132">
        <v>80</v>
      </c>
      <c r="AA132">
        <v>0</v>
      </c>
      <c r="AB132">
        <v>18</v>
      </c>
      <c r="AC132">
        <v>2</v>
      </c>
      <c r="AD132">
        <v>3</v>
      </c>
      <c r="AE132">
        <v>3</v>
      </c>
      <c r="AF132">
        <v>2</v>
      </c>
      <c r="AG132">
        <v>1</v>
      </c>
      <c r="AH132">
        <v>2</v>
      </c>
      <c r="AI132">
        <f>IF(tbl_HRData[[#This Row],[Attrition]] = "Yes",1,0)</f>
        <v>0</v>
      </c>
      <c r="AJ132">
        <f>IF(tbl_HRData[[#This Row],[Attrition]] = "No",1,0)</f>
        <v>1</v>
      </c>
      <c r="AK132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32" s="1" t="str">
        <f>IF(tbl_HRData[[#This Row],[MonthlyIncome]]&lt;5000,"Low",
IF(tbl_HRData[[#This Row],[MonthlyIncome]]&lt;10000,"Medium",
IF(tbl_HRData[[#This Row],[MonthlyIncome]]&lt;15000,"Upper Medium","High")))</f>
        <v>Low</v>
      </c>
      <c r="AM132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33" spans="1:39" x14ac:dyDescent="0.35">
      <c r="A133" s="1">
        <v>132</v>
      </c>
      <c r="B133">
        <v>50</v>
      </c>
      <c r="C133" s="1" t="s">
        <v>40</v>
      </c>
      <c r="D133" s="1" t="s">
        <v>41</v>
      </c>
      <c r="E133">
        <v>809</v>
      </c>
      <c r="F133" s="1" t="s">
        <v>35</v>
      </c>
      <c r="G133">
        <v>12</v>
      </c>
      <c r="H133">
        <v>3</v>
      </c>
      <c r="I133" s="1" t="s">
        <v>56</v>
      </c>
      <c r="J133">
        <v>174</v>
      </c>
      <c r="K133">
        <v>3</v>
      </c>
      <c r="L133" s="1" t="s">
        <v>37</v>
      </c>
      <c r="M133">
        <v>77</v>
      </c>
      <c r="N133">
        <v>3</v>
      </c>
      <c r="O133">
        <v>3</v>
      </c>
      <c r="P133" s="1" t="s">
        <v>38</v>
      </c>
      <c r="Q133">
        <v>4</v>
      </c>
      <c r="R133" s="1" t="s">
        <v>39</v>
      </c>
      <c r="S133">
        <v>9208</v>
      </c>
      <c r="T133">
        <v>6645</v>
      </c>
      <c r="U133">
        <v>4</v>
      </c>
      <c r="V133" s="1" t="s">
        <v>40</v>
      </c>
      <c r="W133">
        <v>11</v>
      </c>
      <c r="X133">
        <v>3</v>
      </c>
      <c r="Y133">
        <v>4</v>
      </c>
      <c r="Z133">
        <v>80</v>
      </c>
      <c r="AA133">
        <v>0</v>
      </c>
      <c r="AB133">
        <v>16</v>
      </c>
      <c r="AC133">
        <v>3</v>
      </c>
      <c r="AD133">
        <v>3</v>
      </c>
      <c r="AE133">
        <v>2</v>
      </c>
      <c r="AF133">
        <v>2</v>
      </c>
      <c r="AG133">
        <v>2</v>
      </c>
      <c r="AH133">
        <v>1</v>
      </c>
      <c r="AI133">
        <f>IF(tbl_HRData[[#This Row],[Attrition]] = "Yes",1,0)</f>
        <v>0</v>
      </c>
      <c r="AJ133">
        <f>IF(tbl_HRData[[#This Row],[Attrition]] = "No",1,0)</f>
        <v>1</v>
      </c>
      <c r="AK133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133" s="1" t="str">
        <f>IF(tbl_HRData[[#This Row],[MonthlyIncome]]&lt;5000,"Low",
IF(tbl_HRData[[#This Row],[MonthlyIncome]]&lt;10000,"Medium",
IF(tbl_HRData[[#This Row],[MonthlyIncome]]&lt;15000,"Upper Medium","High")))</f>
        <v>Medium</v>
      </c>
      <c r="AM133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34" spans="1:39" x14ac:dyDescent="0.35">
      <c r="A134" s="1">
        <v>133</v>
      </c>
      <c r="B134">
        <v>31</v>
      </c>
      <c r="C134" s="1" t="s">
        <v>33</v>
      </c>
      <c r="D134" s="1" t="s">
        <v>34</v>
      </c>
      <c r="E134">
        <v>542</v>
      </c>
      <c r="F134" s="1" t="s">
        <v>35</v>
      </c>
      <c r="G134">
        <v>20</v>
      </c>
      <c r="H134">
        <v>3</v>
      </c>
      <c r="I134" s="1" t="s">
        <v>36</v>
      </c>
      <c r="J134">
        <v>175</v>
      </c>
      <c r="K134">
        <v>2</v>
      </c>
      <c r="L134" s="1" t="s">
        <v>37</v>
      </c>
      <c r="M134">
        <v>71</v>
      </c>
      <c r="N134">
        <v>1</v>
      </c>
      <c r="O134">
        <v>2</v>
      </c>
      <c r="P134" s="1" t="s">
        <v>38</v>
      </c>
      <c r="Q134">
        <v>3</v>
      </c>
      <c r="R134" s="1" t="s">
        <v>45</v>
      </c>
      <c r="S134">
        <v>4559</v>
      </c>
      <c r="T134">
        <v>24788</v>
      </c>
      <c r="U134">
        <v>3</v>
      </c>
      <c r="V134" s="1" t="s">
        <v>33</v>
      </c>
      <c r="W134">
        <v>11</v>
      </c>
      <c r="X134">
        <v>3</v>
      </c>
      <c r="Y134">
        <v>3</v>
      </c>
      <c r="Z134">
        <v>80</v>
      </c>
      <c r="AA134">
        <v>1</v>
      </c>
      <c r="AB134">
        <v>4</v>
      </c>
      <c r="AC134">
        <v>2</v>
      </c>
      <c r="AD134">
        <v>3</v>
      </c>
      <c r="AE134">
        <v>2</v>
      </c>
      <c r="AF134">
        <v>2</v>
      </c>
      <c r="AG134">
        <v>2</v>
      </c>
      <c r="AH134">
        <v>2</v>
      </c>
      <c r="AI134">
        <f>IF(tbl_HRData[[#This Row],[Attrition]] = "Yes",1,0)</f>
        <v>1</v>
      </c>
      <c r="AJ134">
        <f>IF(tbl_HRData[[#This Row],[Attrition]] = "No",1,0)</f>
        <v>0</v>
      </c>
      <c r="AK134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34" s="1" t="str">
        <f>IF(tbl_HRData[[#This Row],[MonthlyIncome]]&lt;5000,"Low",
IF(tbl_HRData[[#This Row],[MonthlyIncome]]&lt;10000,"Medium",
IF(tbl_HRData[[#This Row],[MonthlyIncome]]&lt;15000,"Upper Medium","High")))</f>
        <v>Low</v>
      </c>
      <c r="AM134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35" spans="1:39" x14ac:dyDescent="0.35">
      <c r="A135" s="1">
        <v>134</v>
      </c>
      <c r="B135">
        <v>41</v>
      </c>
      <c r="C135" s="1" t="s">
        <v>40</v>
      </c>
      <c r="D135" s="1" t="s">
        <v>34</v>
      </c>
      <c r="E135">
        <v>802</v>
      </c>
      <c r="F135" s="1" t="s">
        <v>35</v>
      </c>
      <c r="G135">
        <v>9</v>
      </c>
      <c r="H135">
        <v>1</v>
      </c>
      <c r="I135" s="1" t="s">
        <v>36</v>
      </c>
      <c r="J135">
        <v>176</v>
      </c>
      <c r="K135">
        <v>3</v>
      </c>
      <c r="L135" s="1" t="s">
        <v>43</v>
      </c>
      <c r="M135">
        <v>96</v>
      </c>
      <c r="N135">
        <v>3</v>
      </c>
      <c r="O135">
        <v>3</v>
      </c>
      <c r="P135" s="1" t="s">
        <v>38</v>
      </c>
      <c r="Q135">
        <v>3</v>
      </c>
      <c r="R135" s="1" t="s">
        <v>49</v>
      </c>
      <c r="S135">
        <v>8189</v>
      </c>
      <c r="T135">
        <v>21196</v>
      </c>
      <c r="U135">
        <v>3</v>
      </c>
      <c r="V135" s="1" t="s">
        <v>33</v>
      </c>
      <c r="W135">
        <v>13</v>
      </c>
      <c r="X135">
        <v>3</v>
      </c>
      <c r="Y135">
        <v>3</v>
      </c>
      <c r="Z135">
        <v>80</v>
      </c>
      <c r="AA135">
        <v>1</v>
      </c>
      <c r="AB135">
        <v>12</v>
      </c>
      <c r="AC135">
        <v>2</v>
      </c>
      <c r="AD135">
        <v>3</v>
      </c>
      <c r="AE135">
        <v>9</v>
      </c>
      <c r="AF135">
        <v>7</v>
      </c>
      <c r="AG135">
        <v>0</v>
      </c>
      <c r="AH135">
        <v>7</v>
      </c>
      <c r="AI135">
        <f>IF(tbl_HRData[[#This Row],[Attrition]] = "Yes",1,0)</f>
        <v>0</v>
      </c>
      <c r="AJ135">
        <f>IF(tbl_HRData[[#This Row],[Attrition]] = "No",1,0)</f>
        <v>1</v>
      </c>
      <c r="AK135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35" s="1" t="str">
        <f>IF(tbl_HRData[[#This Row],[MonthlyIncome]]&lt;5000,"Low",
IF(tbl_HRData[[#This Row],[MonthlyIncome]]&lt;10000,"Medium",
IF(tbl_HRData[[#This Row],[MonthlyIncome]]&lt;15000,"Upper Medium","High")))</f>
        <v>Medium</v>
      </c>
      <c r="AM135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36" spans="1:39" x14ac:dyDescent="0.35">
      <c r="A136" s="1">
        <v>135</v>
      </c>
      <c r="B136">
        <v>26</v>
      </c>
      <c r="C136" s="1" t="s">
        <v>40</v>
      </c>
      <c r="D136" s="1" t="s">
        <v>34</v>
      </c>
      <c r="E136">
        <v>1355</v>
      </c>
      <c r="F136" s="1" t="s">
        <v>58</v>
      </c>
      <c r="G136">
        <v>25</v>
      </c>
      <c r="H136">
        <v>1</v>
      </c>
      <c r="I136" s="1" t="s">
        <v>36</v>
      </c>
      <c r="J136">
        <v>177</v>
      </c>
      <c r="K136">
        <v>3</v>
      </c>
      <c r="L136" s="1" t="s">
        <v>37</v>
      </c>
      <c r="M136">
        <v>61</v>
      </c>
      <c r="N136">
        <v>3</v>
      </c>
      <c r="O136">
        <v>1</v>
      </c>
      <c r="P136" s="1" t="s">
        <v>58</v>
      </c>
      <c r="Q136">
        <v>3</v>
      </c>
      <c r="R136" s="1" t="s">
        <v>45</v>
      </c>
      <c r="S136">
        <v>2942</v>
      </c>
      <c r="T136">
        <v>8916</v>
      </c>
      <c r="U136">
        <v>1</v>
      </c>
      <c r="V136" s="1" t="s">
        <v>40</v>
      </c>
      <c r="W136">
        <v>23</v>
      </c>
      <c r="X136">
        <v>4</v>
      </c>
      <c r="Y136">
        <v>4</v>
      </c>
      <c r="Z136">
        <v>80</v>
      </c>
      <c r="AA136">
        <v>1</v>
      </c>
      <c r="AB136">
        <v>8</v>
      </c>
      <c r="AC136">
        <v>3</v>
      </c>
      <c r="AD136">
        <v>3</v>
      </c>
      <c r="AE136">
        <v>8</v>
      </c>
      <c r="AF136">
        <v>7</v>
      </c>
      <c r="AG136">
        <v>5</v>
      </c>
      <c r="AH136">
        <v>7</v>
      </c>
      <c r="AI136">
        <f>IF(tbl_HRData[[#This Row],[Attrition]] = "Yes",1,0)</f>
        <v>0</v>
      </c>
      <c r="AJ136">
        <f>IF(tbl_HRData[[#This Row],[Attrition]] = "No",1,0)</f>
        <v>1</v>
      </c>
      <c r="AK136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36" s="1" t="str">
        <f>IF(tbl_HRData[[#This Row],[MonthlyIncome]]&lt;5000,"Low",
IF(tbl_HRData[[#This Row],[MonthlyIncome]]&lt;10000,"Medium",
IF(tbl_HRData[[#This Row],[MonthlyIncome]]&lt;15000,"Upper Medium","High")))</f>
        <v>Low</v>
      </c>
      <c r="AM136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37" spans="1:39" x14ac:dyDescent="0.35">
      <c r="A137" s="1">
        <v>136</v>
      </c>
      <c r="B137">
        <v>36</v>
      </c>
      <c r="C137" s="1" t="s">
        <v>40</v>
      </c>
      <c r="D137" s="1" t="s">
        <v>34</v>
      </c>
      <c r="E137">
        <v>216</v>
      </c>
      <c r="F137" s="1" t="s">
        <v>42</v>
      </c>
      <c r="G137">
        <v>6</v>
      </c>
      <c r="H137">
        <v>2</v>
      </c>
      <c r="I137" s="1" t="s">
        <v>48</v>
      </c>
      <c r="J137">
        <v>178</v>
      </c>
      <c r="K137">
        <v>2</v>
      </c>
      <c r="L137" s="1" t="s">
        <v>43</v>
      </c>
      <c r="M137">
        <v>84</v>
      </c>
      <c r="N137">
        <v>3</v>
      </c>
      <c r="O137">
        <v>2</v>
      </c>
      <c r="P137" s="1" t="s">
        <v>50</v>
      </c>
      <c r="Q137">
        <v>2</v>
      </c>
      <c r="R137" s="1" t="s">
        <v>49</v>
      </c>
      <c r="S137">
        <v>4941</v>
      </c>
      <c r="T137">
        <v>2819</v>
      </c>
      <c r="U137">
        <v>6</v>
      </c>
      <c r="V137" s="1" t="s">
        <v>40</v>
      </c>
      <c r="W137">
        <v>20</v>
      </c>
      <c r="X137">
        <v>4</v>
      </c>
      <c r="Y137">
        <v>4</v>
      </c>
      <c r="Z137">
        <v>80</v>
      </c>
      <c r="AA137">
        <v>2</v>
      </c>
      <c r="AB137">
        <v>7</v>
      </c>
      <c r="AC137">
        <v>0</v>
      </c>
      <c r="AD137">
        <v>3</v>
      </c>
      <c r="AE137">
        <v>3</v>
      </c>
      <c r="AF137">
        <v>2</v>
      </c>
      <c r="AG137">
        <v>0</v>
      </c>
      <c r="AH137">
        <v>1</v>
      </c>
      <c r="AI137">
        <f>IF(tbl_HRData[[#This Row],[Attrition]] = "Yes",1,0)</f>
        <v>0</v>
      </c>
      <c r="AJ137">
        <f>IF(tbl_HRData[[#This Row],[Attrition]] = "No",1,0)</f>
        <v>1</v>
      </c>
      <c r="AK137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37" s="1" t="str">
        <f>IF(tbl_HRData[[#This Row],[MonthlyIncome]]&lt;5000,"Low",
IF(tbl_HRData[[#This Row],[MonthlyIncome]]&lt;10000,"Medium",
IF(tbl_HRData[[#This Row],[MonthlyIncome]]&lt;15000,"Upper Medium","High")))</f>
        <v>Low</v>
      </c>
      <c r="AM137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38" spans="1:39" x14ac:dyDescent="0.35">
      <c r="A138" s="1">
        <v>137</v>
      </c>
      <c r="B138">
        <v>51</v>
      </c>
      <c r="C138" s="1" t="s">
        <v>33</v>
      </c>
      <c r="D138" s="1" t="s">
        <v>41</v>
      </c>
      <c r="E138">
        <v>1150</v>
      </c>
      <c r="F138" s="1" t="s">
        <v>42</v>
      </c>
      <c r="G138">
        <v>8</v>
      </c>
      <c r="H138">
        <v>4</v>
      </c>
      <c r="I138" s="1" t="s">
        <v>36</v>
      </c>
      <c r="J138">
        <v>179</v>
      </c>
      <c r="K138">
        <v>1</v>
      </c>
      <c r="L138" s="1" t="s">
        <v>43</v>
      </c>
      <c r="M138">
        <v>53</v>
      </c>
      <c r="N138">
        <v>1</v>
      </c>
      <c r="O138">
        <v>3</v>
      </c>
      <c r="P138" s="1" t="s">
        <v>50</v>
      </c>
      <c r="Q138">
        <v>4</v>
      </c>
      <c r="R138" s="1" t="s">
        <v>39</v>
      </c>
      <c r="S138">
        <v>10650</v>
      </c>
      <c r="T138">
        <v>25150</v>
      </c>
      <c r="U138">
        <v>2</v>
      </c>
      <c r="V138" s="1" t="s">
        <v>40</v>
      </c>
      <c r="W138">
        <v>15</v>
      </c>
      <c r="X138">
        <v>3</v>
      </c>
      <c r="Y138">
        <v>4</v>
      </c>
      <c r="Z138">
        <v>80</v>
      </c>
      <c r="AA138">
        <v>0</v>
      </c>
      <c r="AB138">
        <v>18</v>
      </c>
      <c r="AC138">
        <v>2</v>
      </c>
      <c r="AD138">
        <v>3</v>
      </c>
      <c r="AE138">
        <v>4</v>
      </c>
      <c r="AF138">
        <v>2</v>
      </c>
      <c r="AG138">
        <v>0</v>
      </c>
      <c r="AH138">
        <v>3</v>
      </c>
      <c r="AI138">
        <f>IF(tbl_HRData[[#This Row],[Attrition]] = "Yes",1,0)</f>
        <v>1</v>
      </c>
      <c r="AJ138">
        <f>IF(tbl_HRData[[#This Row],[Attrition]] = "No",1,0)</f>
        <v>0</v>
      </c>
      <c r="AK138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138" s="1" t="str">
        <f>IF(tbl_HRData[[#This Row],[MonthlyIncome]]&lt;5000,"Low",
IF(tbl_HRData[[#This Row],[MonthlyIncome]]&lt;10000,"Medium",
IF(tbl_HRData[[#This Row],[MonthlyIncome]]&lt;15000,"Upper Medium","High")))</f>
        <v>Upper Medium</v>
      </c>
      <c r="AM138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39" spans="1:39" x14ac:dyDescent="0.35">
      <c r="A139" s="1">
        <v>138</v>
      </c>
      <c r="B139">
        <v>39</v>
      </c>
      <c r="C139" s="1" t="s">
        <v>40</v>
      </c>
      <c r="D139" s="1" t="s">
        <v>34</v>
      </c>
      <c r="E139">
        <v>1329</v>
      </c>
      <c r="F139" s="1" t="s">
        <v>35</v>
      </c>
      <c r="G139">
        <v>4</v>
      </c>
      <c r="H139">
        <v>4</v>
      </c>
      <c r="I139" s="1" t="s">
        <v>36</v>
      </c>
      <c r="J139">
        <v>182</v>
      </c>
      <c r="K139">
        <v>4</v>
      </c>
      <c r="L139" s="1" t="s">
        <v>37</v>
      </c>
      <c r="M139">
        <v>47</v>
      </c>
      <c r="N139">
        <v>2</v>
      </c>
      <c r="O139">
        <v>2</v>
      </c>
      <c r="P139" s="1" t="s">
        <v>38</v>
      </c>
      <c r="Q139">
        <v>3</v>
      </c>
      <c r="R139" s="1" t="s">
        <v>45</v>
      </c>
      <c r="S139">
        <v>5902</v>
      </c>
      <c r="T139">
        <v>14590</v>
      </c>
      <c r="U139">
        <v>4</v>
      </c>
      <c r="V139" s="1" t="s">
        <v>40</v>
      </c>
      <c r="W139">
        <v>14</v>
      </c>
      <c r="X139">
        <v>3</v>
      </c>
      <c r="Y139">
        <v>3</v>
      </c>
      <c r="Z139">
        <v>80</v>
      </c>
      <c r="AA139">
        <v>1</v>
      </c>
      <c r="AB139">
        <v>17</v>
      </c>
      <c r="AC139">
        <v>1</v>
      </c>
      <c r="AD139">
        <v>4</v>
      </c>
      <c r="AE139">
        <v>15</v>
      </c>
      <c r="AF139">
        <v>11</v>
      </c>
      <c r="AG139">
        <v>5</v>
      </c>
      <c r="AH139">
        <v>9</v>
      </c>
      <c r="AI139">
        <f>IF(tbl_HRData[[#This Row],[Attrition]] = "Yes",1,0)</f>
        <v>0</v>
      </c>
      <c r="AJ139">
        <f>IF(tbl_HRData[[#This Row],[Attrition]] = "No",1,0)</f>
        <v>1</v>
      </c>
      <c r="AK139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39" s="1" t="str">
        <f>IF(tbl_HRData[[#This Row],[MonthlyIncome]]&lt;5000,"Low",
IF(tbl_HRData[[#This Row],[MonthlyIncome]]&lt;10000,"Medium",
IF(tbl_HRData[[#This Row],[MonthlyIncome]]&lt;15000,"Upper Medium","High")))</f>
        <v>Medium</v>
      </c>
      <c r="AM139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140" spans="1:39" x14ac:dyDescent="0.35">
      <c r="A140" s="1">
        <v>139</v>
      </c>
      <c r="B140">
        <v>25</v>
      </c>
      <c r="C140" s="1" t="s">
        <v>40</v>
      </c>
      <c r="D140" s="1" t="s">
        <v>34</v>
      </c>
      <c r="E140">
        <v>959</v>
      </c>
      <c r="F140" s="1" t="s">
        <v>35</v>
      </c>
      <c r="G140">
        <v>28</v>
      </c>
      <c r="H140">
        <v>3</v>
      </c>
      <c r="I140" s="1" t="s">
        <v>36</v>
      </c>
      <c r="J140">
        <v>183</v>
      </c>
      <c r="K140">
        <v>1</v>
      </c>
      <c r="L140" s="1" t="s">
        <v>43</v>
      </c>
      <c r="M140">
        <v>41</v>
      </c>
      <c r="N140">
        <v>2</v>
      </c>
      <c r="O140">
        <v>2</v>
      </c>
      <c r="P140" s="1" t="s">
        <v>38</v>
      </c>
      <c r="Q140">
        <v>3</v>
      </c>
      <c r="R140" s="1" t="s">
        <v>45</v>
      </c>
      <c r="S140">
        <v>8639</v>
      </c>
      <c r="T140">
        <v>24835</v>
      </c>
      <c r="U140">
        <v>2</v>
      </c>
      <c r="V140" s="1" t="s">
        <v>40</v>
      </c>
      <c r="W140">
        <v>18</v>
      </c>
      <c r="X140">
        <v>3</v>
      </c>
      <c r="Y140">
        <v>4</v>
      </c>
      <c r="Z140">
        <v>80</v>
      </c>
      <c r="AA140">
        <v>0</v>
      </c>
      <c r="AB140">
        <v>6</v>
      </c>
      <c r="AC140">
        <v>3</v>
      </c>
      <c r="AD140">
        <v>3</v>
      </c>
      <c r="AE140">
        <v>2</v>
      </c>
      <c r="AF140">
        <v>2</v>
      </c>
      <c r="AG140">
        <v>2</v>
      </c>
      <c r="AH140">
        <v>2</v>
      </c>
      <c r="AI140">
        <f>IF(tbl_HRData[[#This Row],[Attrition]] = "Yes",1,0)</f>
        <v>0</v>
      </c>
      <c r="AJ140">
        <f>IF(tbl_HRData[[#This Row],[Attrition]] = "No",1,0)</f>
        <v>1</v>
      </c>
      <c r="AK140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40" s="1" t="str">
        <f>IF(tbl_HRData[[#This Row],[MonthlyIncome]]&lt;5000,"Low",
IF(tbl_HRData[[#This Row],[MonthlyIncome]]&lt;10000,"Medium",
IF(tbl_HRData[[#This Row],[MonthlyIncome]]&lt;15000,"Upper Medium","High")))</f>
        <v>Medium</v>
      </c>
      <c r="AM140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41" spans="1:39" x14ac:dyDescent="0.35">
      <c r="A141" s="1">
        <v>140</v>
      </c>
      <c r="B141">
        <v>30</v>
      </c>
      <c r="C141" s="1" t="s">
        <v>40</v>
      </c>
      <c r="D141" s="1" t="s">
        <v>34</v>
      </c>
      <c r="E141">
        <v>1240</v>
      </c>
      <c r="F141" s="1" t="s">
        <v>58</v>
      </c>
      <c r="G141">
        <v>9</v>
      </c>
      <c r="H141">
        <v>3</v>
      </c>
      <c r="I141" s="1" t="s">
        <v>58</v>
      </c>
      <c r="J141">
        <v>184</v>
      </c>
      <c r="K141">
        <v>3</v>
      </c>
      <c r="L141" s="1" t="s">
        <v>43</v>
      </c>
      <c r="M141">
        <v>48</v>
      </c>
      <c r="N141">
        <v>3</v>
      </c>
      <c r="O141">
        <v>2</v>
      </c>
      <c r="P141" s="1" t="s">
        <v>58</v>
      </c>
      <c r="Q141">
        <v>4</v>
      </c>
      <c r="R141" s="1" t="s">
        <v>45</v>
      </c>
      <c r="S141">
        <v>6347</v>
      </c>
      <c r="T141">
        <v>13982</v>
      </c>
      <c r="U141">
        <v>0</v>
      </c>
      <c r="V141" s="1" t="s">
        <v>33</v>
      </c>
      <c r="W141">
        <v>19</v>
      </c>
      <c r="X141">
        <v>3</v>
      </c>
      <c r="Y141">
        <v>4</v>
      </c>
      <c r="Z141">
        <v>80</v>
      </c>
      <c r="AA141">
        <v>0</v>
      </c>
      <c r="AB141">
        <v>12</v>
      </c>
      <c r="AC141">
        <v>2</v>
      </c>
      <c r="AD141">
        <v>1</v>
      </c>
      <c r="AE141">
        <v>11</v>
      </c>
      <c r="AF141">
        <v>9</v>
      </c>
      <c r="AG141">
        <v>4</v>
      </c>
      <c r="AH141">
        <v>7</v>
      </c>
      <c r="AI141">
        <f>IF(tbl_HRData[[#This Row],[Attrition]] = "Yes",1,0)</f>
        <v>0</v>
      </c>
      <c r="AJ141">
        <f>IF(tbl_HRData[[#This Row],[Attrition]] = "No",1,0)</f>
        <v>1</v>
      </c>
      <c r="AK141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41" s="1" t="str">
        <f>IF(tbl_HRData[[#This Row],[MonthlyIncome]]&lt;5000,"Low",
IF(tbl_HRData[[#This Row],[MonthlyIncome]]&lt;10000,"Medium",
IF(tbl_HRData[[#This Row],[MonthlyIncome]]&lt;15000,"Upper Medium","High")))</f>
        <v>Medium</v>
      </c>
      <c r="AM141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142" spans="1:39" x14ac:dyDescent="0.35">
      <c r="A142" s="1">
        <v>141</v>
      </c>
      <c r="B142">
        <v>32</v>
      </c>
      <c r="C142" s="1" t="s">
        <v>33</v>
      </c>
      <c r="D142" s="1" t="s">
        <v>34</v>
      </c>
      <c r="E142">
        <v>1033</v>
      </c>
      <c r="F142" s="1" t="s">
        <v>42</v>
      </c>
      <c r="G142">
        <v>9</v>
      </c>
      <c r="H142">
        <v>3</v>
      </c>
      <c r="I142" s="1" t="s">
        <v>48</v>
      </c>
      <c r="J142">
        <v>190</v>
      </c>
      <c r="K142">
        <v>1</v>
      </c>
      <c r="L142" s="1" t="s">
        <v>37</v>
      </c>
      <c r="M142">
        <v>41</v>
      </c>
      <c r="N142">
        <v>3</v>
      </c>
      <c r="O142">
        <v>1</v>
      </c>
      <c r="P142" s="1" t="s">
        <v>47</v>
      </c>
      <c r="Q142">
        <v>1</v>
      </c>
      <c r="R142" s="1" t="s">
        <v>39</v>
      </c>
      <c r="S142">
        <v>4200</v>
      </c>
      <c r="T142">
        <v>10224</v>
      </c>
      <c r="U142">
        <v>7</v>
      </c>
      <c r="V142" s="1" t="s">
        <v>40</v>
      </c>
      <c r="W142">
        <v>22</v>
      </c>
      <c r="X142">
        <v>4</v>
      </c>
      <c r="Y142">
        <v>1</v>
      </c>
      <c r="Z142">
        <v>80</v>
      </c>
      <c r="AA142">
        <v>0</v>
      </c>
      <c r="AB142">
        <v>10</v>
      </c>
      <c r="AC142">
        <v>2</v>
      </c>
      <c r="AD142">
        <v>4</v>
      </c>
      <c r="AE142">
        <v>5</v>
      </c>
      <c r="AF142">
        <v>4</v>
      </c>
      <c r="AG142">
        <v>0</v>
      </c>
      <c r="AH142">
        <v>4</v>
      </c>
      <c r="AI142">
        <f>IF(tbl_HRData[[#This Row],[Attrition]] = "Yes",1,0)</f>
        <v>1</v>
      </c>
      <c r="AJ142">
        <f>IF(tbl_HRData[[#This Row],[Attrition]] = "No",1,0)</f>
        <v>0</v>
      </c>
      <c r="AK142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42" s="1" t="str">
        <f>IF(tbl_HRData[[#This Row],[MonthlyIncome]]&lt;5000,"Low",
IF(tbl_HRData[[#This Row],[MonthlyIncome]]&lt;10000,"Medium",
IF(tbl_HRData[[#This Row],[MonthlyIncome]]&lt;15000,"Upper Medium","High")))</f>
        <v>Low</v>
      </c>
      <c r="AM142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43" spans="1:39" x14ac:dyDescent="0.35">
      <c r="A143" s="1">
        <v>142</v>
      </c>
      <c r="B143">
        <v>45</v>
      </c>
      <c r="C143" s="1" t="s">
        <v>40</v>
      </c>
      <c r="D143" s="1" t="s">
        <v>34</v>
      </c>
      <c r="E143">
        <v>1316</v>
      </c>
      <c r="F143" s="1" t="s">
        <v>42</v>
      </c>
      <c r="G143">
        <v>29</v>
      </c>
      <c r="H143">
        <v>3</v>
      </c>
      <c r="I143" s="1" t="s">
        <v>48</v>
      </c>
      <c r="J143">
        <v>192</v>
      </c>
      <c r="K143">
        <v>3</v>
      </c>
      <c r="L143" s="1" t="s">
        <v>43</v>
      </c>
      <c r="M143">
        <v>83</v>
      </c>
      <c r="N143">
        <v>3</v>
      </c>
      <c r="O143">
        <v>1</v>
      </c>
      <c r="P143" s="1" t="s">
        <v>44</v>
      </c>
      <c r="Q143">
        <v>4</v>
      </c>
      <c r="R143" s="1" t="s">
        <v>39</v>
      </c>
      <c r="S143">
        <v>3452</v>
      </c>
      <c r="T143">
        <v>9752</v>
      </c>
      <c r="U143">
        <v>5</v>
      </c>
      <c r="V143" s="1" t="s">
        <v>40</v>
      </c>
      <c r="W143">
        <v>13</v>
      </c>
      <c r="X143">
        <v>3</v>
      </c>
      <c r="Y143">
        <v>2</v>
      </c>
      <c r="Z143">
        <v>80</v>
      </c>
      <c r="AA143">
        <v>0</v>
      </c>
      <c r="AB143">
        <v>9</v>
      </c>
      <c r="AC143">
        <v>2</v>
      </c>
      <c r="AD143">
        <v>2</v>
      </c>
      <c r="AE143">
        <v>6</v>
      </c>
      <c r="AF143">
        <v>5</v>
      </c>
      <c r="AG143">
        <v>0</v>
      </c>
      <c r="AH143">
        <v>3</v>
      </c>
      <c r="AI143">
        <f>IF(tbl_HRData[[#This Row],[Attrition]] = "Yes",1,0)</f>
        <v>0</v>
      </c>
      <c r="AJ143">
        <f>IF(tbl_HRData[[#This Row],[Attrition]] = "No",1,0)</f>
        <v>1</v>
      </c>
      <c r="AK143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143" s="1" t="str">
        <f>IF(tbl_HRData[[#This Row],[MonthlyIncome]]&lt;5000,"Low",
IF(tbl_HRData[[#This Row],[MonthlyIncome]]&lt;10000,"Medium",
IF(tbl_HRData[[#This Row],[MonthlyIncome]]&lt;15000,"Upper Medium","High")))</f>
        <v>Low</v>
      </c>
      <c r="AM143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44" spans="1:39" x14ac:dyDescent="0.35">
      <c r="A144" s="1">
        <v>143</v>
      </c>
      <c r="B144">
        <v>38</v>
      </c>
      <c r="C144" s="1" t="s">
        <v>40</v>
      </c>
      <c r="D144" s="1" t="s">
        <v>34</v>
      </c>
      <c r="E144">
        <v>364</v>
      </c>
      <c r="F144" s="1" t="s">
        <v>42</v>
      </c>
      <c r="G144">
        <v>3</v>
      </c>
      <c r="H144">
        <v>5</v>
      </c>
      <c r="I144" s="1" t="s">
        <v>57</v>
      </c>
      <c r="J144">
        <v>193</v>
      </c>
      <c r="K144">
        <v>4</v>
      </c>
      <c r="L144" s="1" t="s">
        <v>37</v>
      </c>
      <c r="M144">
        <v>32</v>
      </c>
      <c r="N144">
        <v>3</v>
      </c>
      <c r="O144">
        <v>2</v>
      </c>
      <c r="P144" s="1" t="s">
        <v>44</v>
      </c>
      <c r="Q144">
        <v>3</v>
      </c>
      <c r="R144" s="1" t="s">
        <v>39</v>
      </c>
      <c r="S144">
        <v>4317</v>
      </c>
      <c r="T144">
        <v>2302</v>
      </c>
      <c r="U144">
        <v>3</v>
      </c>
      <c r="V144" s="1" t="s">
        <v>33</v>
      </c>
      <c r="W144">
        <v>20</v>
      </c>
      <c r="X144">
        <v>4</v>
      </c>
      <c r="Y144">
        <v>2</v>
      </c>
      <c r="Z144">
        <v>80</v>
      </c>
      <c r="AA144">
        <v>0</v>
      </c>
      <c r="AB144">
        <v>19</v>
      </c>
      <c r="AC144">
        <v>2</v>
      </c>
      <c r="AD144">
        <v>3</v>
      </c>
      <c r="AE144">
        <v>3</v>
      </c>
      <c r="AF144">
        <v>2</v>
      </c>
      <c r="AG144">
        <v>2</v>
      </c>
      <c r="AH144">
        <v>2</v>
      </c>
      <c r="AI144">
        <f>IF(tbl_HRData[[#This Row],[Attrition]] = "Yes",1,0)</f>
        <v>0</v>
      </c>
      <c r="AJ144">
        <f>IF(tbl_HRData[[#This Row],[Attrition]] = "No",1,0)</f>
        <v>1</v>
      </c>
      <c r="AK144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44" s="1" t="str">
        <f>IF(tbl_HRData[[#This Row],[MonthlyIncome]]&lt;5000,"Low",
IF(tbl_HRData[[#This Row],[MonthlyIncome]]&lt;10000,"Medium",
IF(tbl_HRData[[#This Row],[MonthlyIncome]]&lt;15000,"Upper Medium","High")))</f>
        <v>Low</v>
      </c>
      <c r="AM144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45" spans="1:39" x14ac:dyDescent="0.35">
      <c r="A145" s="1">
        <v>144</v>
      </c>
      <c r="B145">
        <v>30</v>
      </c>
      <c r="C145" s="1" t="s">
        <v>40</v>
      </c>
      <c r="D145" s="1" t="s">
        <v>34</v>
      </c>
      <c r="E145">
        <v>438</v>
      </c>
      <c r="F145" s="1" t="s">
        <v>42</v>
      </c>
      <c r="G145">
        <v>18</v>
      </c>
      <c r="H145">
        <v>3</v>
      </c>
      <c r="I145" s="1" t="s">
        <v>36</v>
      </c>
      <c r="J145">
        <v>194</v>
      </c>
      <c r="K145">
        <v>1</v>
      </c>
      <c r="L145" s="1" t="s">
        <v>37</v>
      </c>
      <c r="M145">
        <v>75</v>
      </c>
      <c r="N145">
        <v>3</v>
      </c>
      <c r="O145">
        <v>1</v>
      </c>
      <c r="P145" s="1" t="s">
        <v>44</v>
      </c>
      <c r="Q145">
        <v>3</v>
      </c>
      <c r="R145" s="1" t="s">
        <v>39</v>
      </c>
      <c r="S145">
        <v>2632</v>
      </c>
      <c r="T145">
        <v>23910</v>
      </c>
      <c r="U145">
        <v>1</v>
      </c>
      <c r="V145" s="1" t="s">
        <v>40</v>
      </c>
      <c r="W145">
        <v>14</v>
      </c>
      <c r="X145">
        <v>3</v>
      </c>
      <c r="Y145">
        <v>3</v>
      </c>
      <c r="Z145">
        <v>80</v>
      </c>
      <c r="AA145">
        <v>0</v>
      </c>
      <c r="AB145">
        <v>5</v>
      </c>
      <c r="AC145">
        <v>4</v>
      </c>
      <c r="AD145">
        <v>2</v>
      </c>
      <c r="AE145">
        <v>5</v>
      </c>
      <c r="AF145">
        <v>4</v>
      </c>
      <c r="AG145">
        <v>0</v>
      </c>
      <c r="AH145">
        <v>4</v>
      </c>
      <c r="AI145">
        <f>IF(tbl_HRData[[#This Row],[Attrition]] = "Yes",1,0)</f>
        <v>0</v>
      </c>
      <c r="AJ145">
        <f>IF(tbl_HRData[[#This Row],[Attrition]] = "No",1,0)</f>
        <v>1</v>
      </c>
      <c r="AK145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45" s="1" t="str">
        <f>IF(tbl_HRData[[#This Row],[MonthlyIncome]]&lt;5000,"Low",
IF(tbl_HRData[[#This Row],[MonthlyIncome]]&lt;10000,"Medium",
IF(tbl_HRData[[#This Row],[MonthlyIncome]]&lt;15000,"Upper Medium","High")))</f>
        <v>Low</v>
      </c>
      <c r="AM145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46" spans="1:39" x14ac:dyDescent="0.35">
      <c r="A146" s="1">
        <v>145</v>
      </c>
      <c r="B146">
        <v>32</v>
      </c>
      <c r="C146" s="1" t="s">
        <v>40</v>
      </c>
      <c r="D146" s="1" t="s">
        <v>41</v>
      </c>
      <c r="E146">
        <v>689</v>
      </c>
      <c r="F146" s="1" t="s">
        <v>35</v>
      </c>
      <c r="G146">
        <v>9</v>
      </c>
      <c r="H146">
        <v>2</v>
      </c>
      <c r="I146" s="1" t="s">
        <v>48</v>
      </c>
      <c r="J146">
        <v>195</v>
      </c>
      <c r="K146">
        <v>4</v>
      </c>
      <c r="L146" s="1" t="s">
        <v>43</v>
      </c>
      <c r="M146">
        <v>35</v>
      </c>
      <c r="N146">
        <v>1</v>
      </c>
      <c r="O146">
        <v>2</v>
      </c>
      <c r="P146" s="1" t="s">
        <v>38</v>
      </c>
      <c r="Q146">
        <v>4</v>
      </c>
      <c r="R146" s="1" t="s">
        <v>49</v>
      </c>
      <c r="S146">
        <v>4668</v>
      </c>
      <c r="T146">
        <v>22812</v>
      </c>
      <c r="U146">
        <v>0</v>
      </c>
      <c r="V146" s="1" t="s">
        <v>40</v>
      </c>
      <c r="W146">
        <v>17</v>
      </c>
      <c r="X146">
        <v>3</v>
      </c>
      <c r="Y146">
        <v>4</v>
      </c>
      <c r="Z146">
        <v>80</v>
      </c>
      <c r="AA146">
        <v>3</v>
      </c>
      <c r="AB146">
        <v>9</v>
      </c>
      <c r="AC146">
        <v>2</v>
      </c>
      <c r="AD146">
        <v>4</v>
      </c>
      <c r="AE146">
        <v>8</v>
      </c>
      <c r="AF146">
        <v>7</v>
      </c>
      <c r="AG146">
        <v>0</v>
      </c>
      <c r="AH146">
        <v>7</v>
      </c>
      <c r="AI146">
        <f>IF(tbl_HRData[[#This Row],[Attrition]] = "Yes",1,0)</f>
        <v>0</v>
      </c>
      <c r="AJ146">
        <f>IF(tbl_HRData[[#This Row],[Attrition]] = "No",1,0)</f>
        <v>1</v>
      </c>
      <c r="AK146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46" s="1" t="str">
        <f>IF(tbl_HRData[[#This Row],[MonthlyIncome]]&lt;5000,"Low",
IF(tbl_HRData[[#This Row],[MonthlyIncome]]&lt;10000,"Medium",
IF(tbl_HRData[[#This Row],[MonthlyIncome]]&lt;15000,"Upper Medium","High")))</f>
        <v>Low</v>
      </c>
      <c r="AM146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47" spans="1:39" x14ac:dyDescent="0.35">
      <c r="A147" s="1">
        <v>146</v>
      </c>
      <c r="B147">
        <v>30</v>
      </c>
      <c r="C147" s="1" t="s">
        <v>40</v>
      </c>
      <c r="D147" s="1" t="s">
        <v>34</v>
      </c>
      <c r="E147">
        <v>201</v>
      </c>
      <c r="F147" s="1" t="s">
        <v>42</v>
      </c>
      <c r="G147">
        <v>5</v>
      </c>
      <c r="H147">
        <v>3</v>
      </c>
      <c r="I147" s="1" t="s">
        <v>57</v>
      </c>
      <c r="J147">
        <v>197</v>
      </c>
      <c r="K147">
        <v>4</v>
      </c>
      <c r="L147" s="1" t="s">
        <v>37</v>
      </c>
      <c r="M147">
        <v>84</v>
      </c>
      <c r="N147">
        <v>3</v>
      </c>
      <c r="O147">
        <v>1</v>
      </c>
      <c r="P147" s="1" t="s">
        <v>44</v>
      </c>
      <c r="Q147">
        <v>1</v>
      </c>
      <c r="R147" s="1" t="s">
        <v>49</v>
      </c>
      <c r="S147">
        <v>3204</v>
      </c>
      <c r="T147">
        <v>10415</v>
      </c>
      <c r="U147">
        <v>5</v>
      </c>
      <c r="V147" s="1" t="s">
        <v>40</v>
      </c>
      <c r="W147">
        <v>14</v>
      </c>
      <c r="X147">
        <v>3</v>
      </c>
      <c r="Y147">
        <v>4</v>
      </c>
      <c r="Z147">
        <v>80</v>
      </c>
      <c r="AA147">
        <v>1</v>
      </c>
      <c r="AB147">
        <v>8</v>
      </c>
      <c r="AC147">
        <v>3</v>
      </c>
      <c r="AD147">
        <v>3</v>
      </c>
      <c r="AE147">
        <v>3</v>
      </c>
      <c r="AF147">
        <v>2</v>
      </c>
      <c r="AG147">
        <v>2</v>
      </c>
      <c r="AH147">
        <v>2</v>
      </c>
      <c r="AI147">
        <f>IF(tbl_HRData[[#This Row],[Attrition]] = "Yes",1,0)</f>
        <v>0</v>
      </c>
      <c r="AJ147">
        <f>IF(tbl_HRData[[#This Row],[Attrition]] = "No",1,0)</f>
        <v>1</v>
      </c>
      <c r="AK147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47" s="1" t="str">
        <f>IF(tbl_HRData[[#This Row],[MonthlyIncome]]&lt;5000,"Low",
IF(tbl_HRData[[#This Row],[MonthlyIncome]]&lt;10000,"Medium",
IF(tbl_HRData[[#This Row],[MonthlyIncome]]&lt;15000,"Upper Medium","High")))</f>
        <v>Low</v>
      </c>
      <c r="AM147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48" spans="1:39" x14ac:dyDescent="0.35">
      <c r="A148" s="1">
        <v>147</v>
      </c>
      <c r="B148">
        <v>30</v>
      </c>
      <c r="C148" s="1" t="s">
        <v>40</v>
      </c>
      <c r="D148" s="1" t="s">
        <v>34</v>
      </c>
      <c r="E148">
        <v>1427</v>
      </c>
      <c r="F148" s="1" t="s">
        <v>42</v>
      </c>
      <c r="G148">
        <v>2</v>
      </c>
      <c r="H148">
        <v>1</v>
      </c>
      <c r="I148" s="1" t="s">
        <v>48</v>
      </c>
      <c r="J148">
        <v>198</v>
      </c>
      <c r="K148">
        <v>2</v>
      </c>
      <c r="L148" s="1" t="s">
        <v>43</v>
      </c>
      <c r="M148">
        <v>35</v>
      </c>
      <c r="N148">
        <v>2</v>
      </c>
      <c r="O148">
        <v>1</v>
      </c>
      <c r="P148" s="1" t="s">
        <v>47</v>
      </c>
      <c r="Q148">
        <v>4</v>
      </c>
      <c r="R148" s="1" t="s">
        <v>39</v>
      </c>
      <c r="S148">
        <v>2720</v>
      </c>
      <c r="T148">
        <v>11162</v>
      </c>
      <c r="U148">
        <v>0</v>
      </c>
      <c r="V148" s="1" t="s">
        <v>40</v>
      </c>
      <c r="W148">
        <v>13</v>
      </c>
      <c r="X148">
        <v>3</v>
      </c>
      <c r="Y148">
        <v>4</v>
      </c>
      <c r="Z148">
        <v>80</v>
      </c>
      <c r="AA148">
        <v>0</v>
      </c>
      <c r="AB148">
        <v>6</v>
      </c>
      <c r="AC148">
        <v>3</v>
      </c>
      <c r="AD148">
        <v>3</v>
      </c>
      <c r="AE148">
        <v>5</v>
      </c>
      <c r="AF148">
        <v>3</v>
      </c>
      <c r="AG148">
        <v>1</v>
      </c>
      <c r="AH148">
        <v>2</v>
      </c>
      <c r="AI148">
        <f>IF(tbl_HRData[[#This Row],[Attrition]] = "Yes",1,0)</f>
        <v>0</v>
      </c>
      <c r="AJ148">
        <f>IF(tbl_HRData[[#This Row],[Attrition]] = "No",1,0)</f>
        <v>1</v>
      </c>
      <c r="AK148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48" s="1" t="str">
        <f>IF(tbl_HRData[[#This Row],[MonthlyIncome]]&lt;5000,"Low",
IF(tbl_HRData[[#This Row],[MonthlyIncome]]&lt;10000,"Medium",
IF(tbl_HRData[[#This Row],[MonthlyIncome]]&lt;15000,"Upper Medium","High")))</f>
        <v>Low</v>
      </c>
      <c r="AM148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49" spans="1:39" x14ac:dyDescent="0.35">
      <c r="A149" s="1">
        <v>148</v>
      </c>
      <c r="B149">
        <v>41</v>
      </c>
      <c r="C149" s="1" t="s">
        <v>40</v>
      </c>
      <c r="D149" s="1" t="s">
        <v>41</v>
      </c>
      <c r="E149">
        <v>857</v>
      </c>
      <c r="F149" s="1" t="s">
        <v>42</v>
      </c>
      <c r="G149">
        <v>10</v>
      </c>
      <c r="H149">
        <v>3</v>
      </c>
      <c r="I149" s="1" t="s">
        <v>36</v>
      </c>
      <c r="J149">
        <v>199</v>
      </c>
      <c r="K149">
        <v>4</v>
      </c>
      <c r="L149" s="1" t="s">
        <v>43</v>
      </c>
      <c r="M149">
        <v>91</v>
      </c>
      <c r="N149">
        <v>2</v>
      </c>
      <c r="O149">
        <v>4</v>
      </c>
      <c r="P149" s="1" t="s">
        <v>53</v>
      </c>
      <c r="Q149">
        <v>1</v>
      </c>
      <c r="R149" s="1" t="s">
        <v>49</v>
      </c>
      <c r="S149">
        <v>17181</v>
      </c>
      <c r="T149">
        <v>12888</v>
      </c>
      <c r="U149">
        <v>4</v>
      </c>
      <c r="V149" s="1" t="s">
        <v>40</v>
      </c>
      <c r="W149">
        <v>13</v>
      </c>
      <c r="X149">
        <v>3</v>
      </c>
      <c r="Y149">
        <v>2</v>
      </c>
      <c r="Z149">
        <v>80</v>
      </c>
      <c r="AA149">
        <v>1</v>
      </c>
      <c r="AB149">
        <v>21</v>
      </c>
      <c r="AC149">
        <v>2</v>
      </c>
      <c r="AD149">
        <v>2</v>
      </c>
      <c r="AE149">
        <v>7</v>
      </c>
      <c r="AF149">
        <v>6</v>
      </c>
      <c r="AG149">
        <v>7</v>
      </c>
      <c r="AH149">
        <v>7</v>
      </c>
      <c r="AI149">
        <f>IF(tbl_HRData[[#This Row],[Attrition]] = "Yes",1,0)</f>
        <v>0</v>
      </c>
      <c r="AJ149">
        <f>IF(tbl_HRData[[#This Row],[Attrition]] = "No",1,0)</f>
        <v>1</v>
      </c>
      <c r="AK149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49" s="1" t="str">
        <f>IF(tbl_HRData[[#This Row],[MonthlyIncome]]&lt;5000,"Low",
IF(tbl_HRData[[#This Row],[MonthlyIncome]]&lt;10000,"Medium",
IF(tbl_HRData[[#This Row],[MonthlyIncome]]&lt;15000,"Upper Medium","High")))</f>
        <v>High</v>
      </c>
      <c r="AM149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50" spans="1:39" x14ac:dyDescent="0.35">
      <c r="A150" s="1">
        <v>149</v>
      </c>
      <c r="B150">
        <v>41</v>
      </c>
      <c r="C150" s="1" t="s">
        <v>40</v>
      </c>
      <c r="D150" s="1" t="s">
        <v>34</v>
      </c>
      <c r="E150">
        <v>933</v>
      </c>
      <c r="F150" s="1" t="s">
        <v>42</v>
      </c>
      <c r="G150">
        <v>9</v>
      </c>
      <c r="H150">
        <v>4</v>
      </c>
      <c r="I150" s="1" t="s">
        <v>36</v>
      </c>
      <c r="J150">
        <v>200</v>
      </c>
      <c r="K150">
        <v>3</v>
      </c>
      <c r="L150" s="1" t="s">
        <v>43</v>
      </c>
      <c r="M150">
        <v>94</v>
      </c>
      <c r="N150">
        <v>3</v>
      </c>
      <c r="O150">
        <v>1</v>
      </c>
      <c r="P150" s="1" t="s">
        <v>47</v>
      </c>
      <c r="Q150">
        <v>1</v>
      </c>
      <c r="R150" s="1" t="s">
        <v>45</v>
      </c>
      <c r="S150">
        <v>2238</v>
      </c>
      <c r="T150">
        <v>6961</v>
      </c>
      <c r="U150">
        <v>2</v>
      </c>
      <c r="V150" s="1" t="s">
        <v>40</v>
      </c>
      <c r="W150">
        <v>21</v>
      </c>
      <c r="X150">
        <v>4</v>
      </c>
      <c r="Y150">
        <v>4</v>
      </c>
      <c r="Z150">
        <v>80</v>
      </c>
      <c r="AA150">
        <v>1</v>
      </c>
      <c r="AB150">
        <v>7</v>
      </c>
      <c r="AC150">
        <v>2</v>
      </c>
      <c r="AD150">
        <v>3</v>
      </c>
      <c r="AE150">
        <v>5</v>
      </c>
      <c r="AF150">
        <v>0</v>
      </c>
      <c r="AG150">
        <v>1</v>
      </c>
      <c r="AH150">
        <v>4</v>
      </c>
      <c r="AI150">
        <f>IF(tbl_HRData[[#This Row],[Attrition]] = "Yes",1,0)</f>
        <v>0</v>
      </c>
      <c r="AJ150">
        <f>IF(tbl_HRData[[#This Row],[Attrition]] = "No",1,0)</f>
        <v>1</v>
      </c>
      <c r="AK150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50" s="1" t="str">
        <f>IF(tbl_HRData[[#This Row],[MonthlyIncome]]&lt;5000,"Low",
IF(tbl_HRData[[#This Row],[MonthlyIncome]]&lt;10000,"Medium",
IF(tbl_HRData[[#This Row],[MonthlyIncome]]&lt;15000,"Upper Medium","High")))</f>
        <v>Low</v>
      </c>
      <c r="AM150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51" spans="1:39" x14ac:dyDescent="0.35">
      <c r="A151" s="1">
        <v>150</v>
      </c>
      <c r="B151">
        <v>19</v>
      </c>
      <c r="C151" s="1" t="s">
        <v>40</v>
      </c>
      <c r="D151" s="1" t="s">
        <v>34</v>
      </c>
      <c r="E151">
        <v>1181</v>
      </c>
      <c r="F151" s="1" t="s">
        <v>42</v>
      </c>
      <c r="G151">
        <v>3</v>
      </c>
      <c r="H151">
        <v>1</v>
      </c>
      <c r="I151" s="1" t="s">
        <v>48</v>
      </c>
      <c r="J151">
        <v>201</v>
      </c>
      <c r="K151">
        <v>2</v>
      </c>
      <c r="L151" s="1" t="s">
        <v>37</v>
      </c>
      <c r="M151">
        <v>79</v>
      </c>
      <c r="N151">
        <v>3</v>
      </c>
      <c r="O151">
        <v>1</v>
      </c>
      <c r="P151" s="1" t="s">
        <v>47</v>
      </c>
      <c r="Q151">
        <v>2</v>
      </c>
      <c r="R151" s="1" t="s">
        <v>39</v>
      </c>
      <c r="S151">
        <v>1483</v>
      </c>
      <c r="T151">
        <v>16102</v>
      </c>
      <c r="U151">
        <v>1</v>
      </c>
      <c r="V151" s="1" t="s">
        <v>40</v>
      </c>
      <c r="W151">
        <v>14</v>
      </c>
      <c r="X151">
        <v>3</v>
      </c>
      <c r="Y151">
        <v>4</v>
      </c>
      <c r="Z151">
        <v>80</v>
      </c>
      <c r="AA151">
        <v>0</v>
      </c>
      <c r="AB151">
        <v>1</v>
      </c>
      <c r="AC151">
        <v>3</v>
      </c>
      <c r="AD151">
        <v>3</v>
      </c>
      <c r="AE151">
        <v>1</v>
      </c>
      <c r="AF151">
        <v>0</v>
      </c>
      <c r="AG151">
        <v>0</v>
      </c>
      <c r="AH151">
        <v>0</v>
      </c>
      <c r="AI151">
        <f>IF(tbl_HRData[[#This Row],[Attrition]] = "Yes",1,0)</f>
        <v>0</v>
      </c>
      <c r="AJ151">
        <f>IF(tbl_HRData[[#This Row],[Attrition]] = "No",1,0)</f>
        <v>1</v>
      </c>
      <c r="AK151" t="str">
        <f>IF(tbl_HRData[[#This Row],[Age]] &lt; 25, "Under 25", IF(tbl_HRData[[#This Row],[Age]] &lt;= 34, "25-34", IF(tbl_HRData[[#This Row],[Age]] &lt;= 44, "35-44", IF(tbl_HRData[[#This Row],[Age]] &lt;= 54, "45-54", "55+"))))</f>
        <v>Under 25</v>
      </c>
      <c r="AL151" s="1" t="str">
        <f>IF(tbl_HRData[[#This Row],[MonthlyIncome]]&lt;5000,"Low",
IF(tbl_HRData[[#This Row],[MonthlyIncome]]&lt;10000,"Medium",
IF(tbl_HRData[[#This Row],[MonthlyIncome]]&lt;15000,"Upper Medium","High")))</f>
        <v>Low</v>
      </c>
      <c r="AM151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52" spans="1:39" x14ac:dyDescent="0.35">
      <c r="A152" s="1">
        <v>151</v>
      </c>
      <c r="B152">
        <v>40</v>
      </c>
      <c r="C152" s="1" t="s">
        <v>40</v>
      </c>
      <c r="D152" s="1" t="s">
        <v>41</v>
      </c>
      <c r="E152">
        <v>1395</v>
      </c>
      <c r="F152" s="1" t="s">
        <v>42</v>
      </c>
      <c r="G152">
        <v>26</v>
      </c>
      <c r="H152">
        <v>3</v>
      </c>
      <c r="I152" s="1" t="s">
        <v>48</v>
      </c>
      <c r="J152">
        <v>202</v>
      </c>
      <c r="K152">
        <v>2</v>
      </c>
      <c r="L152" s="1" t="s">
        <v>37</v>
      </c>
      <c r="M152">
        <v>54</v>
      </c>
      <c r="N152">
        <v>3</v>
      </c>
      <c r="O152">
        <v>2</v>
      </c>
      <c r="P152" s="1" t="s">
        <v>44</v>
      </c>
      <c r="Q152">
        <v>2</v>
      </c>
      <c r="R152" s="1" t="s">
        <v>49</v>
      </c>
      <c r="S152">
        <v>5605</v>
      </c>
      <c r="T152">
        <v>8504</v>
      </c>
      <c r="U152">
        <v>1</v>
      </c>
      <c r="V152" s="1" t="s">
        <v>40</v>
      </c>
      <c r="W152">
        <v>11</v>
      </c>
      <c r="X152">
        <v>3</v>
      </c>
      <c r="Y152">
        <v>1</v>
      </c>
      <c r="Z152">
        <v>80</v>
      </c>
      <c r="AA152">
        <v>1</v>
      </c>
      <c r="AB152">
        <v>20</v>
      </c>
      <c r="AC152">
        <v>2</v>
      </c>
      <c r="AD152">
        <v>3</v>
      </c>
      <c r="AE152">
        <v>20</v>
      </c>
      <c r="AF152">
        <v>7</v>
      </c>
      <c r="AG152">
        <v>2</v>
      </c>
      <c r="AH152">
        <v>13</v>
      </c>
      <c r="AI152">
        <f>IF(tbl_HRData[[#This Row],[Attrition]] = "Yes",1,0)</f>
        <v>0</v>
      </c>
      <c r="AJ152">
        <f>IF(tbl_HRData[[#This Row],[Attrition]] = "No",1,0)</f>
        <v>1</v>
      </c>
      <c r="AK152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52" s="1" t="str">
        <f>IF(tbl_HRData[[#This Row],[MonthlyIncome]]&lt;5000,"Low",
IF(tbl_HRData[[#This Row],[MonthlyIncome]]&lt;10000,"Medium",
IF(tbl_HRData[[#This Row],[MonthlyIncome]]&lt;15000,"Upper Medium","High")))</f>
        <v>Medium</v>
      </c>
      <c r="AM152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153" spans="1:39" x14ac:dyDescent="0.35">
      <c r="A153" s="1">
        <v>152</v>
      </c>
      <c r="B153">
        <v>35</v>
      </c>
      <c r="C153" s="1" t="s">
        <v>40</v>
      </c>
      <c r="D153" s="1" t="s">
        <v>34</v>
      </c>
      <c r="E153">
        <v>662</v>
      </c>
      <c r="F153" s="1" t="s">
        <v>35</v>
      </c>
      <c r="G153">
        <v>1</v>
      </c>
      <c r="H153">
        <v>5</v>
      </c>
      <c r="I153" s="1" t="s">
        <v>56</v>
      </c>
      <c r="J153">
        <v>204</v>
      </c>
      <c r="K153">
        <v>3</v>
      </c>
      <c r="L153" s="1" t="s">
        <v>43</v>
      </c>
      <c r="M153">
        <v>94</v>
      </c>
      <c r="N153">
        <v>3</v>
      </c>
      <c r="O153">
        <v>3</v>
      </c>
      <c r="P153" s="1" t="s">
        <v>38</v>
      </c>
      <c r="Q153">
        <v>2</v>
      </c>
      <c r="R153" s="1" t="s">
        <v>45</v>
      </c>
      <c r="S153">
        <v>7295</v>
      </c>
      <c r="T153">
        <v>11439</v>
      </c>
      <c r="U153">
        <v>1</v>
      </c>
      <c r="V153" s="1" t="s">
        <v>40</v>
      </c>
      <c r="W153">
        <v>13</v>
      </c>
      <c r="X153">
        <v>3</v>
      </c>
      <c r="Y153">
        <v>1</v>
      </c>
      <c r="Z153">
        <v>80</v>
      </c>
      <c r="AA153">
        <v>2</v>
      </c>
      <c r="AB153">
        <v>10</v>
      </c>
      <c r="AC153">
        <v>3</v>
      </c>
      <c r="AD153">
        <v>3</v>
      </c>
      <c r="AE153">
        <v>10</v>
      </c>
      <c r="AF153">
        <v>8</v>
      </c>
      <c r="AG153">
        <v>0</v>
      </c>
      <c r="AH153">
        <v>6</v>
      </c>
      <c r="AI153">
        <f>IF(tbl_HRData[[#This Row],[Attrition]] = "Yes",1,0)</f>
        <v>0</v>
      </c>
      <c r="AJ153">
        <f>IF(tbl_HRData[[#This Row],[Attrition]] = "No",1,0)</f>
        <v>1</v>
      </c>
      <c r="AK153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53" s="1" t="str">
        <f>IF(tbl_HRData[[#This Row],[MonthlyIncome]]&lt;5000,"Low",
IF(tbl_HRData[[#This Row],[MonthlyIncome]]&lt;10000,"Medium",
IF(tbl_HRData[[#This Row],[MonthlyIncome]]&lt;15000,"Upper Medium","High")))</f>
        <v>Medium</v>
      </c>
      <c r="AM153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54" spans="1:39" x14ac:dyDescent="0.35">
      <c r="A154" s="1">
        <v>153</v>
      </c>
      <c r="B154">
        <v>53</v>
      </c>
      <c r="C154" s="1" t="s">
        <v>40</v>
      </c>
      <c r="D154" s="1" t="s">
        <v>34</v>
      </c>
      <c r="E154">
        <v>1436</v>
      </c>
      <c r="F154" s="1" t="s">
        <v>35</v>
      </c>
      <c r="G154">
        <v>6</v>
      </c>
      <c r="H154">
        <v>2</v>
      </c>
      <c r="I154" s="1" t="s">
        <v>56</v>
      </c>
      <c r="J154">
        <v>205</v>
      </c>
      <c r="K154">
        <v>2</v>
      </c>
      <c r="L154" s="1" t="s">
        <v>43</v>
      </c>
      <c r="M154">
        <v>34</v>
      </c>
      <c r="N154">
        <v>3</v>
      </c>
      <c r="O154">
        <v>2</v>
      </c>
      <c r="P154" s="1" t="s">
        <v>54</v>
      </c>
      <c r="Q154">
        <v>3</v>
      </c>
      <c r="R154" s="1" t="s">
        <v>45</v>
      </c>
      <c r="S154">
        <v>2306</v>
      </c>
      <c r="T154">
        <v>16047</v>
      </c>
      <c r="U154">
        <v>2</v>
      </c>
      <c r="V154" s="1" t="s">
        <v>33</v>
      </c>
      <c r="W154">
        <v>20</v>
      </c>
      <c r="X154">
        <v>4</v>
      </c>
      <c r="Y154">
        <v>4</v>
      </c>
      <c r="Z154">
        <v>80</v>
      </c>
      <c r="AA154">
        <v>1</v>
      </c>
      <c r="AB154">
        <v>13</v>
      </c>
      <c r="AC154">
        <v>3</v>
      </c>
      <c r="AD154">
        <v>1</v>
      </c>
      <c r="AE154">
        <v>7</v>
      </c>
      <c r="AF154">
        <v>7</v>
      </c>
      <c r="AG154">
        <v>4</v>
      </c>
      <c r="AH154">
        <v>5</v>
      </c>
      <c r="AI154">
        <f>IF(tbl_HRData[[#This Row],[Attrition]] = "Yes",1,0)</f>
        <v>0</v>
      </c>
      <c r="AJ154">
        <f>IF(tbl_HRData[[#This Row],[Attrition]] = "No",1,0)</f>
        <v>1</v>
      </c>
      <c r="AK154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154" s="1" t="str">
        <f>IF(tbl_HRData[[#This Row],[MonthlyIncome]]&lt;5000,"Low",
IF(tbl_HRData[[#This Row],[MonthlyIncome]]&lt;10000,"Medium",
IF(tbl_HRData[[#This Row],[MonthlyIncome]]&lt;15000,"Upper Medium","High")))</f>
        <v>Low</v>
      </c>
      <c r="AM154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55" spans="1:39" x14ac:dyDescent="0.35">
      <c r="A155" s="1">
        <v>154</v>
      </c>
      <c r="B155">
        <v>45</v>
      </c>
      <c r="C155" s="1" t="s">
        <v>40</v>
      </c>
      <c r="D155" s="1" t="s">
        <v>34</v>
      </c>
      <c r="E155">
        <v>194</v>
      </c>
      <c r="F155" s="1" t="s">
        <v>42</v>
      </c>
      <c r="G155">
        <v>9</v>
      </c>
      <c r="H155">
        <v>3</v>
      </c>
      <c r="I155" s="1" t="s">
        <v>36</v>
      </c>
      <c r="J155">
        <v>206</v>
      </c>
      <c r="K155">
        <v>2</v>
      </c>
      <c r="L155" s="1" t="s">
        <v>43</v>
      </c>
      <c r="M155">
        <v>60</v>
      </c>
      <c r="N155">
        <v>3</v>
      </c>
      <c r="O155">
        <v>2</v>
      </c>
      <c r="P155" s="1" t="s">
        <v>47</v>
      </c>
      <c r="Q155">
        <v>2</v>
      </c>
      <c r="R155" s="1" t="s">
        <v>49</v>
      </c>
      <c r="S155">
        <v>2348</v>
      </c>
      <c r="T155">
        <v>10901</v>
      </c>
      <c r="U155">
        <v>8</v>
      </c>
      <c r="V155" s="1" t="s">
        <v>40</v>
      </c>
      <c r="W155">
        <v>18</v>
      </c>
      <c r="X155">
        <v>3</v>
      </c>
      <c r="Y155">
        <v>3</v>
      </c>
      <c r="Z155">
        <v>80</v>
      </c>
      <c r="AA155">
        <v>1</v>
      </c>
      <c r="AB155">
        <v>20</v>
      </c>
      <c r="AC155">
        <v>2</v>
      </c>
      <c r="AD155">
        <v>1</v>
      </c>
      <c r="AE155">
        <v>17</v>
      </c>
      <c r="AF155">
        <v>9</v>
      </c>
      <c r="AG155">
        <v>0</v>
      </c>
      <c r="AH155">
        <v>15</v>
      </c>
      <c r="AI155">
        <f>IF(tbl_HRData[[#This Row],[Attrition]] = "Yes",1,0)</f>
        <v>0</v>
      </c>
      <c r="AJ155">
        <f>IF(tbl_HRData[[#This Row],[Attrition]] = "No",1,0)</f>
        <v>1</v>
      </c>
      <c r="AK155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155" s="1" t="str">
        <f>IF(tbl_HRData[[#This Row],[MonthlyIncome]]&lt;5000,"Low",
IF(tbl_HRData[[#This Row],[MonthlyIncome]]&lt;10000,"Medium",
IF(tbl_HRData[[#This Row],[MonthlyIncome]]&lt;15000,"Upper Medium","High")))</f>
        <v>Low</v>
      </c>
      <c r="AM155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156" spans="1:39" x14ac:dyDescent="0.35">
      <c r="A156" s="1">
        <v>155</v>
      </c>
      <c r="B156">
        <v>32</v>
      </c>
      <c r="C156" s="1" t="s">
        <v>40</v>
      </c>
      <c r="D156" s="1" t="s">
        <v>41</v>
      </c>
      <c r="E156">
        <v>967</v>
      </c>
      <c r="F156" s="1" t="s">
        <v>35</v>
      </c>
      <c r="G156">
        <v>8</v>
      </c>
      <c r="H156">
        <v>3</v>
      </c>
      <c r="I156" s="1" t="s">
        <v>56</v>
      </c>
      <c r="J156">
        <v>207</v>
      </c>
      <c r="K156">
        <v>2</v>
      </c>
      <c r="L156" s="1" t="s">
        <v>37</v>
      </c>
      <c r="M156">
        <v>43</v>
      </c>
      <c r="N156">
        <v>3</v>
      </c>
      <c r="O156">
        <v>3</v>
      </c>
      <c r="P156" s="1" t="s">
        <v>38</v>
      </c>
      <c r="Q156">
        <v>4</v>
      </c>
      <c r="R156" s="1" t="s">
        <v>39</v>
      </c>
      <c r="S156">
        <v>8998</v>
      </c>
      <c r="T156">
        <v>15589</v>
      </c>
      <c r="U156">
        <v>1</v>
      </c>
      <c r="V156" s="1" t="s">
        <v>40</v>
      </c>
      <c r="W156">
        <v>14</v>
      </c>
      <c r="X156">
        <v>3</v>
      </c>
      <c r="Y156">
        <v>4</v>
      </c>
      <c r="Z156">
        <v>80</v>
      </c>
      <c r="AA156">
        <v>0</v>
      </c>
      <c r="AB156">
        <v>9</v>
      </c>
      <c r="AC156">
        <v>2</v>
      </c>
      <c r="AD156">
        <v>3</v>
      </c>
      <c r="AE156">
        <v>9</v>
      </c>
      <c r="AF156">
        <v>8</v>
      </c>
      <c r="AG156">
        <v>3</v>
      </c>
      <c r="AH156">
        <v>7</v>
      </c>
      <c r="AI156">
        <f>IF(tbl_HRData[[#This Row],[Attrition]] = "Yes",1,0)</f>
        <v>0</v>
      </c>
      <c r="AJ156">
        <f>IF(tbl_HRData[[#This Row],[Attrition]] = "No",1,0)</f>
        <v>1</v>
      </c>
      <c r="AK156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56" s="1" t="str">
        <f>IF(tbl_HRData[[#This Row],[MonthlyIncome]]&lt;5000,"Low",
IF(tbl_HRData[[#This Row],[MonthlyIncome]]&lt;10000,"Medium",
IF(tbl_HRData[[#This Row],[MonthlyIncome]]&lt;15000,"Upper Medium","High")))</f>
        <v>Medium</v>
      </c>
      <c r="AM156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57" spans="1:39" x14ac:dyDescent="0.35">
      <c r="A157" s="1">
        <v>156</v>
      </c>
      <c r="B157">
        <v>29</v>
      </c>
      <c r="C157" s="1" t="s">
        <v>40</v>
      </c>
      <c r="D157" s="1" t="s">
        <v>52</v>
      </c>
      <c r="E157">
        <v>1496</v>
      </c>
      <c r="F157" s="1" t="s">
        <v>42</v>
      </c>
      <c r="G157">
        <v>1</v>
      </c>
      <c r="H157">
        <v>1</v>
      </c>
      <c r="I157" s="1" t="s">
        <v>57</v>
      </c>
      <c r="J157">
        <v>208</v>
      </c>
      <c r="K157">
        <v>4</v>
      </c>
      <c r="L157" s="1" t="s">
        <v>43</v>
      </c>
      <c r="M157">
        <v>41</v>
      </c>
      <c r="N157">
        <v>3</v>
      </c>
      <c r="O157">
        <v>2</v>
      </c>
      <c r="P157" s="1" t="s">
        <v>50</v>
      </c>
      <c r="Q157">
        <v>3</v>
      </c>
      <c r="R157" s="1" t="s">
        <v>45</v>
      </c>
      <c r="S157">
        <v>4319</v>
      </c>
      <c r="T157">
        <v>26283</v>
      </c>
      <c r="U157">
        <v>1</v>
      </c>
      <c r="V157" s="1" t="s">
        <v>40</v>
      </c>
      <c r="W157">
        <v>13</v>
      </c>
      <c r="X157">
        <v>3</v>
      </c>
      <c r="Y157">
        <v>1</v>
      </c>
      <c r="Z157">
        <v>80</v>
      </c>
      <c r="AA157">
        <v>1</v>
      </c>
      <c r="AB157">
        <v>10</v>
      </c>
      <c r="AC157">
        <v>1</v>
      </c>
      <c r="AD157">
        <v>3</v>
      </c>
      <c r="AE157">
        <v>10</v>
      </c>
      <c r="AF157">
        <v>7</v>
      </c>
      <c r="AG157">
        <v>0</v>
      </c>
      <c r="AH157">
        <v>9</v>
      </c>
      <c r="AI157">
        <f>IF(tbl_HRData[[#This Row],[Attrition]] = "Yes",1,0)</f>
        <v>0</v>
      </c>
      <c r="AJ157">
        <f>IF(tbl_HRData[[#This Row],[Attrition]] = "No",1,0)</f>
        <v>1</v>
      </c>
      <c r="AK157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57" s="1" t="str">
        <f>IF(tbl_HRData[[#This Row],[MonthlyIncome]]&lt;5000,"Low",
IF(tbl_HRData[[#This Row],[MonthlyIncome]]&lt;10000,"Medium",
IF(tbl_HRData[[#This Row],[MonthlyIncome]]&lt;15000,"Upper Medium","High")))</f>
        <v>Low</v>
      </c>
      <c r="AM157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58" spans="1:39" x14ac:dyDescent="0.35">
      <c r="A158" s="1">
        <v>157</v>
      </c>
      <c r="B158">
        <v>51</v>
      </c>
      <c r="C158" s="1" t="s">
        <v>40</v>
      </c>
      <c r="D158" s="1" t="s">
        <v>34</v>
      </c>
      <c r="E158">
        <v>1169</v>
      </c>
      <c r="F158" s="1" t="s">
        <v>42</v>
      </c>
      <c r="G158">
        <v>7</v>
      </c>
      <c r="H158">
        <v>4</v>
      </c>
      <c r="I158" s="1" t="s">
        <v>48</v>
      </c>
      <c r="J158">
        <v>211</v>
      </c>
      <c r="K158">
        <v>2</v>
      </c>
      <c r="L158" s="1" t="s">
        <v>43</v>
      </c>
      <c r="M158">
        <v>34</v>
      </c>
      <c r="N158">
        <v>2</v>
      </c>
      <c r="O158">
        <v>2</v>
      </c>
      <c r="P158" s="1" t="s">
        <v>50</v>
      </c>
      <c r="Q158">
        <v>3</v>
      </c>
      <c r="R158" s="1" t="s">
        <v>45</v>
      </c>
      <c r="S158">
        <v>6132</v>
      </c>
      <c r="T158">
        <v>13983</v>
      </c>
      <c r="U158">
        <v>2</v>
      </c>
      <c r="V158" s="1" t="s">
        <v>40</v>
      </c>
      <c r="W158">
        <v>17</v>
      </c>
      <c r="X158">
        <v>3</v>
      </c>
      <c r="Y158">
        <v>3</v>
      </c>
      <c r="Z158">
        <v>80</v>
      </c>
      <c r="AA158">
        <v>0</v>
      </c>
      <c r="AB158">
        <v>10</v>
      </c>
      <c r="AC158">
        <v>2</v>
      </c>
      <c r="AD158">
        <v>3</v>
      </c>
      <c r="AE158">
        <v>1</v>
      </c>
      <c r="AF158">
        <v>0</v>
      </c>
      <c r="AG158">
        <v>0</v>
      </c>
      <c r="AH158">
        <v>0</v>
      </c>
      <c r="AI158">
        <f>IF(tbl_HRData[[#This Row],[Attrition]] = "Yes",1,0)</f>
        <v>0</v>
      </c>
      <c r="AJ158">
        <f>IF(tbl_HRData[[#This Row],[Attrition]] = "No",1,0)</f>
        <v>1</v>
      </c>
      <c r="AK158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158" s="1" t="str">
        <f>IF(tbl_HRData[[#This Row],[MonthlyIncome]]&lt;5000,"Low",
IF(tbl_HRData[[#This Row],[MonthlyIncome]]&lt;10000,"Medium",
IF(tbl_HRData[[#This Row],[MonthlyIncome]]&lt;15000,"Upper Medium","High")))</f>
        <v>Medium</v>
      </c>
      <c r="AM158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59" spans="1:39" x14ac:dyDescent="0.35">
      <c r="A159" s="1">
        <v>158</v>
      </c>
      <c r="B159">
        <v>58</v>
      </c>
      <c r="C159" s="1" t="s">
        <v>40</v>
      </c>
      <c r="D159" s="1" t="s">
        <v>34</v>
      </c>
      <c r="E159">
        <v>1145</v>
      </c>
      <c r="F159" s="1" t="s">
        <v>42</v>
      </c>
      <c r="G159">
        <v>9</v>
      </c>
      <c r="H159">
        <v>3</v>
      </c>
      <c r="I159" s="1" t="s">
        <v>48</v>
      </c>
      <c r="J159">
        <v>214</v>
      </c>
      <c r="K159">
        <v>2</v>
      </c>
      <c r="L159" s="1" t="s">
        <v>37</v>
      </c>
      <c r="M159">
        <v>75</v>
      </c>
      <c r="N159">
        <v>2</v>
      </c>
      <c r="O159">
        <v>1</v>
      </c>
      <c r="P159" s="1" t="s">
        <v>44</v>
      </c>
      <c r="Q159">
        <v>2</v>
      </c>
      <c r="R159" s="1" t="s">
        <v>45</v>
      </c>
      <c r="S159">
        <v>3346</v>
      </c>
      <c r="T159">
        <v>11873</v>
      </c>
      <c r="U159">
        <v>4</v>
      </c>
      <c r="V159" s="1" t="s">
        <v>33</v>
      </c>
      <c r="W159">
        <v>20</v>
      </c>
      <c r="X159">
        <v>4</v>
      </c>
      <c r="Y159">
        <v>2</v>
      </c>
      <c r="Z159">
        <v>80</v>
      </c>
      <c r="AA159">
        <v>1</v>
      </c>
      <c r="AB159">
        <v>9</v>
      </c>
      <c r="AC159">
        <v>3</v>
      </c>
      <c r="AD159">
        <v>2</v>
      </c>
      <c r="AE159">
        <v>1</v>
      </c>
      <c r="AF159">
        <v>0</v>
      </c>
      <c r="AG159">
        <v>0</v>
      </c>
      <c r="AH159">
        <v>0</v>
      </c>
      <c r="AI159">
        <f>IF(tbl_HRData[[#This Row],[Attrition]] = "Yes",1,0)</f>
        <v>0</v>
      </c>
      <c r="AJ159">
        <f>IF(tbl_HRData[[#This Row],[Attrition]] = "No",1,0)</f>
        <v>1</v>
      </c>
      <c r="AK159" t="str">
        <f>IF(tbl_HRData[[#This Row],[Age]] &lt; 25, "Under 25", IF(tbl_HRData[[#This Row],[Age]] &lt;= 34, "25-34", IF(tbl_HRData[[#This Row],[Age]] &lt;= 44, "35-44", IF(tbl_HRData[[#This Row],[Age]] &lt;= 54, "45-54", "55+"))))</f>
        <v>55+</v>
      </c>
      <c r="AL159" s="1" t="str">
        <f>IF(tbl_HRData[[#This Row],[MonthlyIncome]]&lt;5000,"Low",
IF(tbl_HRData[[#This Row],[MonthlyIncome]]&lt;10000,"Medium",
IF(tbl_HRData[[#This Row],[MonthlyIncome]]&lt;15000,"Upper Medium","High")))</f>
        <v>Low</v>
      </c>
      <c r="AM159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60" spans="1:39" x14ac:dyDescent="0.35">
      <c r="A160" s="1">
        <v>159</v>
      </c>
      <c r="B160">
        <v>40</v>
      </c>
      <c r="C160" s="1" t="s">
        <v>40</v>
      </c>
      <c r="D160" s="1" t="s">
        <v>34</v>
      </c>
      <c r="E160">
        <v>630</v>
      </c>
      <c r="F160" s="1" t="s">
        <v>35</v>
      </c>
      <c r="G160">
        <v>4</v>
      </c>
      <c r="H160">
        <v>4</v>
      </c>
      <c r="I160" s="1" t="s">
        <v>56</v>
      </c>
      <c r="J160">
        <v>215</v>
      </c>
      <c r="K160">
        <v>3</v>
      </c>
      <c r="L160" s="1" t="s">
        <v>43</v>
      </c>
      <c r="M160">
        <v>67</v>
      </c>
      <c r="N160">
        <v>2</v>
      </c>
      <c r="O160">
        <v>3</v>
      </c>
      <c r="P160" s="1" t="s">
        <v>38</v>
      </c>
      <c r="Q160">
        <v>4</v>
      </c>
      <c r="R160" s="1" t="s">
        <v>45</v>
      </c>
      <c r="S160">
        <v>10855</v>
      </c>
      <c r="T160">
        <v>8552</v>
      </c>
      <c r="U160">
        <v>7</v>
      </c>
      <c r="V160" s="1" t="s">
        <v>40</v>
      </c>
      <c r="W160">
        <v>11</v>
      </c>
      <c r="X160">
        <v>3</v>
      </c>
      <c r="Y160">
        <v>1</v>
      </c>
      <c r="Z160">
        <v>80</v>
      </c>
      <c r="AA160">
        <v>1</v>
      </c>
      <c r="AB160">
        <v>15</v>
      </c>
      <c r="AC160">
        <v>2</v>
      </c>
      <c r="AD160">
        <v>2</v>
      </c>
      <c r="AE160">
        <v>12</v>
      </c>
      <c r="AF160">
        <v>11</v>
      </c>
      <c r="AG160">
        <v>2</v>
      </c>
      <c r="AH160">
        <v>11</v>
      </c>
      <c r="AI160">
        <f>IF(tbl_HRData[[#This Row],[Attrition]] = "Yes",1,0)</f>
        <v>0</v>
      </c>
      <c r="AJ160">
        <f>IF(tbl_HRData[[#This Row],[Attrition]] = "No",1,0)</f>
        <v>1</v>
      </c>
      <c r="AK160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60" s="1" t="str">
        <f>IF(tbl_HRData[[#This Row],[MonthlyIncome]]&lt;5000,"Low",
IF(tbl_HRData[[#This Row],[MonthlyIncome]]&lt;10000,"Medium",
IF(tbl_HRData[[#This Row],[MonthlyIncome]]&lt;15000,"Upper Medium","High")))</f>
        <v>Upper Medium</v>
      </c>
      <c r="AM160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161" spans="1:39" x14ac:dyDescent="0.35">
      <c r="A161" s="1">
        <v>160</v>
      </c>
      <c r="B161">
        <v>34</v>
      </c>
      <c r="C161" s="1" t="s">
        <v>40</v>
      </c>
      <c r="D161" s="1" t="s">
        <v>41</v>
      </c>
      <c r="E161">
        <v>303</v>
      </c>
      <c r="F161" s="1" t="s">
        <v>35</v>
      </c>
      <c r="G161">
        <v>2</v>
      </c>
      <c r="H161">
        <v>4</v>
      </c>
      <c r="I161" s="1" t="s">
        <v>56</v>
      </c>
      <c r="J161">
        <v>216</v>
      </c>
      <c r="K161">
        <v>3</v>
      </c>
      <c r="L161" s="1" t="s">
        <v>37</v>
      </c>
      <c r="M161">
        <v>75</v>
      </c>
      <c r="N161">
        <v>3</v>
      </c>
      <c r="O161">
        <v>1</v>
      </c>
      <c r="P161" s="1" t="s">
        <v>54</v>
      </c>
      <c r="Q161">
        <v>3</v>
      </c>
      <c r="R161" s="1" t="s">
        <v>45</v>
      </c>
      <c r="S161">
        <v>2231</v>
      </c>
      <c r="T161">
        <v>11314</v>
      </c>
      <c r="U161">
        <v>6</v>
      </c>
      <c r="V161" s="1" t="s">
        <v>40</v>
      </c>
      <c r="W161">
        <v>18</v>
      </c>
      <c r="X161">
        <v>3</v>
      </c>
      <c r="Y161">
        <v>4</v>
      </c>
      <c r="Z161">
        <v>80</v>
      </c>
      <c r="AA161">
        <v>1</v>
      </c>
      <c r="AB161">
        <v>6</v>
      </c>
      <c r="AC161">
        <v>3</v>
      </c>
      <c r="AD161">
        <v>3</v>
      </c>
      <c r="AE161">
        <v>4</v>
      </c>
      <c r="AF161">
        <v>3</v>
      </c>
      <c r="AG161">
        <v>1</v>
      </c>
      <c r="AH161">
        <v>2</v>
      </c>
      <c r="AI161">
        <f>IF(tbl_HRData[[#This Row],[Attrition]] = "Yes",1,0)</f>
        <v>0</v>
      </c>
      <c r="AJ161">
        <f>IF(tbl_HRData[[#This Row],[Attrition]] = "No",1,0)</f>
        <v>1</v>
      </c>
      <c r="AK161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61" s="1" t="str">
        <f>IF(tbl_HRData[[#This Row],[MonthlyIncome]]&lt;5000,"Low",
IF(tbl_HRData[[#This Row],[MonthlyIncome]]&lt;10000,"Medium",
IF(tbl_HRData[[#This Row],[MonthlyIncome]]&lt;15000,"Upper Medium","High")))</f>
        <v>Low</v>
      </c>
      <c r="AM161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62" spans="1:39" x14ac:dyDescent="0.35">
      <c r="A162" s="1">
        <v>161</v>
      </c>
      <c r="B162">
        <v>22</v>
      </c>
      <c r="C162" s="1" t="s">
        <v>40</v>
      </c>
      <c r="D162" s="1" t="s">
        <v>34</v>
      </c>
      <c r="E162">
        <v>1256</v>
      </c>
      <c r="F162" s="1" t="s">
        <v>42</v>
      </c>
      <c r="G162">
        <v>19</v>
      </c>
      <c r="H162">
        <v>1</v>
      </c>
      <c r="I162" s="1" t="s">
        <v>48</v>
      </c>
      <c r="J162">
        <v>217</v>
      </c>
      <c r="K162">
        <v>3</v>
      </c>
      <c r="L162" s="1" t="s">
        <v>43</v>
      </c>
      <c r="M162">
        <v>80</v>
      </c>
      <c r="N162">
        <v>3</v>
      </c>
      <c r="O162">
        <v>1</v>
      </c>
      <c r="P162" s="1" t="s">
        <v>44</v>
      </c>
      <c r="Q162">
        <v>4</v>
      </c>
      <c r="R162" s="1" t="s">
        <v>45</v>
      </c>
      <c r="S162">
        <v>2323</v>
      </c>
      <c r="T162">
        <v>11992</v>
      </c>
      <c r="U162">
        <v>1</v>
      </c>
      <c r="V162" s="1" t="s">
        <v>40</v>
      </c>
      <c r="W162">
        <v>24</v>
      </c>
      <c r="X162">
        <v>4</v>
      </c>
      <c r="Y162">
        <v>1</v>
      </c>
      <c r="Z162">
        <v>80</v>
      </c>
      <c r="AA162">
        <v>2</v>
      </c>
      <c r="AB162">
        <v>2</v>
      </c>
      <c r="AC162">
        <v>6</v>
      </c>
      <c r="AD162">
        <v>3</v>
      </c>
      <c r="AE162">
        <v>2</v>
      </c>
      <c r="AF162">
        <v>2</v>
      </c>
      <c r="AG162">
        <v>2</v>
      </c>
      <c r="AH162">
        <v>2</v>
      </c>
      <c r="AI162">
        <f>IF(tbl_HRData[[#This Row],[Attrition]] = "Yes",1,0)</f>
        <v>0</v>
      </c>
      <c r="AJ162">
        <f>IF(tbl_HRData[[#This Row],[Attrition]] = "No",1,0)</f>
        <v>1</v>
      </c>
      <c r="AK162" t="str">
        <f>IF(tbl_HRData[[#This Row],[Age]] &lt; 25, "Under 25", IF(tbl_HRData[[#This Row],[Age]] &lt;= 34, "25-34", IF(tbl_HRData[[#This Row],[Age]] &lt;= 44, "35-44", IF(tbl_HRData[[#This Row],[Age]] &lt;= 54, "45-54", "55+"))))</f>
        <v>Under 25</v>
      </c>
      <c r="AL162" s="1" t="str">
        <f>IF(tbl_HRData[[#This Row],[MonthlyIncome]]&lt;5000,"Low",
IF(tbl_HRData[[#This Row],[MonthlyIncome]]&lt;10000,"Medium",
IF(tbl_HRData[[#This Row],[MonthlyIncome]]&lt;15000,"Upper Medium","High")))</f>
        <v>Low</v>
      </c>
      <c r="AM162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63" spans="1:39" x14ac:dyDescent="0.35">
      <c r="A163" s="1">
        <v>162</v>
      </c>
      <c r="B163">
        <v>27</v>
      </c>
      <c r="C163" s="1" t="s">
        <v>40</v>
      </c>
      <c r="D163" s="1" t="s">
        <v>52</v>
      </c>
      <c r="E163">
        <v>691</v>
      </c>
      <c r="F163" s="1" t="s">
        <v>42</v>
      </c>
      <c r="G163">
        <v>9</v>
      </c>
      <c r="H163">
        <v>3</v>
      </c>
      <c r="I163" s="1" t="s">
        <v>48</v>
      </c>
      <c r="J163">
        <v>218</v>
      </c>
      <c r="K163">
        <v>4</v>
      </c>
      <c r="L163" s="1" t="s">
        <v>43</v>
      </c>
      <c r="M163">
        <v>57</v>
      </c>
      <c r="N163">
        <v>3</v>
      </c>
      <c r="O163">
        <v>1</v>
      </c>
      <c r="P163" s="1" t="s">
        <v>44</v>
      </c>
      <c r="Q163">
        <v>2</v>
      </c>
      <c r="R163" s="1" t="s">
        <v>49</v>
      </c>
      <c r="S163">
        <v>2024</v>
      </c>
      <c r="T163">
        <v>5970</v>
      </c>
      <c r="U163">
        <v>6</v>
      </c>
      <c r="V163" s="1" t="s">
        <v>40</v>
      </c>
      <c r="W163">
        <v>18</v>
      </c>
      <c r="X163">
        <v>3</v>
      </c>
      <c r="Y163">
        <v>4</v>
      </c>
      <c r="Z163">
        <v>80</v>
      </c>
      <c r="AA163">
        <v>1</v>
      </c>
      <c r="AB163">
        <v>6</v>
      </c>
      <c r="AC163">
        <v>1</v>
      </c>
      <c r="AD163">
        <v>1</v>
      </c>
      <c r="AE163">
        <v>2</v>
      </c>
      <c r="AF163">
        <v>2</v>
      </c>
      <c r="AG163">
        <v>2</v>
      </c>
      <c r="AH163">
        <v>2</v>
      </c>
      <c r="AI163">
        <f>IF(tbl_HRData[[#This Row],[Attrition]] = "Yes",1,0)</f>
        <v>0</v>
      </c>
      <c r="AJ163">
        <f>IF(tbl_HRData[[#This Row],[Attrition]] = "No",1,0)</f>
        <v>1</v>
      </c>
      <c r="AK163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63" s="1" t="str">
        <f>IF(tbl_HRData[[#This Row],[MonthlyIncome]]&lt;5000,"Low",
IF(tbl_HRData[[#This Row],[MonthlyIncome]]&lt;10000,"Medium",
IF(tbl_HRData[[#This Row],[MonthlyIncome]]&lt;15000,"Upper Medium","High")))</f>
        <v>Low</v>
      </c>
      <c r="AM163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64" spans="1:39" x14ac:dyDescent="0.35">
      <c r="A164" s="1">
        <v>163</v>
      </c>
      <c r="B164">
        <v>28</v>
      </c>
      <c r="C164" s="1" t="s">
        <v>40</v>
      </c>
      <c r="D164" s="1" t="s">
        <v>34</v>
      </c>
      <c r="E164">
        <v>440</v>
      </c>
      <c r="F164" s="1" t="s">
        <v>42</v>
      </c>
      <c r="G164">
        <v>21</v>
      </c>
      <c r="H164">
        <v>3</v>
      </c>
      <c r="I164" s="1" t="s">
        <v>48</v>
      </c>
      <c r="J164">
        <v>221</v>
      </c>
      <c r="K164">
        <v>3</v>
      </c>
      <c r="L164" s="1" t="s">
        <v>43</v>
      </c>
      <c r="M164">
        <v>42</v>
      </c>
      <c r="N164">
        <v>3</v>
      </c>
      <c r="O164">
        <v>1</v>
      </c>
      <c r="P164" s="1" t="s">
        <v>44</v>
      </c>
      <c r="Q164">
        <v>4</v>
      </c>
      <c r="R164" s="1" t="s">
        <v>45</v>
      </c>
      <c r="S164">
        <v>2713</v>
      </c>
      <c r="T164">
        <v>6672</v>
      </c>
      <c r="U164">
        <v>1</v>
      </c>
      <c r="V164" s="1" t="s">
        <v>40</v>
      </c>
      <c r="W164">
        <v>11</v>
      </c>
      <c r="X164">
        <v>3</v>
      </c>
      <c r="Y164">
        <v>3</v>
      </c>
      <c r="Z164">
        <v>80</v>
      </c>
      <c r="AA164">
        <v>1</v>
      </c>
      <c r="AB164">
        <v>5</v>
      </c>
      <c r="AC164">
        <v>2</v>
      </c>
      <c r="AD164">
        <v>1</v>
      </c>
      <c r="AE164">
        <v>5</v>
      </c>
      <c r="AF164">
        <v>2</v>
      </c>
      <c r="AG164">
        <v>0</v>
      </c>
      <c r="AH164">
        <v>2</v>
      </c>
      <c r="AI164">
        <f>IF(tbl_HRData[[#This Row],[Attrition]] = "Yes",1,0)</f>
        <v>0</v>
      </c>
      <c r="AJ164">
        <f>IF(tbl_HRData[[#This Row],[Attrition]] = "No",1,0)</f>
        <v>1</v>
      </c>
      <c r="AK164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64" s="1" t="str">
        <f>IF(tbl_HRData[[#This Row],[MonthlyIncome]]&lt;5000,"Low",
IF(tbl_HRData[[#This Row],[MonthlyIncome]]&lt;10000,"Medium",
IF(tbl_HRData[[#This Row],[MonthlyIncome]]&lt;15000,"Upper Medium","High")))</f>
        <v>Low</v>
      </c>
      <c r="AM164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65" spans="1:39" x14ac:dyDescent="0.35">
      <c r="A165" s="1">
        <v>164</v>
      </c>
      <c r="B165">
        <v>57</v>
      </c>
      <c r="C165" s="1" t="s">
        <v>40</v>
      </c>
      <c r="D165" s="1" t="s">
        <v>34</v>
      </c>
      <c r="E165">
        <v>334</v>
      </c>
      <c r="F165" s="1" t="s">
        <v>42</v>
      </c>
      <c r="G165">
        <v>24</v>
      </c>
      <c r="H165">
        <v>2</v>
      </c>
      <c r="I165" s="1" t="s">
        <v>36</v>
      </c>
      <c r="J165">
        <v>223</v>
      </c>
      <c r="K165">
        <v>3</v>
      </c>
      <c r="L165" s="1" t="s">
        <v>43</v>
      </c>
      <c r="M165">
        <v>83</v>
      </c>
      <c r="N165">
        <v>4</v>
      </c>
      <c r="O165">
        <v>3</v>
      </c>
      <c r="P165" s="1" t="s">
        <v>51</v>
      </c>
      <c r="Q165">
        <v>4</v>
      </c>
      <c r="R165" s="1" t="s">
        <v>49</v>
      </c>
      <c r="S165">
        <v>9439</v>
      </c>
      <c r="T165">
        <v>23402</v>
      </c>
      <c r="U165">
        <v>3</v>
      </c>
      <c r="V165" s="1" t="s">
        <v>33</v>
      </c>
      <c r="W165">
        <v>16</v>
      </c>
      <c r="X165">
        <v>3</v>
      </c>
      <c r="Y165">
        <v>2</v>
      </c>
      <c r="Z165">
        <v>80</v>
      </c>
      <c r="AA165">
        <v>1</v>
      </c>
      <c r="AB165">
        <v>12</v>
      </c>
      <c r="AC165">
        <v>2</v>
      </c>
      <c r="AD165">
        <v>1</v>
      </c>
      <c r="AE165">
        <v>5</v>
      </c>
      <c r="AF165">
        <v>3</v>
      </c>
      <c r="AG165">
        <v>1</v>
      </c>
      <c r="AH165">
        <v>4</v>
      </c>
      <c r="AI165">
        <f>IF(tbl_HRData[[#This Row],[Attrition]] = "Yes",1,0)</f>
        <v>0</v>
      </c>
      <c r="AJ165">
        <f>IF(tbl_HRData[[#This Row],[Attrition]] = "No",1,0)</f>
        <v>1</v>
      </c>
      <c r="AK165" t="str">
        <f>IF(tbl_HRData[[#This Row],[Age]] &lt; 25, "Under 25", IF(tbl_HRData[[#This Row],[Age]] &lt;= 34, "25-34", IF(tbl_HRData[[#This Row],[Age]] &lt;= 44, "35-44", IF(tbl_HRData[[#This Row],[Age]] &lt;= 54, "45-54", "55+"))))</f>
        <v>55+</v>
      </c>
      <c r="AL165" s="1" t="str">
        <f>IF(tbl_HRData[[#This Row],[MonthlyIncome]]&lt;5000,"Low",
IF(tbl_HRData[[#This Row],[MonthlyIncome]]&lt;10000,"Medium",
IF(tbl_HRData[[#This Row],[MonthlyIncome]]&lt;15000,"Upper Medium","High")))</f>
        <v>Medium</v>
      </c>
      <c r="AM165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66" spans="1:39" x14ac:dyDescent="0.35">
      <c r="A166" s="1">
        <v>165</v>
      </c>
      <c r="B166">
        <v>27</v>
      </c>
      <c r="C166" s="1" t="s">
        <v>40</v>
      </c>
      <c r="D166" s="1" t="s">
        <v>52</v>
      </c>
      <c r="E166">
        <v>1450</v>
      </c>
      <c r="F166" s="1" t="s">
        <v>42</v>
      </c>
      <c r="G166">
        <v>3</v>
      </c>
      <c r="H166">
        <v>3</v>
      </c>
      <c r="I166" s="1" t="s">
        <v>48</v>
      </c>
      <c r="J166">
        <v>224</v>
      </c>
      <c r="K166">
        <v>3</v>
      </c>
      <c r="L166" s="1" t="s">
        <v>43</v>
      </c>
      <c r="M166">
        <v>79</v>
      </c>
      <c r="N166">
        <v>2</v>
      </c>
      <c r="O166">
        <v>1</v>
      </c>
      <c r="P166" s="1" t="s">
        <v>44</v>
      </c>
      <c r="Q166">
        <v>3</v>
      </c>
      <c r="R166" s="1" t="s">
        <v>49</v>
      </c>
      <c r="S166">
        <v>2566</v>
      </c>
      <c r="T166">
        <v>25326</v>
      </c>
      <c r="U166">
        <v>1</v>
      </c>
      <c r="V166" s="1" t="s">
        <v>33</v>
      </c>
      <c r="W166">
        <v>15</v>
      </c>
      <c r="X166">
        <v>3</v>
      </c>
      <c r="Y166">
        <v>4</v>
      </c>
      <c r="Z166">
        <v>80</v>
      </c>
      <c r="AA166">
        <v>1</v>
      </c>
      <c r="AB166">
        <v>1</v>
      </c>
      <c r="AC166">
        <v>2</v>
      </c>
      <c r="AD166">
        <v>2</v>
      </c>
      <c r="AE166">
        <v>1</v>
      </c>
      <c r="AF166">
        <v>1</v>
      </c>
      <c r="AG166">
        <v>0</v>
      </c>
      <c r="AH166">
        <v>1</v>
      </c>
      <c r="AI166">
        <f>IF(tbl_HRData[[#This Row],[Attrition]] = "Yes",1,0)</f>
        <v>0</v>
      </c>
      <c r="AJ166">
        <f>IF(tbl_HRData[[#This Row],[Attrition]] = "No",1,0)</f>
        <v>1</v>
      </c>
      <c r="AK166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66" s="1" t="str">
        <f>IF(tbl_HRData[[#This Row],[MonthlyIncome]]&lt;5000,"Low",
IF(tbl_HRData[[#This Row],[MonthlyIncome]]&lt;10000,"Medium",
IF(tbl_HRData[[#This Row],[MonthlyIncome]]&lt;15000,"Upper Medium","High")))</f>
        <v>Low</v>
      </c>
      <c r="AM166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67" spans="1:39" x14ac:dyDescent="0.35">
      <c r="A167" s="1">
        <v>166</v>
      </c>
      <c r="B167">
        <v>50</v>
      </c>
      <c r="C167" s="1" t="s">
        <v>40</v>
      </c>
      <c r="D167" s="1" t="s">
        <v>34</v>
      </c>
      <c r="E167">
        <v>1452</v>
      </c>
      <c r="F167" s="1" t="s">
        <v>42</v>
      </c>
      <c r="G167">
        <v>11</v>
      </c>
      <c r="H167">
        <v>3</v>
      </c>
      <c r="I167" s="1" t="s">
        <v>36</v>
      </c>
      <c r="J167">
        <v>226</v>
      </c>
      <c r="K167">
        <v>3</v>
      </c>
      <c r="L167" s="1" t="s">
        <v>37</v>
      </c>
      <c r="M167">
        <v>53</v>
      </c>
      <c r="N167">
        <v>3</v>
      </c>
      <c r="O167">
        <v>5</v>
      </c>
      <c r="P167" s="1" t="s">
        <v>53</v>
      </c>
      <c r="Q167">
        <v>2</v>
      </c>
      <c r="R167" s="1" t="s">
        <v>39</v>
      </c>
      <c r="S167">
        <v>19926</v>
      </c>
      <c r="T167">
        <v>17053</v>
      </c>
      <c r="U167">
        <v>3</v>
      </c>
      <c r="V167" s="1" t="s">
        <v>40</v>
      </c>
      <c r="W167">
        <v>15</v>
      </c>
      <c r="X167">
        <v>3</v>
      </c>
      <c r="Y167">
        <v>2</v>
      </c>
      <c r="Z167">
        <v>80</v>
      </c>
      <c r="AA167">
        <v>0</v>
      </c>
      <c r="AB167">
        <v>21</v>
      </c>
      <c r="AC167">
        <v>5</v>
      </c>
      <c r="AD167">
        <v>3</v>
      </c>
      <c r="AE167">
        <v>5</v>
      </c>
      <c r="AF167">
        <v>4</v>
      </c>
      <c r="AG167">
        <v>4</v>
      </c>
      <c r="AH167">
        <v>4</v>
      </c>
      <c r="AI167">
        <f>IF(tbl_HRData[[#This Row],[Attrition]] = "Yes",1,0)</f>
        <v>0</v>
      </c>
      <c r="AJ167">
        <f>IF(tbl_HRData[[#This Row],[Attrition]] = "No",1,0)</f>
        <v>1</v>
      </c>
      <c r="AK167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167" s="1" t="str">
        <f>IF(tbl_HRData[[#This Row],[MonthlyIncome]]&lt;5000,"Low",
IF(tbl_HRData[[#This Row],[MonthlyIncome]]&lt;10000,"Medium",
IF(tbl_HRData[[#This Row],[MonthlyIncome]]&lt;15000,"Upper Medium","High")))</f>
        <v>High</v>
      </c>
      <c r="AM167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68" spans="1:39" x14ac:dyDescent="0.35">
      <c r="A168" s="1">
        <v>167</v>
      </c>
      <c r="B168">
        <v>41</v>
      </c>
      <c r="C168" s="1" t="s">
        <v>40</v>
      </c>
      <c r="D168" s="1" t="s">
        <v>34</v>
      </c>
      <c r="E168">
        <v>465</v>
      </c>
      <c r="F168" s="1" t="s">
        <v>42</v>
      </c>
      <c r="G168">
        <v>14</v>
      </c>
      <c r="H168">
        <v>3</v>
      </c>
      <c r="I168" s="1" t="s">
        <v>36</v>
      </c>
      <c r="J168">
        <v>227</v>
      </c>
      <c r="K168">
        <v>1</v>
      </c>
      <c r="L168" s="1" t="s">
        <v>43</v>
      </c>
      <c r="M168">
        <v>56</v>
      </c>
      <c r="N168">
        <v>3</v>
      </c>
      <c r="O168">
        <v>1</v>
      </c>
      <c r="P168" s="1" t="s">
        <v>44</v>
      </c>
      <c r="Q168">
        <v>3</v>
      </c>
      <c r="R168" s="1" t="s">
        <v>49</v>
      </c>
      <c r="S168">
        <v>2451</v>
      </c>
      <c r="T168">
        <v>4609</v>
      </c>
      <c r="U168">
        <v>4</v>
      </c>
      <c r="V168" s="1" t="s">
        <v>40</v>
      </c>
      <c r="W168">
        <v>12</v>
      </c>
      <c r="X168">
        <v>3</v>
      </c>
      <c r="Y168">
        <v>1</v>
      </c>
      <c r="Z168">
        <v>80</v>
      </c>
      <c r="AA168">
        <v>1</v>
      </c>
      <c r="AB168">
        <v>13</v>
      </c>
      <c r="AC168">
        <v>2</v>
      </c>
      <c r="AD168">
        <v>3</v>
      </c>
      <c r="AE168">
        <v>9</v>
      </c>
      <c r="AF168">
        <v>8</v>
      </c>
      <c r="AG168">
        <v>1</v>
      </c>
      <c r="AH168">
        <v>8</v>
      </c>
      <c r="AI168">
        <f>IF(tbl_HRData[[#This Row],[Attrition]] = "Yes",1,0)</f>
        <v>0</v>
      </c>
      <c r="AJ168">
        <f>IF(tbl_HRData[[#This Row],[Attrition]] = "No",1,0)</f>
        <v>1</v>
      </c>
      <c r="AK168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68" s="1" t="str">
        <f>IF(tbl_HRData[[#This Row],[MonthlyIncome]]&lt;5000,"Low",
IF(tbl_HRData[[#This Row],[MonthlyIncome]]&lt;10000,"Medium",
IF(tbl_HRData[[#This Row],[MonthlyIncome]]&lt;15000,"Upper Medium","High")))</f>
        <v>Low</v>
      </c>
      <c r="AM168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69" spans="1:39" x14ac:dyDescent="0.35">
      <c r="A169" s="1">
        <v>168</v>
      </c>
      <c r="B169">
        <v>30</v>
      </c>
      <c r="C169" s="1" t="s">
        <v>40</v>
      </c>
      <c r="D169" s="1" t="s">
        <v>34</v>
      </c>
      <c r="E169">
        <v>1339</v>
      </c>
      <c r="F169" s="1" t="s">
        <v>35</v>
      </c>
      <c r="G169">
        <v>5</v>
      </c>
      <c r="H169">
        <v>3</v>
      </c>
      <c r="I169" s="1" t="s">
        <v>36</v>
      </c>
      <c r="J169">
        <v>228</v>
      </c>
      <c r="K169">
        <v>2</v>
      </c>
      <c r="L169" s="1" t="s">
        <v>37</v>
      </c>
      <c r="M169">
        <v>41</v>
      </c>
      <c r="N169">
        <v>3</v>
      </c>
      <c r="O169">
        <v>3</v>
      </c>
      <c r="P169" s="1" t="s">
        <v>38</v>
      </c>
      <c r="Q169">
        <v>4</v>
      </c>
      <c r="R169" s="1" t="s">
        <v>45</v>
      </c>
      <c r="S169">
        <v>9419</v>
      </c>
      <c r="T169">
        <v>8053</v>
      </c>
      <c r="U169">
        <v>2</v>
      </c>
      <c r="V169" s="1" t="s">
        <v>40</v>
      </c>
      <c r="W169">
        <v>12</v>
      </c>
      <c r="X169">
        <v>3</v>
      </c>
      <c r="Y169">
        <v>3</v>
      </c>
      <c r="Z169">
        <v>80</v>
      </c>
      <c r="AA169">
        <v>1</v>
      </c>
      <c r="AB169">
        <v>12</v>
      </c>
      <c r="AC169">
        <v>2</v>
      </c>
      <c r="AD169">
        <v>3</v>
      </c>
      <c r="AE169">
        <v>10</v>
      </c>
      <c r="AF169">
        <v>9</v>
      </c>
      <c r="AG169">
        <v>7</v>
      </c>
      <c r="AH169">
        <v>4</v>
      </c>
      <c r="AI169">
        <f>IF(tbl_HRData[[#This Row],[Attrition]] = "Yes",1,0)</f>
        <v>0</v>
      </c>
      <c r="AJ169">
        <f>IF(tbl_HRData[[#This Row],[Attrition]] = "No",1,0)</f>
        <v>1</v>
      </c>
      <c r="AK169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69" s="1" t="str">
        <f>IF(tbl_HRData[[#This Row],[MonthlyIncome]]&lt;5000,"Low",
IF(tbl_HRData[[#This Row],[MonthlyIncome]]&lt;10000,"Medium",
IF(tbl_HRData[[#This Row],[MonthlyIncome]]&lt;15000,"Upper Medium","High")))</f>
        <v>Medium</v>
      </c>
      <c r="AM169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70" spans="1:39" x14ac:dyDescent="0.35">
      <c r="A170" s="1">
        <v>169</v>
      </c>
      <c r="B170">
        <v>38</v>
      </c>
      <c r="C170" s="1" t="s">
        <v>40</v>
      </c>
      <c r="D170" s="1" t="s">
        <v>34</v>
      </c>
      <c r="E170">
        <v>702</v>
      </c>
      <c r="F170" s="1" t="s">
        <v>35</v>
      </c>
      <c r="G170">
        <v>1</v>
      </c>
      <c r="H170">
        <v>4</v>
      </c>
      <c r="I170" s="1" t="s">
        <v>36</v>
      </c>
      <c r="J170">
        <v>230</v>
      </c>
      <c r="K170">
        <v>1</v>
      </c>
      <c r="L170" s="1" t="s">
        <v>37</v>
      </c>
      <c r="M170">
        <v>59</v>
      </c>
      <c r="N170">
        <v>2</v>
      </c>
      <c r="O170">
        <v>2</v>
      </c>
      <c r="P170" s="1" t="s">
        <v>38</v>
      </c>
      <c r="Q170">
        <v>4</v>
      </c>
      <c r="R170" s="1" t="s">
        <v>39</v>
      </c>
      <c r="S170">
        <v>8686</v>
      </c>
      <c r="T170">
        <v>12930</v>
      </c>
      <c r="U170">
        <v>4</v>
      </c>
      <c r="V170" s="1" t="s">
        <v>40</v>
      </c>
      <c r="W170">
        <v>22</v>
      </c>
      <c r="X170">
        <v>4</v>
      </c>
      <c r="Y170">
        <v>3</v>
      </c>
      <c r="Z170">
        <v>80</v>
      </c>
      <c r="AA170">
        <v>0</v>
      </c>
      <c r="AB170">
        <v>12</v>
      </c>
      <c r="AC170">
        <v>2</v>
      </c>
      <c r="AD170">
        <v>4</v>
      </c>
      <c r="AE170">
        <v>8</v>
      </c>
      <c r="AF170">
        <v>3</v>
      </c>
      <c r="AG170">
        <v>0</v>
      </c>
      <c r="AH170">
        <v>7</v>
      </c>
      <c r="AI170">
        <f>IF(tbl_HRData[[#This Row],[Attrition]] = "Yes",1,0)</f>
        <v>0</v>
      </c>
      <c r="AJ170">
        <f>IF(tbl_HRData[[#This Row],[Attrition]] = "No",1,0)</f>
        <v>1</v>
      </c>
      <c r="AK170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70" s="1" t="str">
        <f>IF(tbl_HRData[[#This Row],[MonthlyIncome]]&lt;5000,"Low",
IF(tbl_HRData[[#This Row],[MonthlyIncome]]&lt;10000,"Medium",
IF(tbl_HRData[[#This Row],[MonthlyIncome]]&lt;15000,"Upper Medium","High")))</f>
        <v>Medium</v>
      </c>
      <c r="AM170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71" spans="1:39" x14ac:dyDescent="0.35">
      <c r="A171" s="1">
        <v>170</v>
      </c>
      <c r="B171">
        <v>32</v>
      </c>
      <c r="C171" s="1" t="s">
        <v>40</v>
      </c>
      <c r="D171" s="1" t="s">
        <v>34</v>
      </c>
      <c r="E171">
        <v>120</v>
      </c>
      <c r="F171" s="1" t="s">
        <v>42</v>
      </c>
      <c r="G171">
        <v>6</v>
      </c>
      <c r="H171">
        <v>5</v>
      </c>
      <c r="I171" s="1" t="s">
        <v>36</v>
      </c>
      <c r="J171">
        <v>231</v>
      </c>
      <c r="K171">
        <v>3</v>
      </c>
      <c r="L171" s="1" t="s">
        <v>43</v>
      </c>
      <c r="M171">
        <v>43</v>
      </c>
      <c r="N171">
        <v>3</v>
      </c>
      <c r="O171">
        <v>1</v>
      </c>
      <c r="P171" s="1" t="s">
        <v>44</v>
      </c>
      <c r="Q171">
        <v>3</v>
      </c>
      <c r="R171" s="1" t="s">
        <v>39</v>
      </c>
      <c r="S171">
        <v>3038</v>
      </c>
      <c r="T171">
        <v>12430</v>
      </c>
      <c r="U171">
        <v>3</v>
      </c>
      <c r="V171" s="1" t="s">
        <v>40</v>
      </c>
      <c r="W171">
        <v>20</v>
      </c>
      <c r="X171">
        <v>4</v>
      </c>
      <c r="Y171">
        <v>1</v>
      </c>
      <c r="Z171">
        <v>80</v>
      </c>
      <c r="AA171">
        <v>0</v>
      </c>
      <c r="AB171">
        <v>8</v>
      </c>
      <c r="AC171">
        <v>2</v>
      </c>
      <c r="AD171">
        <v>3</v>
      </c>
      <c r="AE171">
        <v>5</v>
      </c>
      <c r="AF171">
        <v>4</v>
      </c>
      <c r="AG171">
        <v>1</v>
      </c>
      <c r="AH171">
        <v>4</v>
      </c>
      <c r="AI171">
        <f>IF(tbl_HRData[[#This Row],[Attrition]] = "Yes",1,0)</f>
        <v>0</v>
      </c>
      <c r="AJ171">
        <f>IF(tbl_HRData[[#This Row],[Attrition]] = "No",1,0)</f>
        <v>1</v>
      </c>
      <c r="AK171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71" s="1" t="str">
        <f>IF(tbl_HRData[[#This Row],[MonthlyIncome]]&lt;5000,"Low",
IF(tbl_HRData[[#This Row],[MonthlyIncome]]&lt;10000,"Medium",
IF(tbl_HRData[[#This Row],[MonthlyIncome]]&lt;15000,"Upper Medium","High")))</f>
        <v>Low</v>
      </c>
      <c r="AM171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72" spans="1:39" x14ac:dyDescent="0.35">
      <c r="A172" s="1">
        <v>171</v>
      </c>
      <c r="B172">
        <v>27</v>
      </c>
      <c r="C172" s="1" t="s">
        <v>40</v>
      </c>
      <c r="D172" s="1" t="s">
        <v>34</v>
      </c>
      <c r="E172">
        <v>1157</v>
      </c>
      <c r="F172" s="1" t="s">
        <v>42</v>
      </c>
      <c r="G172">
        <v>17</v>
      </c>
      <c r="H172">
        <v>3</v>
      </c>
      <c r="I172" s="1" t="s">
        <v>57</v>
      </c>
      <c r="J172">
        <v>233</v>
      </c>
      <c r="K172">
        <v>3</v>
      </c>
      <c r="L172" s="1" t="s">
        <v>43</v>
      </c>
      <c r="M172">
        <v>51</v>
      </c>
      <c r="N172">
        <v>3</v>
      </c>
      <c r="O172">
        <v>1</v>
      </c>
      <c r="P172" s="1" t="s">
        <v>44</v>
      </c>
      <c r="Q172">
        <v>2</v>
      </c>
      <c r="R172" s="1" t="s">
        <v>45</v>
      </c>
      <c r="S172">
        <v>3058</v>
      </c>
      <c r="T172">
        <v>13364</v>
      </c>
      <c r="U172">
        <v>0</v>
      </c>
      <c r="V172" s="1" t="s">
        <v>33</v>
      </c>
      <c r="W172">
        <v>16</v>
      </c>
      <c r="X172">
        <v>3</v>
      </c>
      <c r="Y172">
        <v>4</v>
      </c>
      <c r="Z172">
        <v>80</v>
      </c>
      <c r="AA172">
        <v>1</v>
      </c>
      <c r="AB172">
        <v>6</v>
      </c>
      <c r="AC172">
        <v>3</v>
      </c>
      <c r="AD172">
        <v>2</v>
      </c>
      <c r="AE172">
        <v>5</v>
      </c>
      <c r="AF172">
        <v>2</v>
      </c>
      <c r="AG172">
        <v>1</v>
      </c>
      <c r="AH172">
        <v>1</v>
      </c>
      <c r="AI172">
        <f>IF(tbl_HRData[[#This Row],[Attrition]] = "Yes",1,0)</f>
        <v>0</v>
      </c>
      <c r="AJ172">
        <f>IF(tbl_HRData[[#This Row],[Attrition]] = "No",1,0)</f>
        <v>1</v>
      </c>
      <c r="AK172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72" s="1" t="str">
        <f>IF(tbl_HRData[[#This Row],[MonthlyIncome]]&lt;5000,"Low",
IF(tbl_HRData[[#This Row],[MonthlyIncome]]&lt;10000,"Medium",
IF(tbl_HRData[[#This Row],[MonthlyIncome]]&lt;15000,"Upper Medium","High")))</f>
        <v>Low</v>
      </c>
      <c r="AM172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73" spans="1:39" x14ac:dyDescent="0.35">
      <c r="A173" s="1">
        <v>172</v>
      </c>
      <c r="B173">
        <v>19</v>
      </c>
      <c r="C173" s="1" t="s">
        <v>33</v>
      </c>
      <c r="D173" s="1" t="s">
        <v>41</v>
      </c>
      <c r="E173">
        <v>602</v>
      </c>
      <c r="F173" s="1" t="s">
        <v>35</v>
      </c>
      <c r="G173">
        <v>1</v>
      </c>
      <c r="H173">
        <v>1</v>
      </c>
      <c r="I173" s="1" t="s">
        <v>57</v>
      </c>
      <c r="J173">
        <v>235</v>
      </c>
      <c r="K173">
        <v>3</v>
      </c>
      <c r="L173" s="1" t="s">
        <v>37</v>
      </c>
      <c r="M173">
        <v>100</v>
      </c>
      <c r="N173">
        <v>1</v>
      </c>
      <c r="O173">
        <v>1</v>
      </c>
      <c r="P173" s="1" t="s">
        <v>54</v>
      </c>
      <c r="Q173">
        <v>1</v>
      </c>
      <c r="R173" s="1" t="s">
        <v>39</v>
      </c>
      <c r="S173">
        <v>2325</v>
      </c>
      <c r="T173">
        <v>20989</v>
      </c>
      <c r="U173">
        <v>0</v>
      </c>
      <c r="V173" s="1" t="s">
        <v>40</v>
      </c>
      <c r="W173">
        <v>21</v>
      </c>
      <c r="X173">
        <v>4</v>
      </c>
      <c r="Y173">
        <v>1</v>
      </c>
      <c r="Z173">
        <v>80</v>
      </c>
      <c r="AA173">
        <v>0</v>
      </c>
      <c r="AB173">
        <v>1</v>
      </c>
      <c r="AC173">
        <v>5</v>
      </c>
      <c r="AD173">
        <v>4</v>
      </c>
      <c r="AE173">
        <v>0</v>
      </c>
      <c r="AF173">
        <v>0</v>
      </c>
      <c r="AG173">
        <v>0</v>
      </c>
      <c r="AH173">
        <v>0</v>
      </c>
      <c r="AI173">
        <f>IF(tbl_HRData[[#This Row],[Attrition]] = "Yes",1,0)</f>
        <v>1</v>
      </c>
      <c r="AJ173">
        <f>IF(tbl_HRData[[#This Row],[Attrition]] = "No",1,0)</f>
        <v>0</v>
      </c>
      <c r="AK173" t="str">
        <f>IF(tbl_HRData[[#This Row],[Age]] &lt; 25, "Under 25", IF(tbl_HRData[[#This Row],[Age]] &lt;= 34, "25-34", IF(tbl_HRData[[#This Row],[Age]] &lt;= 44, "35-44", IF(tbl_HRData[[#This Row],[Age]] &lt;= 54, "45-54", "55+"))))</f>
        <v>Under 25</v>
      </c>
      <c r="AL173" s="1" t="str">
        <f>IF(tbl_HRData[[#This Row],[MonthlyIncome]]&lt;5000,"Low",
IF(tbl_HRData[[#This Row],[MonthlyIncome]]&lt;10000,"Medium",
IF(tbl_HRData[[#This Row],[MonthlyIncome]]&lt;15000,"Upper Medium","High")))</f>
        <v>Low</v>
      </c>
      <c r="AM173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74" spans="1:39" x14ac:dyDescent="0.35">
      <c r="A174" s="1">
        <v>173</v>
      </c>
      <c r="B174">
        <v>36</v>
      </c>
      <c r="C174" s="1" t="s">
        <v>40</v>
      </c>
      <c r="D174" s="1" t="s">
        <v>41</v>
      </c>
      <c r="E174">
        <v>1480</v>
      </c>
      <c r="F174" s="1" t="s">
        <v>42</v>
      </c>
      <c r="G174">
        <v>3</v>
      </c>
      <c r="H174">
        <v>2</v>
      </c>
      <c r="I174" s="1" t="s">
        <v>48</v>
      </c>
      <c r="J174">
        <v>238</v>
      </c>
      <c r="K174">
        <v>4</v>
      </c>
      <c r="L174" s="1" t="s">
        <v>43</v>
      </c>
      <c r="M174">
        <v>30</v>
      </c>
      <c r="N174">
        <v>3</v>
      </c>
      <c r="O174">
        <v>1</v>
      </c>
      <c r="P174" s="1" t="s">
        <v>47</v>
      </c>
      <c r="Q174">
        <v>2</v>
      </c>
      <c r="R174" s="1" t="s">
        <v>39</v>
      </c>
      <c r="S174">
        <v>2088</v>
      </c>
      <c r="T174">
        <v>15062</v>
      </c>
      <c r="U174">
        <v>4</v>
      </c>
      <c r="V174" s="1" t="s">
        <v>40</v>
      </c>
      <c r="W174">
        <v>12</v>
      </c>
      <c r="X174">
        <v>3</v>
      </c>
      <c r="Y174">
        <v>3</v>
      </c>
      <c r="Z174">
        <v>80</v>
      </c>
      <c r="AA174">
        <v>0</v>
      </c>
      <c r="AB174">
        <v>13</v>
      </c>
      <c r="AC174">
        <v>3</v>
      </c>
      <c r="AD174">
        <v>2</v>
      </c>
      <c r="AE174">
        <v>8</v>
      </c>
      <c r="AF174">
        <v>7</v>
      </c>
      <c r="AG174">
        <v>7</v>
      </c>
      <c r="AH174">
        <v>2</v>
      </c>
      <c r="AI174">
        <f>IF(tbl_HRData[[#This Row],[Attrition]] = "Yes",1,0)</f>
        <v>0</v>
      </c>
      <c r="AJ174">
        <f>IF(tbl_HRData[[#This Row],[Attrition]] = "No",1,0)</f>
        <v>1</v>
      </c>
      <c r="AK174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74" s="1" t="str">
        <f>IF(tbl_HRData[[#This Row],[MonthlyIncome]]&lt;5000,"Low",
IF(tbl_HRData[[#This Row],[MonthlyIncome]]&lt;10000,"Medium",
IF(tbl_HRData[[#This Row],[MonthlyIncome]]&lt;15000,"Upper Medium","High")))</f>
        <v>Low</v>
      </c>
      <c r="AM174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75" spans="1:39" x14ac:dyDescent="0.35">
      <c r="A175" s="1">
        <v>174</v>
      </c>
      <c r="B175">
        <v>30</v>
      </c>
      <c r="C175" s="1" t="s">
        <v>40</v>
      </c>
      <c r="D175" s="1" t="s">
        <v>52</v>
      </c>
      <c r="E175">
        <v>111</v>
      </c>
      <c r="F175" s="1" t="s">
        <v>42</v>
      </c>
      <c r="G175">
        <v>9</v>
      </c>
      <c r="H175">
        <v>3</v>
      </c>
      <c r="I175" s="1" t="s">
        <v>48</v>
      </c>
      <c r="J175">
        <v>239</v>
      </c>
      <c r="K175">
        <v>3</v>
      </c>
      <c r="L175" s="1" t="s">
        <v>43</v>
      </c>
      <c r="M175">
        <v>66</v>
      </c>
      <c r="N175">
        <v>3</v>
      </c>
      <c r="O175">
        <v>2</v>
      </c>
      <c r="P175" s="1" t="s">
        <v>47</v>
      </c>
      <c r="Q175">
        <v>1</v>
      </c>
      <c r="R175" s="1" t="s">
        <v>49</v>
      </c>
      <c r="S175">
        <v>3072</v>
      </c>
      <c r="T175">
        <v>11012</v>
      </c>
      <c r="U175">
        <v>1</v>
      </c>
      <c r="V175" s="1" t="s">
        <v>40</v>
      </c>
      <c r="W175">
        <v>11</v>
      </c>
      <c r="X175">
        <v>3</v>
      </c>
      <c r="Y175">
        <v>3</v>
      </c>
      <c r="Z175">
        <v>80</v>
      </c>
      <c r="AA175">
        <v>2</v>
      </c>
      <c r="AB175">
        <v>12</v>
      </c>
      <c r="AC175">
        <v>4</v>
      </c>
      <c r="AD175">
        <v>3</v>
      </c>
      <c r="AE175">
        <v>12</v>
      </c>
      <c r="AF175">
        <v>9</v>
      </c>
      <c r="AG175">
        <v>6</v>
      </c>
      <c r="AH175">
        <v>10</v>
      </c>
      <c r="AI175">
        <f>IF(tbl_HRData[[#This Row],[Attrition]] = "Yes",1,0)</f>
        <v>0</v>
      </c>
      <c r="AJ175">
        <f>IF(tbl_HRData[[#This Row],[Attrition]] = "No",1,0)</f>
        <v>1</v>
      </c>
      <c r="AK175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75" s="1" t="str">
        <f>IF(tbl_HRData[[#This Row],[MonthlyIncome]]&lt;5000,"Low",
IF(tbl_HRData[[#This Row],[MonthlyIncome]]&lt;10000,"Medium",
IF(tbl_HRData[[#This Row],[MonthlyIncome]]&lt;15000,"Upper Medium","High")))</f>
        <v>Low</v>
      </c>
      <c r="AM175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176" spans="1:39" x14ac:dyDescent="0.35">
      <c r="A176" s="1">
        <v>175</v>
      </c>
      <c r="B176">
        <v>45</v>
      </c>
      <c r="C176" s="1" t="s">
        <v>40</v>
      </c>
      <c r="D176" s="1" t="s">
        <v>34</v>
      </c>
      <c r="E176">
        <v>1268</v>
      </c>
      <c r="F176" s="1" t="s">
        <v>35</v>
      </c>
      <c r="G176">
        <v>4</v>
      </c>
      <c r="H176">
        <v>2</v>
      </c>
      <c r="I176" s="1" t="s">
        <v>36</v>
      </c>
      <c r="J176">
        <v>240</v>
      </c>
      <c r="K176">
        <v>3</v>
      </c>
      <c r="L176" s="1" t="s">
        <v>37</v>
      </c>
      <c r="M176">
        <v>30</v>
      </c>
      <c r="N176">
        <v>3</v>
      </c>
      <c r="O176">
        <v>2</v>
      </c>
      <c r="P176" s="1" t="s">
        <v>38</v>
      </c>
      <c r="Q176">
        <v>1</v>
      </c>
      <c r="R176" s="1" t="s">
        <v>49</v>
      </c>
      <c r="S176">
        <v>5006</v>
      </c>
      <c r="T176">
        <v>6319</v>
      </c>
      <c r="U176">
        <v>4</v>
      </c>
      <c r="V176" s="1" t="s">
        <v>33</v>
      </c>
      <c r="W176">
        <v>11</v>
      </c>
      <c r="X176">
        <v>3</v>
      </c>
      <c r="Y176">
        <v>1</v>
      </c>
      <c r="Z176">
        <v>80</v>
      </c>
      <c r="AA176">
        <v>1</v>
      </c>
      <c r="AB176">
        <v>9</v>
      </c>
      <c r="AC176">
        <v>3</v>
      </c>
      <c r="AD176">
        <v>4</v>
      </c>
      <c r="AE176">
        <v>5</v>
      </c>
      <c r="AF176">
        <v>4</v>
      </c>
      <c r="AG176">
        <v>0</v>
      </c>
      <c r="AH176">
        <v>3</v>
      </c>
      <c r="AI176">
        <f>IF(tbl_HRData[[#This Row],[Attrition]] = "Yes",1,0)</f>
        <v>0</v>
      </c>
      <c r="AJ176">
        <f>IF(tbl_HRData[[#This Row],[Attrition]] = "No",1,0)</f>
        <v>1</v>
      </c>
      <c r="AK176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176" s="1" t="str">
        <f>IF(tbl_HRData[[#This Row],[MonthlyIncome]]&lt;5000,"Low",
IF(tbl_HRData[[#This Row],[MonthlyIncome]]&lt;10000,"Medium",
IF(tbl_HRData[[#This Row],[MonthlyIncome]]&lt;15000,"Upper Medium","High")))</f>
        <v>Medium</v>
      </c>
      <c r="AM176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77" spans="1:39" x14ac:dyDescent="0.35">
      <c r="A177" s="1">
        <v>176</v>
      </c>
      <c r="B177">
        <v>56</v>
      </c>
      <c r="C177" s="1" t="s">
        <v>40</v>
      </c>
      <c r="D177" s="1" t="s">
        <v>34</v>
      </c>
      <c r="E177">
        <v>713</v>
      </c>
      <c r="F177" s="1" t="s">
        <v>42</v>
      </c>
      <c r="G177">
        <v>8</v>
      </c>
      <c r="H177">
        <v>3</v>
      </c>
      <c r="I177" s="1" t="s">
        <v>36</v>
      </c>
      <c r="J177">
        <v>241</v>
      </c>
      <c r="K177">
        <v>3</v>
      </c>
      <c r="L177" s="1" t="s">
        <v>37</v>
      </c>
      <c r="M177">
        <v>67</v>
      </c>
      <c r="N177">
        <v>3</v>
      </c>
      <c r="O177">
        <v>1</v>
      </c>
      <c r="P177" s="1" t="s">
        <v>44</v>
      </c>
      <c r="Q177">
        <v>1</v>
      </c>
      <c r="R177" s="1" t="s">
        <v>49</v>
      </c>
      <c r="S177">
        <v>4257</v>
      </c>
      <c r="T177">
        <v>13939</v>
      </c>
      <c r="U177">
        <v>4</v>
      </c>
      <c r="V177" s="1" t="s">
        <v>33</v>
      </c>
      <c r="W177">
        <v>18</v>
      </c>
      <c r="X177">
        <v>3</v>
      </c>
      <c r="Y177">
        <v>3</v>
      </c>
      <c r="Z177">
        <v>80</v>
      </c>
      <c r="AA177">
        <v>1</v>
      </c>
      <c r="AB177">
        <v>19</v>
      </c>
      <c r="AC177">
        <v>3</v>
      </c>
      <c r="AD177">
        <v>3</v>
      </c>
      <c r="AE177">
        <v>2</v>
      </c>
      <c r="AF177">
        <v>2</v>
      </c>
      <c r="AG177">
        <v>2</v>
      </c>
      <c r="AH177">
        <v>2</v>
      </c>
      <c r="AI177">
        <f>IF(tbl_HRData[[#This Row],[Attrition]] = "Yes",1,0)</f>
        <v>0</v>
      </c>
      <c r="AJ177">
        <f>IF(tbl_HRData[[#This Row],[Attrition]] = "No",1,0)</f>
        <v>1</v>
      </c>
      <c r="AK177" t="str">
        <f>IF(tbl_HRData[[#This Row],[Age]] &lt; 25, "Under 25", IF(tbl_HRData[[#This Row],[Age]] &lt;= 34, "25-34", IF(tbl_HRData[[#This Row],[Age]] &lt;= 44, "35-44", IF(tbl_HRData[[#This Row],[Age]] &lt;= 54, "45-54", "55+"))))</f>
        <v>55+</v>
      </c>
      <c r="AL177" s="1" t="str">
        <f>IF(tbl_HRData[[#This Row],[MonthlyIncome]]&lt;5000,"Low",
IF(tbl_HRData[[#This Row],[MonthlyIncome]]&lt;10000,"Medium",
IF(tbl_HRData[[#This Row],[MonthlyIncome]]&lt;15000,"Upper Medium","High")))</f>
        <v>Low</v>
      </c>
      <c r="AM177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78" spans="1:39" x14ac:dyDescent="0.35">
      <c r="A178" s="1">
        <v>177</v>
      </c>
      <c r="B178">
        <v>33</v>
      </c>
      <c r="C178" s="1" t="s">
        <v>40</v>
      </c>
      <c r="D178" s="1" t="s">
        <v>34</v>
      </c>
      <c r="E178">
        <v>134</v>
      </c>
      <c r="F178" s="1" t="s">
        <v>42</v>
      </c>
      <c r="G178">
        <v>2</v>
      </c>
      <c r="H178">
        <v>3</v>
      </c>
      <c r="I178" s="1" t="s">
        <v>36</v>
      </c>
      <c r="J178">
        <v>242</v>
      </c>
      <c r="K178">
        <v>3</v>
      </c>
      <c r="L178" s="1" t="s">
        <v>43</v>
      </c>
      <c r="M178">
        <v>90</v>
      </c>
      <c r="N178">
        <v>3</v>
      </c>
      <c r="O178">
        <v>1</v>
      </c>
      <c r="P178" s="1" t="s">
        <v>44</v>
      </c>
      <c r="Q178">
        <v>4</v>
      </c>
      <c r="R178" s="1" t="s">
        <v>39</v>
      </c>
      <c r="S178">
        <v>2500</v>
      </c>
      <c r="T178">
        <v>10515</v>
      </c>
      <c r="U178">
        <v>0</v>
      </c>
      <c r="V178" s="1" t="s">
        <v>40</v>
      </c>
      <c r="W178">
        <v>14</v>
      </c>
      <c r="X178">
        <v>3</v>
      </c>
      <c r="Y178">
        <v>1</v>
      </c>
      <c r="Z178">
        <v>80</v>
      </c>
      <c r="AA178">
        <v>0</v>
      </c>
      <c r="AB178">
        <v>4</v>
      </c>
      <c r="AC178">
        <v>2</v>
      </c>
      <c r="AD178">
        <v>4</v>
      </c>
      <c r="AE178">
        <v>3</v>
      </c>
      <c r="AF178">
        <v>1</v>
      </c>
      <c r="AG178">
        <v>0</v>
      </c>
      <c r="AH178">
        <v>2</v>
      </c>
      <c r="AI178">
        <f>IF(tbl_HRData[[#This Row],[Attrition]] = "Yes",1,0)</f>
        <v>0</v>
      </c>
      <c r="AJ178">
        <f>IF(tbl_HRData[[#This Row],[Attrition]] = "No",1,0)</f>
        <v>1</v>
      </c>
      <c r="AK178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78" s="1" t="str">
        <f>IF(tbl_HRData[[#This Row],[MonthlyIncome]]&lt;5000,"Low",
IF(tbl_HRData[[#This Row],[MonthlyIncome]]&lt;10000,"Medium",
IF(tbl_HRData[[#This Row],[MonthlyIncome]]&lt;15000,"Upper Medium","High")))</f>
        <v>Low</v>
      </c>
      <c r="AM178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79" spans="1:39" x14ac:dyDescent="0.35">
      <c r="A179" s="1">
        <v>178</v>
      </c>
      <c r="B179">
        <v>19</v>
      </c>
      <c r="C179" s="1" t="s">
        <v>33</v>
      </c>
      <c r="D179" s="1" t="s">
        <v>34</v>
      </c>
      <c r="E179">
        <v>303</v>
      </c>
      <c r="F179" s="1" t="s">
        <v>42</v>
      </c>
      <c r="G179">
        <v>2</v>
      </c>
      <c r="H179">
        <v>3</v>
      </c>
      <c r="I179" s="1" t="s">
        <v>36</v>
      </c>
      <c r="J179">
        <v>243</v>
      </c>
      <c r="K179">
        <v>2</v>
      </c>
      <c r="L179" s="1" t="s">
        <v>43</v>
      </c>
      <c r="M179">
        <v>47</v>
      </c>
      <c r="N179">
        <v>2</v>
      </c>
      <c r="O179">
        <v>1</v>
      </c>
      <c r="P179" s="1" t="s">
        <v>47</v>
      </c>
      <c r="Q179">
        <v>4</v>
      </c>
      <c r="R179" s="1" t="s">
        <v>39</v>
      </c>
      <c r="S179">
        <v>1102</v>
      </c>
      <c r="T179">
        <v>9241</v>
      </c>
      <c r="U179">
        <v>1</v>
      </c>
      <c r="V179" s="1" t="s">
        <v>40</v>
      </c>
      <c r="W179">
        <v>22</v>
      </c>
      <c r="X179">
        <v>4</v>
      </c>
      <c r="Y179">
        <v>3</v>
      </c>
      <c r="Z179">
        <v>80</v>
      </c>
      <c r="AA179">
        <v>0</v>
      </c>
      <c r="AB179">
        <v>1</v>
      </c>
      <c r="AC179">
        <v>3</v>
      </c>
      <c r="AD179">
        <v>2</v>
      </c>
      <c r="AE179">
        <v>1</v>
      </c>
      <c r="AF179">
        <v>0</v>
      </c>
      <c r="AG179">
        <v>1</v>
      </c>
      <c r="AH179">
        <v>0</v>
      </c>
      <c r="AI179">
        <f>IF(tbl_HRData[[#This Row],[Attrition]] = "Yes",1,0)</f>
        <v>1</v>
      </c>
      <c r="AJ179">
        <f>IF(tbl_HRData[[#This Row],[Attrition]] = "No",1,0)</f>
        <v>0</v>
      </c>
      <c r="AK179" t="str">
        <f>IF(tbl_HRData[[#This Row],[Age]] &lt; 25, "Under 25", IF(tbl_HRData[[#This Row],[Age]] &lt;= 34, "25-34", IF(tbl_HRData[[#This Row],[Age]] &lt;= 44, "35-44", IF(tbl_HRData[[#This Row],[Age]] &lt;= 54, "45-54", "55+"))))</f>
        <v>Under 25</v>
      </c>
      <c r="AL179" s="1" t="str">
        <f>IF(tbl_HRData[[#This Row],[MonthlyIncome]]&lt;5000,"Low",
IF(tbl_HRData[[#This Row],[MonthlyIncome]]&lt;10000,"Medium",
IF(tbl_HRData[[#This Row],[MonthlyIncome]]&lt;15000,"Upper Medium","High")))</f>
        <v>Low</v>
      </c>
      <c r="AM179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80" spans="1:39" x14ac:dyDescent="0.35">
      <c r="A180" s="1">
        <v>179</v>
      </c>
      <c r="B180">
        <v>46</v>
      </c>
      <c r="C180" s="1" t="s">
        <v>40</v>
      </c>
      <c r="D180" s="1" t="s">
        <v>34</v>
      </c>
      <c r="E180">
        <v>526</v>
      </c>
      <c r="F180" s="1" t="s">
        <v>35</v>
      </c>
      <c r="G180">
        <v>1</v>
      </c>
      <c r="H180">
        <v>2</v>
      </c>
      <c r="I180" s="1" t="s">
        <v>56</v>
      </c>
      <c r="J180">
        <v>244</v>
      </c>
      <c r="K180">
        <v>2</v>
      </c>
      <c r="L180" s="1" t="s">
        <v>37</v>
      </c>
      <c r="M180">
        <v>92</v>
      </c>
      <c r="N180">
        <v>3</v>
      </c>
      <c r="O180">
        <v>3</v>
      </c>
      <c r="P180" s="1" t="s">
        <v>38</v>
      </c>
      <c r="Q180">
        <v>1</v>
      </c>
      <c r="R180" s="1" t="s">
        <v>49</v>
      </c>
      <c r="S180">
        <v>10453</v>
      </c>
      <c r="T180">
        <v>2137</v>
      </c>
      <c r="U180">
        <v>1</v>
      </c>
      <c r="V180" s="1" t="s">
        <v>40</v>
      </c>
      <c r="W180">
        <v>25</v>
      </c>
      <c r="X180">
        <v>4</v>
      </c>
      <c r="Y180">
        <v>3</v>
      </c>
      <c r="Z180">
        <v>80</v>
      </c>
      <c r="AA180">
        <v>3</v>
      </c>
      <c r="AB180">
        <v>24</v>
      </c>
      <c r="AC180">
        <v>2</v>
      </c>
      <c r="AD180">
        <v>3</v>
      </c>
      <c r="AE180">
        <v>24</v>
      </c>
      <c r="AF180">
        <v>13</v>
      </c>
      <c r="AG180">
        <v>15</v>
      </c>
      <c r="AH180">
        <v>7</v>
      </c>
      <c r="AI180">
        <f>IF(tbl_HRData[[#This Row],[Attrition]] = "Yes",1,0)</f>
        <v>0</v>
      </c>
      <c r="AJ180">
        <f>IF(tbl_HRData[[#This Row],[Attrition]] = "No",1,0)</f>
        <v>1</v>
      </c>
      <c r="AK180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180" s="1" t="str">
        <f>IF(tbl_HRData[[#This Row],[MonthlyIncome]]&lt;5000,"Low",
IF(tbl_HRData[[#This Row],[MonthlyIncome]]&lt;10000,"Medium",
IF(tbl_HRData[[#This Row],[MonthlyIncome]]&lt;15000,"Upper Medium","High")))</f>
        <v>Upper Medium</v>
      </c>
      <c r="AM180" s="1" t="str">
        <f>IF(tbl_HRData[[#This Row],[YearsAtCompany]]&lt;=5,"0-5 Years",
IF(tbl_HRData[[#This Row],[YearsAtCompany]]&lt;=10,"6-10 Years",
IF(tbl_HRData[[#This Row],[YearsAtCompany]]&lt;=20,"11-20 Years","21+ Years")))</f>
        <v>21+ Years</v>
      </c>
    </row>
    <row r="181" spans="1:39" x14ac:dyDescent="0.35">
      <c r="A181" s="1">
        <v>180</v>
      </c>
      <c r="B181">
        <v>38</v>
      </c>
      <c r="C181" s="1" t="s">
        <v>40</v>
      </c>
      <c r="D181" s="1" t="s">
        <v>34</v>
      </c>
      <c r="E181">
        <v>1380</v>
      </c>
      <c r="F181" s="1" t="s">
        <v>42</v>
      </c>
      <c r="G181">
        <v>9</v>
      </c>
      <c r="H181">
        <v>2</v>
      </c>
      <c r="I181" s="1" t="s">
        <v>36</v>
      </c>
      <c r="J181">
        <v>245</v>
      </c>
      <c r="K181">
        <v>3</v>
      </c>
      <c r="L181" s="1" t="s">
        <v>37</v>
      </c>
      <c r="M181">
        <v>75</v>
      </c>
      <c r="N181">
        <v>3</v>
      </c>
      <c r="O181">
        <v>1</v>
      </c>
      <c r="P181" s="1" t="s">
        <v>47</v>
      </c>
      <c r="Q181">
        <v>4</v>
      </c>
      <c r="R181" s="1" t="s">
        <v>39</v>
      </c>
      <c r="S181">
        <v>2288</v>
      </c>
      <c r="T181">
        <v>6319</v>
      </c>
      <c r="U181">
        <v>1</v>
      </c>
      <c r="V181" s="1" t="s">
        <v>40</v>
      </c>
      <c r="W181">
        <v>12</v>
      </c>
      <c r="X181">
        <v>3</v>
      </c>
      <c r="Y181">
        <v>3</v>
      </c>
      <c r="Z181">
        <v>80</v>
      </c>
      <c r="AA181">
        <v>0</v>
      </c>
      <c r="AB181">
        <v>2</v>
      </c>
      <c r="AC181">
        <v>3</v>
      </c>
      <c r="AD181">
        <v>3</v>
      </c>
      <c r="AE181">
        <v>2</v>
      </c>
      <c r="AF181">
        <v>2</v>
      </c>
      <c r="AG181">
        <v>2</v>
      </c>
      <c r="AH181">
        <v>1</v>
      </c>
      <c r="AI181">
        <f>IF(tbl_HRData[[#This Row],[Attrition]] = "Yes",1,0)</f>
        <v>0</v>
      </c>
      <c r="AJ181">
        <f>IF(tbl_HRData[[#This Row],[Attrition]] = "No",1,0)</f>
        <v>1</v>
      </c>
      <c r="AK181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81" s="1" t="str">
        <f>IF(tbl_HRData[[#This Row],[MonthlyIncome]]&lt;5000,"Low",
IF(tbl_HRData[[#This Row],[MonthlyIncome]]&lt;10000,"Medium",
IF(tbl_HRData[[#This Row],[MonthlyIncome]]&lt;15000,"Upper Medium","High")))</f>
        <v>Low</v>
      </c>
      <c r="AM181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82" spans="1:39" x14ac:dyDescent="0.35">
      <c r="A182" s="1">
        <v>181</v>
      </c>
      <c r="B182">
        <v>31</v>
      </c>
      <c r="C182" s="1" t="s">
        <v>40</v>
      </c>
      <c r="D182" s="1" t="s">
        <v>34</v>
      </c>
      <c r="E182">
        <v>140</v>
      </c>
      <c r="F182" s="1" t="s">
        <v>42</v>
      </c>
      <c r="G182">
        <v>12</v>
      </c>
      <c r="H182">
        <v>1</v>
      </c>
      <c r="I182" s="1" t="s">
        <v>48</v>
      </c>
      <c r="J182">
        <v>246</v>
      </c>
      <c r="K182">
        <v>3</v>
      </c>
      <c r="L182" s="1" t="s">
        <v>37</v>
      </c>
      <c r="M182">
        <v>95</v>
      </c>
      <c r="N182">
        <v>3</v>
      </c>
      <c r="O182">
        <v>1</v>
      </c>
      <c r="P182" s="1" t="s">
        <v>44</v>
      </c>
      <c r="Q182">
        <v>4</v>
      </c>
      <c r="R182" s="1" t="s">
        <v>45</v>
      </c>
      <c r="S182">
        <v>3929</v>
      </c>
      <c r="T182">
        <v>6984</v>
      </c>
      <c r="U182">
        <v>8</v>
      </c>
      <c r="V182" s="1" t="s">
        <v>33</v>
      </c>
      <c r="W182">
        <v>23</v>
      </c>
      <c r="X182">
        <v>4</v>
      </c>
      <c r="Y182">
        <v>3</v>
      </c>
      <c r="Z182">
        <v>80</v>
      </c>
      <c r="AA182">
        <v>1</v>
      </c>
      <c r="AB182">
        <v>7</v>
      </c>
      <c r="AC182">
        <v>0</v>
      </c>
      <c r="AD182">
        <v>3</v>
      </c>
      <c r="AE182">
        <v>4</v>
      </c>
      <c r="AF182">
        <v>2</v>
      </c>
      <c r="AG182">
        <v>0</v>
      </c>
      <c r="AH182">
        <v>2</v>
      </c>
      <c r="AI182">
        <f>IF(tbl_HRData[[#This Row],[Attrition]] = "Yes",1,0)</f>
        <v>0</v>
      </c>
      <c r="AJ182">
        <f>IF(tbl_HRData[[#This Row],[Attrition]] = "No",1,0)</f>
        <v>1</v>
      </c>
      <c r="AK182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82" s="1" t="str">
        <f>IF(tbl_HRData[[#This Row],[MonthlyIncome]]&lt;5000,"Low",
IF(tbl_HRData[[#This Row],[MonthlyIncome]]&lt;10000,"Medium",
IF(tbl_HRData[[#This Row],[MonthlyIncome]]&lt;15000,"Upper Medium","High")))</f>
        <v>Low</v>
      </c>
      <c r="AM182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83" spans="1:39" x14ac:dyDescent="0.35">
      <c r="A183" s="1">
        <v>182</v>
      </c>
      <c r="B183">
        <v>34</v>
      </c>
      <c r="C183" s="1" t="s">
        <v>40</v>
      </c>
      <c r="D183" s="1" t="s">
        <v>34</v>
      </c>
      <c r="E183">
        <v>629</v>
      </c>
      <c r="F183" s="1" t="s">
        <v>42</v>
      </c>
      <c r="G183">
        <v>27</v>
      </c>
      <c r="H183">
        <v>2</v>
      </c>
      <c r="I183" s="1" t="s">
        <v>48</v>
      </c>
      <c r="J183">
        <v>247</v>
      </c>
      <c r="K183">
        <v>4</v>
      </c>
      <c r="L183" s="1" t="s">
        <v>37</v>
      </c>
      <c r="M183">
        <v>95</v>
      </c>
      <c r="N183">
        <v>3</v>
      </c>
      <c r="O183">
        <v>1</v>
      </c>
      <c r="P183" s="1" t="s">
        <v>44</v>
      </c>
      <c r="Q183">
        <v>2</v>
      </c>
      <c r="R183" s="1" t="s">
        <v>39</v>
      </c>
      <c r="S183">
        <v>2311</v>
      </c>
      <c r="T183">
        <v>5711</v>
      </c>
      <c r="U183">
        <v>2</v>
      </c>
      <c r="V183" s="1" t="s">
        <v>40</v>
      </c>
      <c r="W183">
        <v>15</v>
      </c>
      <c r="X183">
        <v>3</v>
      </c>
      <c r="Y183">
        <v>4</v>
      </c>
      <c r="Z183">
        <v>80</v>
      </c>
      <c r="AA183">
        <v>0</v>
      </c>
      <c r="AB183">
        <v>9</v>
      </c>
      <c r="AC183">
        <v>3</v>
      </c>
      <c r="AD183">
        <v>3</v>
      </c>
      <c r="AE183">
        <v>3</v>
      </c>
      <c r="AF183">
        <v>2</v>
      </c>
      <c r="AG183">
        <v>1</v>
      </c>
      <c r="AH183">
        <v>2</v>
      </c>
      <c r="AI183">
        <f>IF(tbl_HRData[[#This Row],[Attrition]] = "Yes",1,0)</f>
        <v>0</v>
      </c>
      <c r="AJ183">
        <f>IF(tbl_HRData[[#This Row],[Attrition]] = "No",1,0)</f>
        <v>1</v>
      </c>
      <c r="AK183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83" s="1" t="str">
        <f>IF(tbl_HRData[[#This Row],[MonthlyIncome]]&lt;5000,"Low",
IF(tbl_HRData[[#This Row],[MonthlyIncome]]&lt;10000,"Medium",
IF(tbl_HRData[[#This Row],[MonthlyIncome]]&lt;15000,"Upper Medium","High")))</f>
        <v>Low</v>
      </c>
      <c r="AM183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84" spans="1:39" x14ac:dyDescent="0.35">
      <c r="A184" s="1">
        <v>183</v>
      </c>
      <c r="B184">
        <v>41</v>
      </c>
      <c r="C184" s="1" t="s">
        <v>33</v>
      </c>
      <c r="D184" s="1" t="s">
        <v>34</v>
      </c>
      <c r="E184">
        <v>1356</v>
      </c>
      <c r="F184" s="1" t="s">
        <v>35</v>
      </c>
      <c r="G184">
        <v>20</v>
      </c>
      <c r="H184">
        <v>2</v>
      </c>
      <c r="I184" s="1" t="s">
        <v>56</v>
      </c>
      <c r="J184">
        <v>248</v>
      </c>
      <c r="K184">
        <v>2</v>
      </c>
      <c r="L184" s="1" t="s">
        <v>37</v>
      </c>
      <c r="M184">
        <v>70</v>
      </c>
      <c r="N184">
        <v>3</v>
      </c>
      <c r="O184">
        <v>1</v>
      </c>
      <c r="P184" s="1" t="s">
        <v>54</v>
      </c>
      <c r="Q184">
        <v>2</v>
      </c>
      <c r="R184" s="1" t="s">
        <v>39</v>
      </c>
      <c r="S184">
        <v>3140</v>
      </c>
      <c r="T184">
        <v>21728</v>
      </c>
      <c r="U184">
        <v>1</v>
      </c>
      <c r="V184" s="1" t="s">
        <v>33</v>
      </c>
      <c r="W184">
        <v>22</v>
      </c>
      <c r="X184">
        <v>4</v>
      </c>
      <c r="Y184">
        <v>4</v>
      </c>
      <c r="Z184">
        <v>80</v>
      </c>
      <c r="AA184">
        <v>0</v>
      </c>
      <c r="AB184">
        <v>4</v>
      </c>
      <c r="AC184">
        <v>5</v>
      </c>
      <c r="AD184">
        <v>2</v>
      </c>
      <c r="AE184">
        <v>4</v>
      </c>
      <c r="AF184">
        <v>3</v>
      </c>
      <c r="AG184">
        <v>0</v>
      </c>
      <c r="AH184">
        <v>2</v>
      </c>
      <c r="AI184">
        <f>IF(tbl_HRData[[#This Row],[Attrition]] = "Yes",1,0)</f>
        <v>1</v>
      </c>
      <c r="AJ184">
        <f>IF(tbl_HRData[[#This Row],[Attrition]] = "No",1,0)</f>
        <v>0</v>
      </c>
      <c r="AK184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84" s="1" t="str">
        <f>IF(tbl_HRData[[#This Row],[MonthlyIncome]]&lt;5000,"Low",
IF(tbl_HRData[[#This Row],[MonthlyIncome]]&lt;10000,"Medium",
IF(tbl_HRData[[#This Row],[MonthlyIncome]]&lt;15000,"Upper Medium","High")))</f>
        <v>Low</v>
      </c>
      <c r="AM184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85" spans="1:39" x14ac:dyDescent="0.35">
      <c r="A185" s="1">
        <v>184</v>
      </c>
      <c r="B185">
        <v>50</v>
      </c>
      <c r="C185" s="1" t="s">
        <v>40</v>
      </c>
      <c r="D185" s="1" t="s">
        <v>34</v>
      </c>
      <c r="E185">
        <v>328</v>
      </c>
      <c r="F185" s="1" t="s">
        <v>42</v>
      </c>
      <c r="G185">
        <v>1</v>
      </c>
      <c r="H185">
        <v>3</v>
      </c>
      <c r="I185" s="1" t="s">
        <v>48</v>
      </c>
      <c r="J185">
        <v>249</v>
      </c>
      <c r="K185">
        <v>3</v>
      </c>
      <c r="L185" s="1" t="s">
        <v>43</v>
      </c>
      <c r="M185">
        <v>86</v>
      </c>
      <c r="N185">
        <v>2</v>
      </c>
      <c r="O185">
        <v>1</v>
      </c>
      <c r="P185" s="1" t="s">
        <v>47</v>
      </c>
      <c r="Q185">
        <v>3</v>
      </c>
      <c r="R185" s="1" t="s">
        <v>45</v>
      </c>
      <c r="S185">
        <v>3690</v>
      </c>
      <c r="T185">
        <v>3425</v>
      </c>
      <c r="U185">
        <v>2</v>
      </c>
      <c r="V185" s="1" t="s">
        <v>40</v>
      </c>
      <c r="W185">
        <v>15</v>
      </c>
      <c r="X185">
        <v>3</v>
      </c>
      <c r="Y185">
        <v>4</v>
      </c>
      <c r="Z185">
        <v>80</v>
      </c>
      <c r="AA185">
        <v>1</v>
      </c>
      <c r="AB185">
        <v>5</v>
      </c>
      <c r="AC185">
        <v>2</v>
      </c>
      <c r="AD185">
        <v>2</v>
      </c>
      <c r="AE185">
        <v>3</v>
      </c>
      <c r="AF185">
        <v>2</v>
      </c>
      <c r="AG185">
        <v>0</v>
      </c>
      <c r="AH185">
        <v>2</v>
      </c>
      <c r="AI185">
        <f>IF(tbl_HRData[[#This Row],[Attrition]] = "Yes",1,0)</f>
        <v>0</v>
      </c>
      <c r="AJ185">
        <f>IF(tbl_HRData[[#This Row],[Attrition]] = "No",1,0)</f>
        <v>1</v>
      </c>
      <c r="AK185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185" s="1" t="str">
        <f>IF(tbl_HRData[[#This Row],[MonthlyIncome]]&lt;5000,"Low",
IF(tbl_HRData[[#This Row],[MonthlyIncome]]&lt;10000,"Medium",
IF(tbl_HRData[[#This Row],[MonthlyIncome]]&lt;15000,"Upper Medium","High")))</f>
        <v>Low</v>
      </c>
      <c r="AM185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86" spans="1:39" x14ac:dyDescent="0.35">
      <c r="A186" s="1">
        <v>185</v>
      </c>
      <c r="B186">
        <v>53</v>
      </c>
      <c r="C186" s="1" t="s">
        <v>40</v>
      </c>
      <c r="D186" s="1" t="s">
        <v>34</v>
      </c>
      <c r="E186">
        <v>1084</v>
      </c>
      <c r="F186" s="1" t="s">
        <v>42</v>
      </c>
      <c r="G186">
        <v>13</v>
      </c>
      <c r="H186">
        <v>2</v>
      </c>
      <c r="I186" s="1" t="s">
        <v>48</v>
      </c>
      <c r="J186">
        <v>250</v>
      </c>
      <c r="K186">
        <v>4</v>
      </c>
      <c r="L186" s="1" t="s">
        <v>37</v>
      </c>
      <c r="M186">
        <v>57</v>
      </c>
      <c r="N186">
        <v>4</v>
      </c>
      <c r="O186">
        <v>2</v>
      </c>
      <c r="P186" s="1" t="s">
        <v>50</v>
      </c>
      <c r="Q186">
        <v>1</v>
      </c>
      <c r="R186" s="1" t="s">
        <v>49</v>
      </c>
      <c r="S186">
        <v>4450</v>
      </c>
      <c r="T186">
        <v>26250</v>
      </c>
      <c r="U186">
        <v>1</v>
      </c>
      <c r="V186" s="1" t="s">
        <v>40</v>
      </c>
      <c r="W186">
        <v>11</v>
      </c>
      <c r="X186">
        <v>3</v>
      </c>
      <c r="Y186">
        <v>3</v>
      </c>
      <c r="Z186">
        <v>80</v>
      </c>
      <c r="AA186">
        <v>2</v>
      </c>
      <c r="AB186">
        <v>5</v>
      </c>
      <c r="AC186">
        <v>3</v>
      </c>
      <c r="AD186">
        <v>3</v>
      </c>
      <c r="AE186">
        <v>4</v>
      </c>
      <c r="AF186">
        <v>2</v>
      </c>
      <c r="AG186">
        <v>1</v>
      </c>
      <c r="AH186">
        <v>3</v>
      </c>
      <c r="AI186">
        <f>IF(tbl_HRData[[#This Row],[Attrition]] = "Yes",1,0)</f>
        <v>0</v>
      </c>
      <c r="AJ186">
        <f>IF(tbl_HRData[[#This Row],[Attrition]] = "No",1,0)</f>
        <v>1</v>
      </c>
      <c r="AK186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186" s="1" t="str">
        <f>IF(tbl_HRData[[#This Row],[MonthlyIncome]]&lt;5000,"Low",
IF(tbl_HRData[[#This Row],[MonthlyIncome]]&lt;10000,"Medium",
IF(tbl_HRData[[#This Row],[MonthlyIncome]]&lt;15000,"Upper Medium","High")))</f>
        <v>Low</v>
      </c>
      <c r="AM186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87" spans="1:39" x14ac:dyDescent="0.35">
      <c r="A187" s="1">
        <v>186</v>
      </c>
      <c r="B187">
        <v>33</v>
      </c>
      <c r="C187" s="1" t="s">
        <v>40</v>
      </c>
      <c r="D187" s="1" t="s">
        <v>34</v>
      </c>
      <c r="E187">
        <v>931</v>
      </c>
      <c r="F187" s="1" t="s">
        <v>42</v>
      </c>
      <c r="G187">
        <v>14</v>
      </c>
      <c r="H187">
        <v>3</v>
      </c>
      <c r="I187" s="1" t="s">
        <v>48</v>
      </c>
      <c r="J187">
        <v>252</v>
      </c>
      <c r="K187">
        <v>4</v>
      </c>
      <c r="L187" s="1" t="s">
        <v>37</v>
      </c>
      <c r="M187">
        <v>72</v>
      </c>
      <c r="N187">
        <v>3</v>
      </c>
      <c r="O187">
        <v>1</v>
      </c>
      <c r="P187" s="1" t="s">
        <v>44</v>
      </c>
      <c r="Q187">
        <v>2</v>
      </c>
      <c r="R187" s="1" t="s">
        <v>45</v>
      </c>
      <c r="S187">
        <v>2756</v>
      </c>
      <c r="T187">
        <v>4673</v>
      </c>
      <c r="U187">
        <v>1</v>
      </c>
      <c r="V187" s="1" t="s">
        <v>40</v>
      </c>
      <c r="W187">
        <v>13</v>
      </c>
      <c r="X187">
        <v>3</v>
      </c>
      <c r="Y187">
        <v>4</v>
      </c>
      <c r="Z187">
        <v>80</v>
      </c>
      <c r="AA187">
        <v>1</v>
      </c>
      <c r="AB187">
        <v>8</v>
      </c>
      <c r="AC187">
        <v>5</v>
      </c>
      <c r="AD187">
        <v>3</v>
      </c>
      <c r="AE187">
        <v>8</v>
      </c>
      <c r="AF187">
        <v>7</v>
      </c>
      <c r="AG187">
        <v>1</v>
      </c>
      <c r="AH187">
        <v>6</v>
      </c>
      <c r="AI187">
        <f>IF(tbl_HRData[[#This Row],[Attrition]] = "Yes",1,0)</f>
        <v>0</v>
      </c>
      <c r="AJ187">
        <f>IF(tbl_HRData[[#This Row],[Attrition]] = "No",1,0)</f>
        <v>1</v>
      </c>
      <c r="AK187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87" s="1" t="str">
        <f>IF(tbl_HRData[[#This Row],[MonthlyIncome]]&lt;5000,"Low",
IF(tbl_HRData[[#This Row],[MonthlyIncome]]&lt;10000,"Medium",
IF(tbl_HRData[[#This Row],[MonthlyIncome]]&lt;15000,"Upper Medium","High")))</f>
        <v>Low</v>
      </c>
      <c r="AM187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88" spans="1:39" x14ac:dyDescent="0.35">
      <c r="A188" s="1">
        <v>187</v>
      </c>
      <c r="B188">
        <v>40</v>
      </c>
      <c r="C188" s="1" t="s">
        <v>40</v>
      </c>
      <c r="D188" s="1" t="s">
        <v>34</v>
      </c>
      <c r="E188">
        <v>989</v>
      </c>
      <c r="F188" s="1" t="s">
        <v>42</v>
      </c>
      <c r="G188">
        <v>4</v>
      </c>
      <c r="H188">
        <v>1</v>
      </c>
      <c r="I188" s="1" t="s">
        <v>48</v>
      </c>
      <c r="J188">
        <v>253</v>
      </c>
      <c r="K188">
        <v>4</v>
      </c>
      <c r="L188" s="1" t="s">
        <v>37</v>
      </c>
      <c r="M188">
        <v>46</v>
      </c>
      <c r="N188">
        <v>3</v>
      </c>
      <c r="O188">
        <v>5</v>
      </c>
      <c r="P188" s="1" t="s">
        <v>53</v>
      </c>
      <c r="Q188">
        <v>3</v>
      </c>
      <c r="R188" s="1" t="s">
        <v>45</v>
      </c>
      <c r="S188">
        <v>19033</v>
      </c>
      <c r="T188">
        <v>6499</v>
      </c>
      <c r="U188">
        <v>1</v>
      </c>
      <c r="V188" s="1" t="s">
        <v>40</v>
      </c>
      <c r="W188">
        <v>14</v>
      </c>
      <c r="X188">
        <v>3</v>
      </c>
      <c r="Y188">
        <v>2</v>
      </c>
      <c r="Z188">
        <v>80</v>
      </c>
      <c r="AA188">
        <v>1</v>
      </c>
      <c r="AB188">
        <v>21</v>
      </c>
      <c r="AC188">
        <v>2</v>
      </c>
      <c r="AD188">
        <v>3</v>
      </c>
      <c r="AE188">
        <v>20</v>
      </c>
      <c r="AF188">
        <v>8</v>
      </c>
      <c r="AG188">
        <v>9</v>
      </c>
      <c r="AH188">
        <v>9</v>
      </c>
      <c r="AI188">
        <f>IF(tbl_HRData[[#This Row],[Attrition]] = "Yes",1,0)</f>
        <v>0</v>
      </c>
      <c r="AJ188">
        <f>IF(tbl_HRData[[#This Row],[Attrition]] = "No",1,0)</f>
        <v>1</v>
      </c>
      <c r="AK188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88" s="1" t="str">
        <f>IF(tbl_HRData[[#This Row],[MonthlyIncome]]&lt;5000,"Low",
IF(tbl_HRData[[#This Row],[MonthlyIncome]]&lt;10000,"Medium",
IF(tbl_HRData[[#This Row],[MonthlyIncome]]&lt;15000,"Upper Medium","High")))</f>
        <v>High</v>
      </c>
      <c r="AM188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189" spans="1:39" x14ac:dyDescent="0.35">
      <c r="A189" s="1">
        <v>188</v>
      </c>
      <c r="B189">
        <v>55</v>
      </c>
      <c r="C189" s="1" t="s">
        <v>40</v>
      </c>
      <c r="D189" s="1" t="s">
        <v>34</v>
      </c>
      <c r="E189">
        <v>692</v>
      </c>
      <c r="F189" s="1" t="s">
        <v>42</v>
      </c>
      <c r="G189">
        <v>14</v>
      </c>
      <c r="H189">
        <v>4</v>
      </c>
      <c r="I189" s="1" t="s">
        <v>48</v>
      </c>
      <c r="J189">
        <v>254</v>
      </c>
      <c r="K189">
        <v>3</v>
      </c>
      <c r="L189" s="1" t="s">
        <v>43</v>
      </c>
      <c r="M189">
        <v>61</v>
      </c>
      <c r="N189">
        <v>4</v>
      </c>
      <c r="O189">
        <v>5</v>
      </c>
      <c r="P189" s="1" t="s">
        <v>55</v>
      </c>
      <c r="Q189">
        <v>2</v>
      </c>
      <c r="R189" s="1" t="s">
        <v>39</v>
      </c>
      <c r="S189">
        <v>18722</v>
      </c>
      <c r="T189">
        <v>13339</v>
      </c>
      <c r="U189">
        <v>8</v>
      </c>
      <c r="V189" s="1" t="s">
        <v>40</v>
      </c>
      <c r="W189">
        <v>11</v>
      </c>
      <c r="X189">
        <v>3</v>
      </c>
      <c r="Y189">
        <v>4</v>
      </c>
      <c r="Z189">
        <v>80</v>
      </c>
      <c r="AA189">
        <v>0</v>
      </c>
      <c r="AB189">
        <v>36</v>
      </c>
      <c r="AC189">
        <v>3</v>
      </c>
      <c r="AD189">
        <v>3</v>
      </c>
      <c r="AE189">
        <v>24</v>
      </c>
      <c r="AF189">
        <v>15</v>
      </c>
      <c r="AG189">
        <v>2</v>
      </c>
      <c r="AH189">
        <v>15</v>
      </c>
      <c r="AI189">
        <f>IF(tbl_HRData[[#This Row],[Attrition]] = "Yes",1,0)</f>
        <v>0</v>
      </c>
      <c r="AJ189">
        <f>IF(tbl_HRData[[#This Row],[Attrition]] = "No",1,0)</f>
        <v>1</v>
      </c>
      <c r="AK189" t="str">
        <f>IF(tbl_HRData[[#This Row],[Age]] &lt; 25, "Under 25", IF(tbl_HRData[[#This Row],[Age]] &lt;= 34, "25-34", IF(tbl_HRData[[#This Row],[Age]] &lt;= 44, "35-44", IF(tbl_HRData[[#This Row],[Age]] &lt;= 54, "45-54", "55+"))))</f>
        <v>55+</v>
      </c>
      <c r="AL189" s="1" t="str">
        <f>IF(tbl_HRData[[#This Row],[MonthlyIncome]]&lt;5000,"Low",
IF(tbl_HRData[[#This Row],[MonthlyIncome]]&lt;10000,"Medium",
IF(tbl_HRData[[#This Row],[MonthlyIncome]]&lt;15000,"Upper Medium","High")))</f>
        <v>High</v>
      </c>
      <c r="AM189" s="1" t="str">
        <f>IF(tbl_HRData[[#This Row],[YearsAtCompany]]&lt;=5,"0-5 Years",
IF(tbl_HRData[[#This Row],[YearsAtCompany]]&lt;=10,"6-10 Years",
IF(tbl_HRData[[#This Row],[YearsAtCompany]]&lt;=20,"11-20 Years","21+ Years")))</f>
        <v>21+ Years</v>
      </c>
    </row>
    <row r="190" spans="1:39" x14ac:dyDescent="0.35">
      <c r="A190" s="1">
        <v>189</v>
      </c>
      <c r="B190">
        <v>34</v>
      </c>
      <c r="C190" s="1" t="s">
        <v>40</v>
      </c>
      <c r="D190" s="1" t="s">
        <v>41</v>
      </c>
      <c r="E190">
        <v>1069</v>
      </c>
      <c r="F190" s="1" t="s">
        <v>42</v>
      </c>
      <c r="G190">
        <v>2</v>
      </c>
      <c r="H190">
        <v>1</v>
      </c>
      <c r="I190" s="1" t="s">
        <v>36</v>
      </c>
      <c r="J190">
        <v>256</v>
      </c>
      <c r="K190">
        <v>4</v>
      </c>
      <c r="L190" s="1" t="s">
        <v>43</v>
      </c>
      <c r="M190">
        <v>45</v>
      </c>
      <c r="N190">
        <v>2</v>
      </c>
      <c r="O190">
        <v>2</v>
      </c>
      <c r="P190" s="1" t="s">
        <v>50</v>
      </c>
      <c r="Q190">
        <v>3</v>
      </c>
      <c r="R190" s="1" t="s">
        <v>45</v>
      </c>
      <c r="S190">
        <v>9547</v>
      </c>
      <c r="T190">
        <v>14074</v>
      </c>
      <c r="U190">
        <v>1</v>
      </c>
      <c r="V190" s="1" t="s">
        <v>40</v>
      </c>
      <c r="W190">
        <v>17</v>
      </c>
      <c r="X190">
        <v>3</v>
      </c>
      <c r="Y190">
        <v>3</v>
      </c>
      <c r="Z190">
        <v>80</v>
      </c>
      <c r="AA190">
        <v>0</v>
      </c>
      <c r="AB190">
        <v>10</v>
      </c>
      <c r="AC190">
        <v>2</v>
      </c>
      <c r="AD190">
        <v>2</v>
      </c>
      <c r="AE190">
        <v>10</v>
      </c>
      <c r="AF190">
        <v>9</v>
      </c>
      <c r="AG190">
        <v>1</v>
      </c>
      <c r="AH190">
        <v>9</v>
      </c>
      <c r="AI190">
        <f>IF(tbl_HRData[[#This Row],[Attrition]] = "Yes",1,0)</f>
        <v>0</v>
      </c>
      <c r="AJ190">
        <f>IF(tbl_HRData[[#This Row],[Attrition]] = "No",1,0)</f>
        <v>1</v>
      </c>
      <c r="AK190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90" s="1" t="str">
        <f>IF(tbl_HRData[[#This Row],[MonthlyIncome]]&lt;5000,"Low",
IF(tbl_HRData[[#This Row],[MonthlyIncome]]&lt;10000,"Medium",
IF(tbl_HRData[[#This Row],[MonthlyIncome]]&lt;15000,"Upper Medium","High")))</f>
        <v>Medium</v>
      </c>
      <c r="AM190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91" spans="1:39" x14ac:dyDescent="0.35">
      <c r="A191" s="1">
        <v>190</v>
      </c>
      <c r="B191">
        <v>51</v>
      </c>
      <c r="C191" s="1" t="s">
        <v>40</v>
      </c>
      <c r="D191" s="1" t="s">
        <v>34</v>
      </c>
      <c r="E191">
        <v>313</v>
      </c>
      <c r="F191" s="1" t="s">
        <v>42</v>
      </c>
      <c r="G191">
        <v>3</v>
      </c>
      <c r="H191">
        <v>3</v>
      </c>
      <c r="I191" s="1" t="s">
        <v>48</v>
      </c>
      <c r="J191">
        <v>258</v>
      </c>
      <c r="K191">
        <v>4</v>
      </c>
      <c r="L191" s="1" t="s">
        <v>37</v>
      </c>
      <c r="M191">
        <v>98</v>
      </c>
      <c r="N191">
        <v>3</v>
      </c>
      <c r="O191">
        <v>4</v>
      </c>
      <c r="P191" s="1" t="s">
        <v>51</v>
      </c>
      <c r="Q191">
        <v>2</v>
      </c>
      <c r="R191" s="1" t="s">
        <v>39</v>
      </c>
      <c r="S191">
        <v>13734</v>
      </c>
      <c r="T191">
        <v>7192</v>
      </c>
      <c r="U191">
        <v>3</v>
      </c>
      <c r="V191" s="1" t="s">
        <v>40</v>
      </c>
      <c r="W191">
        <v>18</v>
      </c>
      <c r="X191">
        <v>3</v>
      </c>
      <c r="Y191">
        <v>3</v>
      </c>
      <c r="Z191">
        <v>80</v>
      </c>
      <c r="AA191">
        <v>0</v>
      </c>
      <c r="AB191">
        <v>21</v>
      </c>
      <c r="AC191">
        <v>6</v>
      </c>
      <c r="AD191">
        <v>3</v>
      </c>
      <c r="AE191">
        <v>7</v>
      </c>
      <c r="AF191">
        <v>7</v>
      </c>
      <c r="AG191">
        <v>1</v>
      </c>
      <c r="AH191">
        <v>0</v>
      </c>
      <c r="AI191">
        <f>IF(tbl_HRData[[#This Row],[Attrition]] = "Yes",1,0)</f>
        <v>0</v>
      </c>
      <c r="AJ191">
        <f>IF(tbl_HRData[[#This Row],[Attrition]] = "No",1,0)</f>
        <v>1</v>
      </c>
      <c r="AK191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191" s="1" t="str">
        <f>IF(tbl_HRData[[#This Row],[MonthlyIncome]]&lt;5000,"Low",
IF(tbl_HRData[[#This Row],[MonthlyIncome]]&lt;10000,"Medium",
IF(tbl_HRData[[#This Row],[MonthlyIncome]]&lt;15000,"Upper Medium","High")))</f>
        <v>Upper Medium</v>
      </c>
      <c r="AM191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92" spans="1:39" x14ac:dyDescent="0.35">
      <c r="A192" s="1">
        <v>191</v>
      </c>
      <c r="B192">
        <v>52</v>
      </c>
      <c r="C192" s="1" t="s">
        <v>40</v>
      </c>
      <c r="D192" s="1" t="s">
        <v>34</v>
      </c>
      <c r="E192">
        <v>699</v>
      </c>
      <c r="F192" s="1" t="s">
        <v>42</v>
      </c>
      <c r="G192">
        <v>1</v>
      </c>
      <c r="H192">
        <v>4</v>
      </c>
      <c r="I192" s="1" t="s">
        <v>36</v>
      </c>
      <c r="J192">
        <v>259</v>
      </c>
      <c r="K192">
        <v>3</v>
      </c>
      <c r="L192" s="1" t="s">
        <v>43</v>
      </c>
      <c r="M192">
        <v>65</v>
      </c>
      <c r="N192">
        <v>2</v>
      </c>
      <c r="O192">
        <v>5</v>
      </c>
      <c r="P192" s="1" t="s">
        <v>53</v>
      </c>
      <c r="Q192">
        <v>3</v>
      </c>
      <c r="R192" s="1" t="s">
        <v>45</v>
      </c>
      <c r="S192">
        <v>19999</v>
      </c>
      <c r="T192">
        <v>5678</v>
      </c>
      <c r="U192">
        <v>0</v>
      </c>
      <c r="V192" s="1" t="s">
        <v>40</v>
      </c>
      <c r="W192">
        <v>14</v>
      </c>
      <c r="X192">
        <v>3</v>
      </c>
      <c r="Y192">
        <v>1</v>
      </c>
      <c r="Z192">
        <v>80</v>
      </c>
      <c r="AA192">
        <v>1</v>
      </c>
      <c r="AB192">
        <v>34</v>
      </c>
      <c r="AC192">
        <v>5</v>
      </c>
      <c r="AD192">
        <v>3</v>
      </c>
      <c r="AE192">
        <v>33</v>
      </c>
      <c r="AF192">
        <v>18</v>
      </c>
      <c r="AG192">
        <v>11</v>
      </c>
      <c r="AH192">
        <v>9</v>
      </c>
      <c r="AI192">
        <f>IF(tbl_HRData[[#This Row],[Attrition]] = "Yes",1,0)</f>
        <v>0</v>
      </c>
      <c r="AJ192">
        <f>IF(tbl_HRData[[#This Row],[Attrition]] = "No",1,0)</f>
        <v>1</v>
      </c>
      <c r="AK192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192" s="1" t="str">
        <f>IF(tbl_HRData[[#This Row],[MonthlyIncome]]&lt;5000,"Low",
IF(tbl_HRData[[#This Row],[MonthlyIncome]]&lt;10000,"Medium",
IF(tbl_HRData[[#This Row],[MonthlyIncome]]&lt;15000,"Upper Medium","High")))</f>
        <v>High</v>
      </c>
      <c r="AM192" s="1" t="str">
        <f>IF(tbl_HRData[[#This Row],[YearsAtCompany]]&lt;=5,"0-5 Years",
IF(tbl_HRData[[#This Row],[YearsAtCompany]]&lt;=10,"6-10 Years",
IF(tbl_HRData[[#This Row],[YearsAtCompany]]&lt;=20,"11-20 Years","21+ Years")))</f>
        <v>21+ Years</v>
      </c>
    </row>
    <row r="193" spans="1:39" x14ac:dyDescent="0.35">
      <c r="A193" s="1">
        <v>192</v>
      </c>
      <c r="B193">
        <v>27</v>
      </c>
      <c r="C193" s="1" t="s">
        <v>40</v>
      </c>
      <c r="D193" s="1" t="s">
        <v>34</v>
      </c>
      <c r="E193">
        <v>894</v>
      </c>
      <c r="F193" s="1" t="s">
        <v>42</v>
      </c>
      <c r="G193">
        <v>9</v>
      </c>
      <c r="H193">
        <v>3</v>
      </c>
      <c r="I193" s="1" t="s">
        <v>48</v>
      </c>
      <c r="J193">
        <v>260</v>
      </c>
      <c r="K193">
        <v>4</v>
      </c>
      <c r="L193" s="1" t="s">
        <v>37</v>
      </c>
      <c r="M193">
        <v>99</v>
      </c>
      <c r="N193">
        <v>3</v>
      </c>
      <c r="O193">
        <v>1</v>
      </c>
      <c r="P193" s="1" t="s">
        <v>44</v>
      </c>
      <c r="Q193">
        <v>2</v>
      </c>
      <c r="R193" s="1" t="s">
        <v>39</v>
      </c>
      <c r="S193">
        <v>2279</v>
      </c>
      <c r="T193">
        <v>11781</v>
      </c>
      <c r="U193">
        <v>1</v>
      </c>
      <c r="V193" s="1" t="s">
        <v>40</v>
      </c>
      <c r="W193">
        <v>16</v>
      </c>
      <c r="X193">
        <v>3</v>
      </c>
      <c r="Y193">
        <v>4</v>
      </c>
      <c r="Z193">
        <v>80</v>
      </c>
      <c r="AA193">
        <v>0</v>
      </c>
      <c r="AB193">
        <v>7</v>
      </c>
      <c r="AC193">
        <v>2</v>
      </c>
      <c r="AD193">
        <v>2</v>
      </c>
      <c r="AE193">
        <v>7</v>
      </c>
      <c r="AF193">
        <v>7</v>
      </c>
      <c r="AG193">
        <v>0</v>
      </c>
      <c r="AH193">
        <v>3</v>
      </c>
      <c r="AI193">
        <f>IF(tbl_HRData[[#This Row],[Attrition]] = "Yes",1,0)</f>
        <v>0</v>
      </c>
      <c r="AJ193">
        <f>IF(tbl_HRData[[#This Row],[Attrition]] = "No",1,0)</f>
        <v>1</v>
      </c>
      <c r="AK193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93" s="1" t="str">
        <f>IF(tbl_HRData[[#This Row],[MonthlyIncome]]&lt;5000,"Low",
IF(tbl_HRData[[#This Row],[MonthlyIncome]]&lt;10000,"Medium",
IF(tbl_HRData[[#This Row],[MonthlyIncome]]&lt;15000,"Upper Medium","High")))</f>
        <v>Low</v>
      </c>
      <c r="AM193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94" spans="1:39" x14ac:dyDescent="0.35">
      <c r="A194" s="1">
        <v>193</v>
      </c>
      <c r="B194">
        <v>35</v>
      </c>
      <c r="C194" s="1" t="s">
        <v>33</v>
      </c>
      <c r="D194" s="1" t="s">
        <v>34</v>
      </c>
      <c r="E194">
        <v>556</v>
      </c>
      <c r="F194" s="1" t="s">
        <v>42</v>
      </c>
      <c r="G194">
        <v>23</v>
      </c>
      <c r="H194">
        <v>2</v>
      </c>
      <c r="I194" s="1" t="s">
        <v>36</v>
      </c>
      <c r="J194">
        <v>261</v>
      </c>
      <c r="K194">
        <v>2</v>
      </c>
      <c r="L194" s="1" t="s">
        <v>43</v>
      </c>
      <c r="M194">
        <v>50</v>
      </c>
      <c r="N194">
        <v>2</v>
      </c>
      <c r="O194">
        <v>2</v>
      </c>
      <c r="P194" s="1" t="s">
        <v>50</v>
      </c>
      <c r="Q194">
        <v>3</v>
      </c>
      <c r="R194" s="1" t="s">
        <v>45</v>
      </c>
      <c r="S194">
        <v>5916</v>
      </c>
      <c r="T194">
        <v>15497</v>
      </c>
      <c r="U194">
        <v>3</v>
      </c>
      <c r="V194" s="1" t="s">
        <v>33</v>
      </c>
      <c r="W194">
        <v>13</v>
      </c>
      <c r="X194">
        <v>3</v>
      </c>
      <c r="Y194">
        <v>1</v>
      </c>
      <c r="Z194">
        <v>80</v>
      </c>
      <c r="AA194">
        <v>0</v>
      </c>
      <c r="AB194">
        <v>8</v>
      </c>
      <c r="AC194">
        <v>1</v>
      </c>
      <c r="AD194">
        <v>3</v>
      </c>
      <c r="AE194">
        <v>1</v>
      </c>
      <c r="AF194">
        <v>0</v>
      </c>
      <c r="AG194">
        <v>0</v>
      </c>
      <c r="AH194">
        <v>1</v>
      </c>
      <c r="AI194">
        <f>IF(tbl_HRData[[#This Row],[Attrition]] = "Yes",1,0)</f>
        <v>1</v>
      </c>
      <c r="AJ194">
        <f>IF(tbl_HRData[[#This Row],[Attrition]] = "No",1,0)</f>
        <v>0</v>
      </c>
      <c r="AK194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94" s="1" t="str">
        <f>IF(tbl_HRData[[#This Row],[MonthlyIncome]]&lt;5000,"Low",
IF(tbl_HRData[[#This Row],[MonthlyIncome]]&lt;10000,"Medium",
IF(tbl_HRData[[#This Row],[MonthlyIncome]]&lt;15000,"Upper Medium","High")))</f>
        <v>Medium</v>
      </c>
      <c r="AM194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95" spans="1:39" x14ac:dyDescent="0.35">
      <c r="A195" s="1">
        <v>194</v>
      </c>
      <c r="B195">
        <v>43</v>
      </c>
      <c r="C195" s="1" t="s">
        <v>40</v>
      </c>
      <c r="D195" s="1" t="s">
        <v>52</v>
      </c>
      <c r="E195">
        <v>1344</v>
      </c>
      <c r="F195" s="1" t="s">
        <v>42</v>
      </c>
      <c r="G195">
        <v>7</v>
      </c>
      <c r="H195">
        <v>3</v>
      </c>
      <c r="I195" s="1" t="s">
        <v>48</v>
      </c>
      <c r="J195">
        <v>262</v>
      </c>
      <c r="K195">
        <v>4</v>
      </c>
      <c r="L195" s="1" t="s">
        <v>43</v>
      </c>
      <c r="M195">
        <v>37</v>
      </c>
      <c r="N195">
        <v>4</v>
      </c>
      <c r="O195">
        <v>1</v>
      </c>
      <c r="P195" s="1" t="s">
        <v>44</v>
      </c>
      <c r="Q195">
        <v>4</v>
      </c>
      <c r="R195" s="1" t="s">
        <v>49</v>
      </c>
      <c r="S195">
        <v>2089</v>
      </c>
      <c r="T195">
        <v>5228</v>
      </c>
      <c r="U195">
        <v>4</v>
      </c>
      <c r="V195" s="1" t="s">
        <v>40</v>
      </c>
      <c r="W195">
        <v>14</v>
      </c>
      <c r="X195">
        <v>3</v>
      </c>
      <c r="Y195">
        <v>4</v>
      </c>
      <c r="Z195">
        <v>80</v>
      </c>
      <c r="AA195">
        <v>3</v>
      </c>
      <c r="AB195">
        <v>7</v>
      </c>
      <c r="AC195">
        <v>3</v>
      </c>
      <c r="AD195">
        <v>4</v>
      </c>
      <c r="AE195">
        <v>5</v>
      </c>
      <c r="AF195">
        <v>4</v>
      </c>
      <c r="AG195">
        <v>2</v>
      </c>
      <c r="AH195">
        <v>2</v>
      </c>
      <c r="AI195">
        <f>IF(tbl_HRData[[#This Row],[Attrition]] = "Yes",1,0)</f>
        <v>0</v>
      </c>
      <c r="AJ195">
        <f>IF(tbl_HRData[[#This Row],[Attrition]] = "No",1,0)</f>
        <v>1</v>
      </c>
      <c r="AK195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95" s="1" t="str">
        <f>IF(tbl_HRData[[#This Row],[MonthlyIncome]]&lt;5000,"Low",
IF(tbl_HRData[[#This Row],[MonthlyIncome]]&lt;10000,"Medium",
IF(tbl_HRData[[#This Row],[MonthlyIncome]]&lt;15000,"Upper Medium","High")))</f>
        <v>Low</v>
      </c>
      <c r="AM195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96" spans="1:39" x14ac:dyDescent="0.35">
      <c r="A196" s="1">
        <v>195</v>
      </c>
      <c r="B196">
        <v>45</v>
      </c>
      <c r="C196" s="1" t="s">
        <v>40</v>
      </c>
      <c r="D196" s="1" t="s">
        <v>52</v>
      </c>
      <c r="E196">
        <v>1195</v>
      </c>
      <c r="F196" s="1" t="s">
        <v>42</v>
      </c>
      <c r="G196">
        <v>2</v>
      </c>
      <c r="H196">
        <v>2</v>
      </c>
      <c r="I196" s="1" t="s">
        <v>48</v>
      </c>
      <c r="J196">
        <v>264</v>
      </c>
      <c r="K196">
        <v>1</v>
      </c>
      <c r="L196" s="1" t="s">
        <v>43</v>
      </c>
      <c r="M196">
        <v>65</v>
      </c>
      <c r="N196">
        <v>2</v>
      </c>
      <c r="O196">
        <v>4</v>
      </c>
      <c r="P196" s="1" t="s">
        <v>53</v>
      </c>
      <c r="Q196">
        <v>4</v>
      </c>
      <c r="R196" s="1" t="s">
        <v>45</v>
      </c>
      <c r="S196">
        <v>16792</v>
      </c>
      <c r="T196">
        <v>20462</v>
      </c>
      <c r="U196">
        <v>9</v>
      </c>
      <c r="V196" s="1" t="s">
        <v>40</v>
      </c>
      <c r="W196">
        <v>23</v>
      </c>
      <c r="X196">
        <v>4</v>
      </c>
      <c r="Y196">
        <v>4</v>
      </c>
      <c r="Z196">
        <v>80</v>
      </c>
      <c r="AA196">
        <v>1</v>
      </c>
      <c r="AB196">
        <v>22</v>
      </c>
      <c r="AC196">
        <v>1</v>
      </c>
      <c r="AD196">
        <v>3</v>
      </c>
      <c r="AE196">
        <v>20</v>
      </c>
      <c r="AF196">
        <v>8</v>
      </c>
      <c r="AG196">
        <v>11</v>
      </c>
      <c r="AH196">
        <v>8</v>
      </c>
      <c r="AI196">
        <f>IF(tbl_HRData[[#This Row],[Attrition]] = "Yes",1,0)</f>
        <v>0</v>
      </c>
      <c r="AJ196">
        <f>IF(tbl_HRData[[#This Row],[Attrition]] = "No",1,0)</f>
        <v>1</v>
      </c>
      <c r="AK196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196" s="1" t="str">
        <f>IF(tbl_HRData[[#This Row],[MonthlyIncome]]&lt;5000,"Low",
IF(tbl_HRData[[#This Row],[MonthlyIncome]]&lt;10000,"Medium",
IF(tbl_HRData[[#This Row],[MonthlyIncome]]&lt;15000,"Upper Medium","High")))</f>
        <v>High</v>
      </c>
      <c r="AM196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197" spans="1:39" x14ac:dyDescent="0.35">
      <c r="A197" s="1">
        <v>196</v>
      </c>
      <c r="B197">
        <v>37</v>
      </c>
      <c r="C197" s="1" t="s">
        <v>40</v>
      </c>
      <c r="D197" s="1" t="s">
        <v>34</v>
      </c>
      <c r="E197">
        <v>290</v>
      </c>
      <c r="F197" s="1" t="s">
        <v>42</v>
      </c>
      <c r="G197">
        <v>21</v>
      </c>
      <c r="H197">
        <v>3</v>
      </c>
      <c r="I197" s="1" t="s">
        <v>36</v>
      </c>
      <c r="J197">
        <v>267</v>
      </c>
      <c r="K197">
        <v>2</v>
      </c>
      <c r="L197" s="1" t="s">
        <v>43</v>
      </c>
      <c r="M197">
        <v>65</v>
      </c>
      <c r="N197">
        <v>4</v>
      </c>
      <c r="O197">
        <v>1</v>
      </c>
      <c r="P197" s="1" t="s">
        <v>44</v>
      </c>
      <c r="Q197">
        <v>1</v>
      </c>
      <c r="R197" s="1" t="s">
        <v>45</v>
      </c>
      <c r="S197">
        <v>3564</v>
      </c>
      <c r="T197">
        <v>22977</v>
      </c>
      <c r="U197">
        <v>1</v>
      </c>
      <c r="V197" s="1" t="s">
        <v>33</v>
      </c>
      <c r="W197">
        <v>12</v>
      </c>
      <c r="X197">
        <v>3</v>
      </c>
      <c r="Y197">
        <v>1</v>
      </c>
      <c r="Z197">
        <v>80</v>
      </c>
      <c r="AA197">
        <v>1</v>
      </c>
      <c r="AB197">
        <v>8</v>
      </c>
      <c r="AC197">
        <v>3</v>
      </c>
      <c r="AD197">
        <v>2</v>
      </c>
      <c r="AE197">
        <v>8</v>
      </c>
      <c r="AF197">
        <v>7</v>
      </c>
      <c r="AG197">
        <v>1</v>
      </c>
      <c r="AH197">
        <v>7</v>
      </c>
      <c r="AI197">
        <f>IF(tbl_HRData[[#This Row],[Attrition]] = "Yes",1,0)</f>
        <v>0</v>
      </c>
      <c r="AJ197">
        <f>IF(tbl_HRData[[#This Row],[Attrition]] = "No",1,0)</f>
        <v>1</v>
      </c>
      <c r="AK197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97" s="1" t="str">
        <f>IF(tbl_HRData[[#This Row],[MonthlyIncome]]&lt;5000,"Low",
IF(tbl_HRData[[#This Row],[MonthlyIncome]]&lt;10000,"Medium",
IF(tbl_HRData[[#This Row],[MonthlyIncome]]&lt;15000,"Upper Medium","High")))</f>
        <v>Low</v>
      </c>
      <c r="AM197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98" spans="1:39" x14ac:dyDescent="0.35">
      <c r="A198" s="1">
        <v>197</v>
      </c>
      <c r="B198">
        <v>35</v>
      </c>
      <c r="C198" s="1" t="s">
        <v>40</v>
      </c>
      <c r="D198" s="1" t="s">
        <v>41</v>
      </c>
      <c r="E198">
        <v>138</v>
      </c>
      <c r="F198" s="1" t="s">
        <v>42</v>
      </c>
      <c r="G198">
        <v>2</v>
      </c>
      <c r="H198">
        <v>3</v>
      </c>
      <c r="I198" s="1" t="s">
        <v>48</v>
      </c>
      <c r="J198">
        <v>269</v>
      </c>
      <c r="K198">
        <v>2</v>
      </c>
      <c r="L198" s="1" t="s">
        <v>37</v>
      </c>
      <c r="M198">
        <v>37</v>
      </c>
      <c r="N198">
        <v>3</v>
      </c>
      <c r="O198">
        <v>2</v>
      </c>
      <c r="P198" s="1" t="s">
        <v>47</v>
      </c>
      <c r="Q198">
        <v>2</v>
      </c>
      <c r="R198" s="1" t="s">
        <v>39</v>
      </c>
      <c r="S198">
        <v>4425</v>
      </c>
      <c r="T198">
        <v>15986</v>
      </c>
      <c r="U198">
        <v>5</v>
      </c>
      <c r="V198" s="1" t="s">
        <v>40</v>
      </c>
      <c r="W198">
        <v>11</v>
      </c>
      <c r="X198">
        <v>3</v>
      </c>
      <c r="Y198">
        <v>4</v>
      </c>
      <c r="Z198">
        <v>80</v>
      </c>
      <c r="AA198">
        <v>0</v>
      </c>
      <c r="AB198">
        <v>10</v>
      </c>
      <c r="AC198">
        <v>5</v>
      </c>
      <c r="AD198">
        <v>3</v>
      </c>
      <c r="AE198">
        <v>6</v>
      </c>
      <c r="AF198">
        <v>2</v>
      </c>
      <c r="AG198">
        <v>1</v>
      </c>
      <c r="AH198">
        <v>2</v>
      </c>
      <c r="AI198">
        <f>IF(tbl_HRData[[#This Row],[Attrition]] = "Yes",1,0)</f>
        <v>0</v>
      </c>
      <c r="AJ198">
        <f>IF(tbl_HRData[[#This Row],[Attrition]] = "No",1,0)</f>
        <v>1</v>
      </c>
      <c r="AK198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98" s="1" t="str">
        <f>IF(tbl_HRData[[#This Row],[MonthlyIncome]]&lt;5000,"Low",
IF(tbl_HRData[[#This Row],[MonthlyIncome]]&lt;10000,"Medium",
IF(tbl_HRData[[#This Row],[MonthlyIncome]]&lt;15000,"Upper Medium","High")))</f>
        <v>Low</v>
      </c>
      <c r="AM198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99" spans="1:39" x14ac:dyDescent="0.35">
      <c r="A199" s="1">
        <v>198</v>
      </c>
      <c r="B199">
        <v>42</v>
      </c>
      <c r="C199" s="1" t="s">
        <v>40</v>
      </c>
      <c r="D199" s="1" t="s">
        <v>52</v>
      </c>
      <c r="E199">
        <v>926</v>
      </c>
      <c r="F199" s="1" t="s">
        <v>42</v>
      </c>
      <c r="G199">
        <v>21</v>
      </c>
      <c r="H199">
        <v>2</v>
      </c>
      <c r="I199" s="1" t="s">
        <v>48</v>
      </c>
      <c r="J199">
        <v>270</v>
      </c>
      <c r="K199">
        <v>3</v>
      </c>
      <c r="L199" s="1" t="s">
        <v>37</v>
      </c>
      <c r="M199">
        <v>36</v>
      </c>
      <c r="N199">
        <v>3</v>
      </c>
      <c r="O199">
        <v>2</v>
      </c>
      <c r="P199" s="1" t="s">
        <v>50</v>
      </c>
      <c r="Q199">
        <v>3</v>
      </c>
      <c r="R199" s="1" t="s">
        <v>49</v>
      </c>
      <c r="S199">
        <v>5265</v>
      </c>
      <c r="T199">
        <v>16439</v>
      </c>
      <c r="U199">
        <v>2</v>
      </c>
      <c r="V199" s="1" t="s">
        <v>40</v>
      </c>
      <c r="W199">
        <v>16</v>
      </c>
      <c r="X199">
        <v>3</v>
      </c>
      <c r="Y199">
        <v>2</v>
      </c>
      <c r="Z199">
        <v>80</v>
      </c>
      <c r="AA199">
        <v>1</v>
      </c>
      <c r="AB199">
        <v>11</v>
      </c>
      <c r="AC199">
        <v>5</v>
      </c>
      <c r="AD199">
        <v>3</v>
      </c>
      <c r="AE199">
        <v>5</v>
      </c>
      <c r="AF199">
        <v>3</v>
      </c>
      <c r="AG199">
        <v>0</v>
      </c>
      <c r="AH199">
        <v>2</v>
      </c>
      <c r="AI199">
        <f>IF(tbl_HRData[[#This Row],[Attrition]] = "Yes",1,0)</f>
        <v>0</v>
      </c>
      <c r="AJ199">
        <f>IF(tbl_HRData[[#This Row],[Attrition]] = "No",1,0)</f>
        <v>1</v>
      </c>
      <c r="AK199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99" s="1" t="str">
        <f>IF(tbl_HRData[[#This Row],[MonthlyIncome]]&lt;5000,"Low",
IF(tbl_HRData[[#This Row],[MonthlyIncome]]&lt;10000,"Medium",
IF(tbl_HRData[[#This Row],[MonthlyIncome]]&lt;15000,"Upper Medium","High")))</f>
        <v>Medium</v>
      </c>
      <c r="AM199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200" spans="1:39" x14ac:dyDescent="0.35">
      <c r="A200" s="1">
        <v>199</v>
      </c>
      <c r="B200">
        <v>38</v>
      </c>
      <c r="C200" s="1" t="s">
        <v>40</v>
      </c>
      <c r="D200" s="1" t="s">
        <v>34</v>
      </c>
      <c r="E200">
        <v>1261</v>
      </c>
      <c r="F200" s="1" t="s">
        <v>42</v>
      </c>
      <c r="G200">
        <v>2</v>
      </c>
      <c r="H200">
        <v>4</v>
      </c>
      <c r="I200" s="1" t="s">
        <v>36</v>
      </c>
      <c r="J200">
        <v>271</v>
      </c>
      <c r="K200">
        <v>4</v>
      </c>
      <c r="L200" s="1" t="s">
        <v>43</v>
      </c>
      <c r="M200">
        <v>88</v>
      </c>
      <c r="N200">
        <v>3</v>
      </c>
      <c r="O200">
        <v>2</v>
      </c>
      <c r="P200" s="1" t="s">
        <v>50</v>
      </c>
      <c r="Q200">
        <v>3</v>
      </c>
      <c r="R200" s="1" t="s">
        <v>45</v>
      </c>
      <c r="S200">
        <v>6553</v>
      </c>
      <c r="T200">
        <v>7259</v>
      </c>
      <c r="U200">
        <v>9</v>
      </c>
      <c r="V200" s="1" t="s">
        <v>40</v>
      </c>
      <c r="W200">
        <v>14</v>
      </c>
      <c r="X200">
        <v>3</v>
      </c>
      <c r="Y200">
        <v>2</v>
      </c>
      <c r="Z200">
        <v>80</v>
      </c>
      <c r="AA200">
        <v>0</v>
      </c>
      <c r="AB200">
        <v>14</v>
      </c>
      <c r="AC200">
        <v>3</v>
      </c>
      <c r="AD200">
        <v>3</v>
      </c>
      <c r="AE200">
        <v>1</v>
      </c>
      <c r="AF200">
        <v>0</v>
      </c>
      <c r="AG200">
        <v>0</v>
      </c>
      <c r="AH200">
        <v>0</v>
      </c>
      <c r="AI200">
        <f>IF(tbl_HRData[[#This Row],[Attrition]] = "Yes",1,0)</f>
        <v>0</v>
      </c>
      <c r="AJ200">
        <f>IF(tbl_HRData[[#This Row],[Attrition]] = "No",1,0)</f>
        <v>1</v>
      </c>
      <c r="AK200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200" s="1" t="str">
        <f>IF(tbl_HRData[[#This Row],[MonthlyIncome]]&lt;5000,"Low",
IF(tbl_HRData[[#This Row],[MonthlyIncome]]&lt;10000,"Medium",
IF(tbl_HRData[[#This Row],[MonthlyIncome]]&lt;15000,"Upper Medium","High")))</f>
        <v>Medium</v>
      </c>
      <c r="AM200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201" spans="1:39" x14ac:dyDescent="0.35">
      <c r="A201" s="1">
        <v>200</v>
      </c>
      <c r="B201">
        <v>38</v>
      </c>
      <c r="C201" s="1" t="s">
        <v>40</v>
      </c>
      <c r="D201" s="1" t="s">
        <v>34</v>
      </c>
      <c r="E201">
        <v>1084</v>
      </c>
      <c r="F201" s="1" t="s">
        <v>42</v>
      </c>
      <c r="G201">
        <v>29</v>
      </c>
      <c r="H201">
        <v>3</v>
      </c>
      <c r="I201" s="1" t="s">
        <v>57</v>
      </c>
      <c r="J201">
        <v>273</v>
      </c>
      <c r="K201">
        <v>4</v>
      </c>
      <c r="L201" s="1" t="s">
        <v>43</v>
      </c>
      <c r="M201">
        <v>54</v>
      </c>
      <c r="N201">
        <v>3</v>
      </c>
      <c r="O201">
        <v>2</v>
      </c>
      <c r="P201" s="1" t="s">
        <v>50</v>
      </c>
      <c r="Q201">
        <v>4</v>
      </c>
      <c r="R201" s="1" t="s">
        <v>45</v>
      </c>
      <c r="S201">
        <v>6261</v>
      </c>
      <c r="T201">
        <v>4185</v>
      </c>
      <c r="U201">
        <v>3</v>
      </c>
      <c r="V201" s="1" t="s">
        <v>40</v>
      </c>
      <c r="W201">
        <v>18</v>
      </c>
      <c r="X201">
        <v>3</v>
      </c>
      <c r="Y201">
        <v>1</v>
      </c>
      <c r="Z201">
        <v>80</v>
      </c>
      <c r="AA201">
        <v>1</v>
      </c>
      <c r="AB201">
        <v>9</v>
      </c>
      <c r="AC201">
        <v>3</v>
      </c>
      <c r="AD201">
        <v>1</v>
      </c>
      <c r="AE201">
        <v>7</v>
      </c>
      <c r="AF201">
        <v>7</v>
      </c>
      <c r="AG201">
        <v>1</v>
      </c>
      <c r="AH201">
        <v>7</v>
      </c>
      <c r="AI201">
        <f>IF(tbl_HRData[[#This Row],[Attrition]] = "Yes",1,0)</f>
        <v>0</v>
      </c>
      <c r="AJ201">
        <f>IF(tbl_HRData[[#This Row],[Attrition]] = "No",1,0)</f>
        <v>1</v>
      </c>
      <c r="AK201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201" s="1" t="str">
        <f>IF(tbl_HRData[[#This Row],[MonthlyIncome]]&lt;5000,"Low",
IF(tbl_HRData[[#This Row],[MonthlyIncome]]&lt;10000,"Medium",
IF(tbl_HRData[[#This Row],[MonthlyIncome]]&lt;15000,"Upper Medium","High")))</f>
        <v>Medium</v>
      </c>
      <c r="AM201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202" spans="1:39" x14ac:dyDescent="0.35">
      <c r="A202" s="1">
        <v>201</v>
      </c>
      <c r="B202">
        <v>27</v>
      </c>
      <c r="C202" s="1" t="s">
        <v>40</v>
      </c>
      <c r="D202" s="1" t="s">
        <v>41</v>
      </c>
      <c r="E202">
        <v>472</v>
      </c>
      <c r="F202" s="1" t="s">
        <v>42</v>
      </c>
      <c r="G202">
        <v>1</v>
      </c>
      <c r="H202">
        <v>1</v>
      </c>
      <c r="I202" s="1" t="s">
        <v>57</v>
      </c>
      <c r="J202">
        <v>274</v>
      </c>
      <c r="K202">
        <v>3</v>
      </c>
      <c r="L202" s="1" t="s">
        <v>43</v>
      </c>
      <c r="M202">
        <v>60</v>
      </c>
      <c r="N202">
        <v>2</v>
      </c>
      <c r="O202">
        <v>2</v>
      </c>
      <c r="P202" s="1" t="s">
        <v>50</v>
      </c>
      <c r="Q202">
        <v>1</v>
      </c>
      <c r="R202" s="1" t="s">
        <v>45</v>
      </c>
      <c r="S202">
        <v>4298</v>
      </c>
      <c r="T202">
        <v>9679</v>
      </c>
      <c r="U202">
        <v>5</v>
      </c>
      <c r="V202" s="1" t="s">
        <v>40</v>
      </c>
      <c r="W202">
        <v>19</v>
      </c>
      <c r="X202">
        <v>3</v>
      </c>
      <c r="Y202">
        <v>3</v>
      </c>
      <c r="Z202">
        <v>80</v>
      </c>
      <c r="AA202">
        <v>1</v>
      </c>
      <c r="AB202">
        <v>6</v>
      </c>
      <c r="AC202">
        <v>1</v>
      </c>
      <c r="AD202">
        <v>3</v>
      </c>
      <c r="AE202">
        <v>2</v>
      </c>
      <c r="AF202">
        <v>2</v>
      </c>
      <c r="AG202">
        <v>2</v>
      </c>
      <c r="AH202">
        <v>0</v>
      </c>
      <c r="AI202">
        <f>IF(tbl_HRData[[#This Row],[Attrition]] = "Yes",1,0)</f>
        <v>0</v>
      </c>
      <c r="AJ202">
        <f>IF(tbl_HRData[[#This Row],[Attrition]] = "No",1,0)</f>
        <v>1</v>
      </c>
      <c r="AK202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202" s="1" t="str">
        <f>IF(tbl_HRData[[#This Row],[MonthlyIncome]]&lt;5000,"Low",
IF(tbl_HRData[[#This Row],[MonthlyIncome]]&lt;10000,"Medium",
IF(tbl_HRData[[#This Row],[MonthlyIncome]]&lt;15000,"Upper Medium","High")))</f>
        <v>Low</v>
      </c>
      <c r="AM202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203" spans="1:39" x14ac:dyDescent="0.35">
      <c r="A203" s="1">
        <v>202</v>
      </c>
      <c r="B203">
        <v>49</v>
      </c>
      <c r="C203" s="1" t="s">
        <v>40</v>
      </c>
      <c r="D203" s="1" t="s">
        <v>52</v>
      </c>
      <c r="E203">
        <v>1002</v>
      </c>
      <c r="F203" s="1" t="s">
        <v>42</v>
      </c>
      <c r="G203">
        <v>18</v>
      </c>
      <c r="H203">
        <v>4</v>
      </c>
      <c r="I203" s="1" t="s">
        <v>36</v>
      </c>
      <c r="J203">
        <v>275</v>
      </c>
      <c r="K203">
        <v>4</v>
      </c>
      <c r="L203" s="1" t="s">
        <v>43</v>
      </c>
      <c r="M203">
        <v>92</v>
      </c>
      <c r="N203">
        <v>3</v>
      </c>
      <c r="O203">
        <v>2</v>
      </c>
      <c r="P203" s="1" t="s">
        <v>50</v>
      </c>
      <c r="Q203">
        <v>4</v>
      </c>
      <c r="R203" s="1" t="s">
        <v>49</v>
      </c>
      <c r="S203">
        <v>6804</v>
      </c>
      <c r="T203">
        <v>23793</v>
      </c>
      <c r="U203">
        <v>1</v>
      </c>
      <c r="V203" s="1" t="s">
        <v>33</v>
      </c>
      <c r="W203">
        <v>15</v>
      </c>
      <c r="X203">
        <v>3</v>
      </c>
      <c r="Y203">
        <v>1</v>
      </c>
      <c r="Z203">
        <v>80</v>
      </c>
      <c r="AA203">
        <v>2</v>
      </c>
      <c r="AB203">
        <v>7</v>
      </c>
      <c r="AC203">
        <v>0</v>
      </c>
      <c r="AD203">
        <v>3</v>
      </c>
      <c r="AE203">
        <v>7</v>
      </c>
      <c r="AF203">
        <v>7</v>
      </c>
      <c r="AG203">
        <v>1</v>
      </c>
      <c r="AH203">
        <v>7</v>
      </c>
      <c r="AI203">
        <f>IF(tbl_HRData[[#This Row],[Attrition]] = "Yes",1,0)</f>
        <v>0</v>
      </c>
      <c r="AJ203">
        <f>IF(tbl_HRData[[#This Row],[Attrition]] = "No",1,0)</f>
        <v>1</v>
      </c>
      <c r="AK203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203" s="1" t="str">
        <f>IF(tbl_HRData[[#This Row],[MonthlyIncome]]&lt;5000,"Low",
IF(tbl_HRData[[#This Row],[MonthlyIncome]]&lt;10000,"Medium",
IF(tbl_HRData[[#This Row],[MonthlyIncome]]&lt;15000,"Upper Medium","High")))</f>
        <v>Medium</v>
      </c>
      <c r="AM203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204" spans="1:39" x14ac:dyDescent="0.35">
      <c r="A204" s="1">
        <v>203</v>
      </c>
      <c r="B204">
        <v>34</v>
      </c>
      <c r="C204" s="1" t="s">
        <v>40</v>
      </c>
      <c r="D204" s="1" t="s">
        <v>41</v>
      </c>
      <c r="E204">
        <v>878</v>
      </c>
      <c r="F204" s="1" t="s">
        <v>42</v>
      </c>
      <c r="G204">
        <v>10</v>
      </c>
      <c r="H204">
        <v>4</v>
      </c>
      <c r="I204" s="1" t="s">
        <v>48</v>
      </c>
      <c r="J204">
        <v>277</v>
      </c>
      <c r="K204">
        <v>4</v>
      </c>
      <c r="L204" s="1" t="s">
        <v>43</v>
      </c>
      <c r="M204">
        <v>43</v>
      </c>
      <c r="N204">
        <v>3</v>
      </c>
      <c r="O204">
        <v>1</v>
      </c>
      <c r="P204" s="1" t="s">
        <v>44</v>
      </c>
      <c r="Q204">
        <v>3</v>
      </c>
      <c r="R204" s="1" t="s">
        <v>49</v>
      </c>
      <c r="S204">
        <v>3815</v>
      </c>
      <c r="T204">
        <v>5972</v>
      </c>
      <c r="U204">
        <v>1</v>
      </c>
      <c r="V204" s="1" t="s">
        <v>33</v>
      </c>
      <c r="W204">
        <v>17</v>
      </c>
      <c r="X204">
        <v>3</v>
      </c>
      <c r="Y204">
        <v>4</v>
      </c>
      <c r="Z204">
        <v>80</v>
      </c>
      <c r="AA204">
        <v>1</v>
      </c>
      <c r="AB204">
        <v>5</v>
      </c>
      <c r="AC204">
        <v>4</v>
      </c>
      <c r="AD204">
        <v>4</v>
      </c>
      <c r="AE204">
        <v>5</v>
      </c>
      <c r="AF204">
        <v>3</v>
      </c>
      <c r="AG204">
        <v>2</v>
      </c>
      <c r="AH204">
        <v>0</v>
      </c>
      <c r="AI204">
        <f>IF(tbl_HRData[[#This Row],[Attrition]] = "Yes",1,0)</f>
        <v>0</v>
      </c>
      <c r="AJ204">
        <f>IF(tbl_HRData[[#This Row],[Attrition]] = "No",1,0)</f>
        <v>1</v>
      </c>
      <c r="AK204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204" s="1" t="str">
        <f>IF(tbl_HRData[[#This Row],[MonthlyIncome]]&lt;5000,"Low",
IF(tbl_HRData[[#This Row],[MonthlyIncome]]&lt;10000,"Medium",
IF(tbl_HRData[[#This Row],[MonthlyIncome]]&lt;15000,"Upper Medium","High")))</f>
        <v>Low</v>
      </c>
      <c r="AM204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205" spans="1:39" x14ac:dyDescent="0.35">
      <c r="A205" s="1">
        <v>204</v>
      </c>
      <c r="B205">
        <v>40</v>
      </c>
      <c r="C205" s="1" t="s">
        <v>40</v>
      </c>
      <c r="D205" s="1" t="s">
        <v>34</v>
      </c>
      <c r="E205">
        <v>905</v>
      </c>
      <c r="F205" s="1" t="s">
        <v>42</v>
      </c>
      <c r="G205">
        <v>19</v>
      </c>
      <c r="H205">
        <v>2</v>
      </c>
      <c r="I205" s="1" t="s">
        <v>48</v>
      </c>
      <c r="J205">
        <v>281</v>
      </c>
      <c r="K205">
        <v>3</v>
      </c>
      <c r="L205" s="1" t="s">
        <v>43</v>
      </c>
      <c r="M205">
        <v>99</v>
      </c>
      <c r="N205">
        <v>3</v>
      </c>
      <c r="O205">
        <v>2</v>
      </c>
      <c r="P205" s="1" t="s">
        <v>47</v>
      </c>
      <c r="Q205">
        <v>4</v>
      </c>
      <c r="R205" s="1" t="s">
        <v>45</v>
      </c>
      <c r="S205">
        <v>2741</v>
      </c>
      <c r="T205">
        <v>16523</v>
      </c>
      <c r="U205">
        <v>8</v>
      </c>
      <c r="V205" s="1" t="s">
        <v>33</v>
      </c>
      <c r="W205">
        <v>15</v>
      </c>
      <c r="X205">
        <v>3</v>
      </c>
      <c r="Y205">
        <v>3</v>
      </c>
      <c r="Z205">
        <v>80</v>
      </c>
      <c r="AA205">
        <v>1</v>
      </c>
      <c r="AB205">
        <v>15</v>
      </c>
      <c r="AC205">
        <v>2</v>
      </c>
      <c r="AD205">
        <v>4</v>
      </c>
      <c r="AE205">
        <v>7</v>
      </c>
      <c r="AF205">
        <v>2</v>
      </c>
      <c r="AG205">
        <v>3</v>
      </c>
      <c r="AH205">
        <v>7</v>
      </c>
      <c r="AI205">
        <f>IF(tbl_HRData[[#This Row],[Attrition]] = "Yes",1,0)</f>
        <v>0</v>
      </c>
      <c r="AJ205">
        <f>IF(tbl_HRData[[#This Row],[Attrition]] = "No",1,0)</f>
        <v>1</v>
      </c>
      <c r="AK205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205" s="1" t="str">
        <f>IF(tbl_HRData[[#This Row],[MonthlyIncome]]&lt;5000,"Low",
IF(tbl_HRData[[#This Row],[MonthlyIncome]]&lt;10000,"Medium",
IF(tbl_HRData[[#This Row],[MonthlyIncome]]&lt;15000,"Upper Medium","High")))</f>
        <v>Low</v>
      </c>
      <c r="AM205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206" spans="1:39" x14ac:dyDescent="0.35">
      <c r="A206" s="1">
        <v>205</v>
      </c>
      <c r="B206">
        <v>38</v>
      </c>
      <c r="C206" s="1" t="s">
        <v>33</v>
      </c>
      <c r="D206" s="1" t="s">
        <v>34</v>
      </c>
      <c r="E206">
        <v>1180</v>
      </c>
      <c r="F206" s="1" t="s">
        <v>42</v>
      </c>
      <c r="G206">
        <v>29</v>
      </c>
      <c r="H206">
        <v>1</v>
      </c>
      <c r="I206" s="1" t="s">
        <v>48</v>
      </c>
      <c r="J206">
        <v>282</v>
      </c>
      <c r="K206">
        <v>2</v>
      </c>
      <c r="L206" s="1" t="s">
        <v>43</v>
      </c>
      <c r="M206">
        <v>70</v>
      </c>
      <c r="N206">
        <v>3</v>
      </c>
      <c r="O206">
        <v>2</v>
      </c>
      <c r="P206" s="1" t="s">
        <v>51</v>
      </c>
      <c r="Q206">
        <v>1</v>
      </c>
      <c r="R206" s="1" t="s">
        <v>45</v>
      </c>
      <c r="S206">
        <v>6673</v>
      </c>
      <c r="T206">
        <v>11354</v>
      </c>
      <c r="U206">
        <v>7</v>
      </c>
      <c r="V206" s="1" t="s">
        <v>33</v>
      </c>
      <c r="W206">
        <v>19</v>
      </c>
      <c r="X206">
        <v>3</v>
      </c>
      <c r="Y206">
        <v>2</v>
      </c>
      <c r="Z206">
        <v>80</v>
      </c>
      <c r="AA206">
        <v>0</v>
      </c>
      <c r="AB206">
        <v>17</v>
      </c>
      <c r="AC206">
        <v>2</v>
      </c>
      <c r="AD206">
        <v>3</v>
      </c>
      <c r="AE206">
        <v>1</v>
      </c>
      <c r="AF206">
        <v>0</v>
      </c>
      <c r="AG206">
        <v>0</v>
      </c>
      <c r="AH206">
        <v>0</v>
      </c>
      <c r="AI206">
        <f>IF(tbl_HRData[[#This Row],[Attrition]] = "Yes",1,0)</f>
        <v>1</v>
      </c>
      <c r="AJ206">
        <f>IF(tbl_HRData[[#This Row],[Attrition]] = "No",1,0)</f>
        <v>0</v>
      </c>
      <c r="AK206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206" s="1" t="str">
        <f>IF(tbl_HRData[[#This Row],[MonthlyIncome]]&lt;5000,"Low",
IF(tbl_HRData[[#This Row],[MonthlyIncome]]&lt;10000,"Medium",
IF(tbl_HRData[[#This Row],[MonthlyIncome]]&lt;15000,"Upper Medium","High")))</f>
        <v>Medium</v>
      </c>
      <c r="AM206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207" spans="1:39" x14ac:dyDescent="0.35">
      <c r="A207" s="1">
        <v>206</v>
      </c>
      <c r="B207">
        <v>29</v>
      </c>
      <c r="C207" s="1" t="s">
        <v>33</v>
      </c>
      <c r="D207" s="1" t="s">
        <v>34</v>
      </c>
      <c r="E207">
        <v>121</v>
      </c>
      <c r="F207" s="1" t="s">
        <v>35</v>
      </c>
      <c r="G207">
        <v>27</v>
      </c>
      <c r="H207">
        <v>3</v>
      </c>
      <c r="I207" s="1" t="s">
        <v>56</v>
      </c>
      <c r="J207">
        <v>283</v>
      </c>
      <c r="K207">
        <v>2</v>
      </c>
      <c r="L207" s="1" t="s">
        <v>37</v>
      </c>
      <c r="M207">
        <v>35</v>
      </c>
      <c r="N207">
        <v>3</v>
      </c>
      <c r="O207">
        <v>3</v>
      </c>
      <c r="P207" s="1" t="s">
        <v>38</v>
      </c>
      <c r="Q207">
        <v>4</v>
      </c>
      <c r="R207" s="1" t="s">
        <v>45</v>
      </c>
      <c r="S207">
        <v>7639</v>
      </c>
      <c r="T207">
        <v>24525</v>
      </c>
      <c r="U207">
        <v>1</v>
      </c>
      <c r="V207" s="1" t="s">
        <v>40</v>
      </c>
      <c r="W207">
        <v>22</v>
      </c>
      <c r="X207">
        <v>4</v>
      </c>
      <c r="Y207">
        <v>4</v>
      </c>
      <c r="Z207">
        <v>80</v>
      </c>
      <c r="AA207">
        <v>3</v>
      </c>
      <c r="AB207">
        <v>10</v>
      </c>
      <c r="AC207">
        <v>3</v>
      </c>
      <c r="AD207">
        <v>2</v>
      </c>
      <c r="AE207">
        <v>10</v>
      </c>
      <c r="AF207">
        <v>4</v>
      </c>
      <c r="AG207">
        <v>1</v>
      </c>
      <c r="AH207">
        <v>9</v>
      </c>
      <c r="AI207">
        <f>IF(tbl_HRData[[#This Row],[Attrition]] = "Yes",1,0)</f>
        <v>1</v>
      </c>
      <c r="AJ207">
        <f>IF(tbl_HRData[[#This Row],[Attrition]] = "No",1,0)</f>
        <v>0</v>
      </c>
      <c r="AK207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207" s="1" t="str">
        <f>IF(tbl_HRData[[#This Row],[MonthlyIncome]]&lt;5000,"Low",
IF(tbl_HRData[[#This Row],[MonthlyIncome]]&lt;10000,"Medium",
IF(tbl_HRData[[#This Row],[MonthlyIncome]]&lt;15000,"Upper Medium","High")))</f>
        <v>Medium</v>
      </c>
      <c r="AM207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208" spans="1:39" x14ac:dyDescent="0.35">
      <c r="A208" s="1">
        <v>207</v>
      </c>
      <c r="B208">
        <v>22</v>
      </c>
      <c r="C208" s="1" t="s">
        <v>40</v>
      </c>
      <c r="D208" s="1" t="s">
        <v>34</v>
      </c>
      <c r="E208">
        <v>1136</v>
      </c>
      <c r="F208" s="1" t="s">
        <v>42</v>
      </c>
      <c r="G208">
        <v>5</v>
      </c>
      <c r="H208">
        <v>3</v>
      </c>
      <c r="I208" s="1" t="s">
        <v>36</v>
      </c>
      <c r="J208">
        <v>284</v>
      </c>
      <c r="K208">
        <v>4</v>
      </c>
      <c r="L208" s="1" t="s">
        <v>43</v>
      </c>
      <c r="M208">
        <v>60</v>
      </c>
      <c r="N208">
        <v>4</v>
      </c>
      <c r="O208">
        <v>1</v>
      </c>
      <c r="P208" s="1" t="s">
        <v>44</v>
      </c>
      <c r="Q208">
        <v>2</v>
      </c>
      <c r="R208" s="1" t="s">
        <v>49</v>
      </c>
      <c r="S208">
        <v>2328</v>
      </c>
      <c r="T208">
        <v>12392</v>
      </c>
      <c r="U208">
        <v>1</v>
      </c>
      <c r="V208" s="1" t="s">
        <v>33</v>
      </c>
      <c r="W208">
        <v>16</v>
      </c>
      <c r="X208">
        <v>3</v>
      </c>
      <c r="Y208">
        <v>1</v>
      </c>
      <c r="Z208">
        <v>80</v>
      </c>
      <c r="AA208">
        <v>1</v>
      </c>
      <c r="AB208">
        <v>4</v>
      </c>
      <c r="AC208">
        <v>2</v>
      </c>
      <c r="AD208">
        <v>2</v>
      </c>
      <c r="AE208">
        <v>4</v>
      </c>
      <c r="AF208">
        <v>2</v>
      </c>
      <c r="AG208">
        <v>2</v>
      </c>
      <c r="AH208">
        <v>2</v>
      </c>
      <c r="AI208">
        <f>IF(tbl_HRData[[#This Row],[Attrition]] = "Yes",1,0)</f>
        <v>0</v>
      </c>
      <c r="AJ208">
        <f>IF(tbl_HRData[[#This Row],[Attrition]] = "No",1,0)</f>
        <v>1</v>
      </c>
      <c r="AK208" t="str">
        <f>IF(tbl_HRData[[#This Row],[Age]] &lt; 25, "Under 25", IF(tbl_HRData[[#This Row],[Age]] &lt;= 34, "25-34", IF(tbl_HRData[[#This Row],[Age]] &lt;= 44, "35-44", IF(tbl_HRData[[#This Row],[Age]] &lt;= 54, "45-54", "55+"))))</f>
        <v>Under 25</v>
      </c>
      <c r="AL208" s="1" t="str">
        <f>IF(tbl_HRData[[#This Row],[MonthlyIncome]]&lt;5000,"Low",
IF(tbl_HRData[[#This Row],[MonthlyIncome]]&lt;10000,"Medium",
IF(tbl_HRData[[#This Row],[MonthlyIncome]]&lt;15000,"Upper Medium","High")))</f>
        <v>Low</v>
      </c>
      <c r="AM208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209" spans="1:39" x14ac:dyDescent="0.35">
      <c r="A209" s="1">
        <v>208</v>
      </c>
      <c r="B209">
        <v>36</v>
      </c>
      <c r="C209" s="1" t="s">
        <v>40</v>
      </c>
      <c r="D209" s="1" t="s">
        <v>41</v>
      </c>
      <c r="E209">
        <v>635</v>
      </c>
      <c r="F209" s="1" t="s">
        <v>42</v>
      </c>
      <c r="G209">
        <v>18</v>
      </c>
      <c r="H209">
        <v>1</v>
      </c>
      <c r="I209" s="1" t="s">
        <v>48</v>
      </c>
      <c r="J209">
        <v>286</v>
      </c>
      <c r="K209">
        <v>2</v>
      </c>
      <c r="L209" s="1" t="s">
        <v>37</v>
      </c>
      <c r="M209">
        <v>73</v>
      </c>
      <c r="N209">
        <v>3</v>
      </c>
      <c r="O209">
        <v>1</v>
      </c>
      <c r="P209" s="1" t="s">
        <v>47</v>
      </c>
      <c r="Q209">
        <v>4</v>
      </c>
      <c r="R209" s="1" t="s">
        <v>39</v>
      </c>
      <c r="S209">
        <v>2153</v>
      </c>
      <c r="T209">
        <v>7703</v>
      </c>
      <c r="U209">
        <v>1</v>
      </c>
      <c r="V209" s="1" t="s">
        <v>40</v>
      </c>
      <c r="W209">
        <v>13</v>
      </c>
      <c r="X209">
        <v>3</v>
      </c>
      <c r="Y209">
        <v>1</v>
      </c>
      <c r="Z209">
        <v>80</v>
      </c>
      <c r="AA209">
        <v>0</v>
      </c>
      <c r="AB209">
        <v>8</v>
      </c>
      <c r="AC209">
        <v>2</v>
      </c>
      <c r="AD209">
        <v>3</v>
      </c>
      <c r="AE209">
        <v>8</v>
      </c>
      <c r="AF209">
        <v>1</v>
      </c>
      <c r="AG209">
        <v>1</v>
      </c>
      <c r="AH209">
        <v>7</v>
      </c>
      <c r="AI209">
        <f>IF(tbl_HRData[[#This Row],[Attrition]] = "Yes",1,0)</f>
        <v>0</v>
      </c>
      <c r="AJ209">
        <f>IF(tbl_HRData[[#This Row],[Attrition]] = "No",1,0)</f>
        <v>1</v>
      </c>
      <c r="AK209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209" s="1" t="str">
        <f>IF(tbl_HRData[[#This Row],[MonthlyIncome]]&lt;5000,"Low",
IF(tbl_HRData[[#This Row],[MonthlyIncome]]&lt;10000,"Medium",
IF(tbl_HRData[[#This Row],[MonthlyIncome]]&lt;15000,"Upper Medium","High")))</f>
        <v>Low</v>
      </c>
      <c r="AM209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210" spans="1:39" x14ac:dyDescent="0.35">
      <c r="A210" s="1">
        <v>209</v>
      </c>
      <c r="B210">
        <v>40</v>
      </c>
      <c r="C210" s="1" t="s">
        <v>40</v>
      </c>
      <c r="D210" s="1" t="s">
        <v>52</v>
      </c>
      <c r="E210">
        <v>1151</v>
      </c>
      <c r="F210" s="1" t="s">
        <v>42</v>
      </c>
      <c r="G210">
        <v>9</v>
      </c>
      <c r="H210">
        <v>5</v>
      </c>
      <c r="I210" s="1" t="s">
        <v>36</v>
      </c>
      <c r="J210">
        <v>287</v>
      </c>
      <c r="K210">
        <v>4</v>
      </c>
      <c r="L210" s="1" t="s">
        <v>43</v>
      </c>
      <c r="M210">
        <v>63</v>
      </c>
      <c r="N210">
        <v>2</v>
      </c>
      <c r="O210">
        <v>2</v>
      </c>
      <c r="P210" s="1" t="s">
        <v>51</v>
      </c>
      <c r="Q210">
        <v>4</v>
      </c>
      <c r="R210" s="1" t="s">
        <v>45</v>
      </c>
      <c r="S210">
        <v>4876</v>
      </c>
      <c r="T210">
        <v>14242</v>
      </c>
      <c r="U210">
        <v>9</v>
      </c>
      <c r="V210" s="1" t="s">
        <v>40</v>
      </c>
      <c r="W210">
        <v>14</v>
      </c>
      <c r="X210">
        <v>3</v>
      </c>
      <c r="Y210">
        <v>4</v>
      </c>
      <c r="Z210">
        <v>80</v>
      </c>
      <c r="AA210">
        <v>1</v>
      </c>
      <c r="AB210">
        <v>5</v>
      </c>
      <c r="AC210">
        <v>5</v>
      </c>
      <c r="AD210">
        <v>1</v>
      </c>
      <c r="AE210">
        <v>3</v>
      </c>
      <c r="AF210">
        <v>2</v>
      </c>
      <c r="AG210">
        <v>0</v>
      </c>
      <c r="AH210">
        <v>2</v>
      </c>
      <c r="AI210">
        <f>IF(tbl_HRData[[#This Row],[Attrition]] = "Yes",1,0)</f>
        <v>0</v>
      </c>
      <c r="AJ210">
        <f>IF(tbl_HRData[[#This Row],[Attrition]] = "No",1,0)</f>
        <v>1</v>
      </c>
      <c r="AK210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210" s="1" t="str">
        <f>IF(tbl_HRData[[#This Row],[MonthlyIncome]]&lt;5000,"Low",
IF(tbl_HRData[[#This Row],[MonthlyIncome]]&lt;10000,"Medium",
IF(tbl_HRData[[#This Row],[MonthlyIncome]]&lt;15000,"Upper Medium","High")))</f>
        <v>Low</v>
      </c>
      <c r="AM210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211" spans="1:39" x14ac:dyDescent="0.35">
      <c r="A211" s="1">
        <v>210</v>
      </c>
      <c r="B211">
        <v>46</v>
      </c>
      <c r="C211" s="1" t="s">
        <v>40</v>
      </c>
      <c r="D211" s="1" t="s">
        <v>34</v>
      </c>
      <c r="E211">
        <v>644</v>
      </c>
      <c r="F211" s="1" t="s">
        <v>42</v>
      </c>
      <c r="G211">
        <v>1</v>
      </c>
      <c r="H211">
        <v>4</v>
      </c>
      <c r="I211" s="1" t="s">
        <v>48</v>
      </c>
      <c r="J211">
        <v>288</v>
      </c>
      <c r="K211">
        <v>4</v>
      </c>
      <c r="L211" s="1" t="s">
        <v>43</v>
      </c>
      <c r="M211">
        <v>97</v>
      </c>
      <c r="N211">
        <v>3</v>
      </c>
      <c r="O211">
        <v>3</v>
      </c>
      <c r="P211" s="1" t="s">
        <v>51</v>
      </c>
      <c r="Q211">
        <v>1</v>
      </c>
      <c r="R211" s="1" t="s">
        <v>49</v>
      </c>
      <c r="S211">
        <v>9396</v>
      </c>
      <c r="T211">
        <v>12368</v>
      </c>
      <c r="U211">
        <v>7</v>
      </c>
      <c r="V211" s="1" t="s">
        <v>40</v>
      </c>
      <c r="W211">
        <v>16</v>
      </c>
      <c r="X211">
        <v>3</v>
      </c>
      <c r="Y211">
        <v>3</v>
      </c>
      <c r="Z211">
        <v>80</v>
      </c>
      <c r="AA211">
        <v>1</v>
      </c>
      <c r="AB211">
        <v>17</v>
      </c>
      <c r="AC211">
        <v>3</v>
      </c>
      <c r="AD211">
        <v>3</v>
      </c>
      <c r="AE211">
        <v>4</v>
      </c>
      <c r="AF211">
        <v>2</v>
      </c>
      <c r="AG211">
        <v>0</v>
      </c>
      <c r="AH211">
        <v>3</v>
      </c>
      <c r="AI211">
        <f>IF(tbl_HRData[[#This Row],[Attrition]] = "Yes",1,0)</f>
        <v>0</v>
      </c>
      <c r="AJ211">
        <f>IF(tbl_HRData[[#This Row],[Attrition]] = "No",1,0)</f>
        <v>1</v>
      </c>
      <c r="AK211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211" s="1" t="str">
        <f>IF(tbl_HRData[[#This Row],[MonthlyIncome]]&lt;5000,"Low",
IF(tbl_HRData[[#This Row],[MonthlyIncome]]&lt;10000,"Medium",
IF(tbl_HRData[[#This Row],[MonthlyIncome]]&lt;15000,"Upper Medium","High")))</f>
        <v>Medium</v>
      </c>
      <c r="AM211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212" spans="1:39" x14ac:dyDescent="0.35">
      <c r="A212" s="1">
        <v>211</v>
      </c>
      <c r="B212">
        <v>32</v>
      </c>
      <c r="C212" s="1" t="s">
        <v>33</v>
      </c>
      <c r="D212" s="1" t="s">
        <v>34</v>
      </c>
      <c r="E212">
        <v>1045</v>
      </c>
      <c r="F212" s="1" t="s">
        <v>35</v>
      </c>
      <c r="G212">
        <v>4</v>
      </c>
      <c r="H212">
        <v>4</v>
      </c>
      <c r="I212" s="1" t="s">
        <v>48</v>
      </c>
      <c r="J212">
        <v>291</v>
      </c>
      <c r="K212">
        <v>4</v>
      </c>
      <c r="L212" s="1" t="s">
        <v>43</v>
      </c>
      <c r="M212">
        <v>32</v>
      </c>
      <c r="N212">
        <v>1</v>
      </c>
      <c r="O212">
        <v>3</v>
      </c>
      <c r="P212" s="1" t="s">
        <v>38</v>
      </c>
      <c r="Q212">
        <v>4</v>
      </c>
      <c r="R212" s="1" t="s">
        <v>45</v>
      </c>
      <c r="S212">
        <v>10400</v>
      </c>
      <c r="T212">
        <v>25812</v>
      </c>
      <c r="U212">
        <v>1</v>
      </c>
      <c r="V212" s="1" t="s">
        <v>40</v>
      </c>
      <c r="W212">
        <v>11</v>
      </c>
      <c r="X212">
        <v>3</v>
      </c>
      <c r="Y212">
        <v>3</v>
      </c>
      <c r="Z212">
        <v>80</v>
      </c>
      <c r="AA212">
        <v>0</v>
      </c>
      <c r="AB212">
        <v>14</v>
      </c>
      <c r="AC212">
        <v>2</v>
      </c>
      <c r="AD212">
        <v>2</v>
      </c>
      <c r="AE212">
        <v>14</v>
      </c>
      <c r="AF212">
        <v>8</v>
      </c>
      <c r="AG212">
        <v>9</v>
      </c>
      <c r="AH212">
        <v>8</v>
      </c>
      <c r="AI212">
        <f>IF(tbl_HRData[[#This Row],[Attrition]] = "Yes",1,0)</f>
        <v>1</v>
      </c>
      <c r="AJ212">
        <f>IF(tbl_HRData[[#This Row],[Attrition]] = "No",1,0)</f>
        <v>0</v>
      </c>
      <c r="AK212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212" s="1" t="str">
        <f>IF(tbl_HRData[[#This Row],[MonthlyIncome]]&lt;5000,"Low",
IF(tbl_HRData[[#This Row],[MonthlyIncome]]&lt;10000,"Medium",
IF(tbl_HRData[[#This Row],[MonthlyIncome]]&lt;15000,"Upper Medium","High")))</f>
        <v>Upper Medium</v>
      </c>
      <c r="AM212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213" spans="1:39" x14ac:dyDescent="0.35">
      <c r="A213" s="1">
        <v>212</v>
      </c>
      <c r="B213">
        <v>30</v>
      </c>
      <c r="C213" s="1" t="s">
        <v>40</v>
      </c>
      <c r="D213" s="1" t="s">
        <v>52</v>
      </c>
      <c r="E213">
        <v>829</v>
      </c>
      <c r="F213" s="1" t="s">
        <v>42</v>
      </c>
      <c r="G213">
        <v>1</v>
      </c>
      <c r="H213">
        <v>1</v>
      </c>
      <c r="I213" s="1" t="s">
        <v>36</v>
      </c>
      <c r="J213">
        <v>292</v>
      </c>
      <c r="K213">
        <v>3</v>
      </c>
      <c r="L213" s="1" t="s">
        <v>43</v>
      </c>
      <c r="M213">
        <v>88</v>
      </c>
      <c r="N213">
        <v>2</v>
      </c>
      <c r="O213">
        <v>3</v>
      </c>
      <c r="P213" s="1" t="s">
        <v>50</v>
      </c>
      <c r="Q213">
        <v>3</v>
      </c>
      <c r="R213" s="1" t="s">
        <v>39</v>
      </c>
      <c r="S213">
        <v>8474</v>
      </c>
      <c r="T213">
        <v>20925</v>
      </c>
      <c r="U213">
        <v>1</v>
      </c>
      <c r="V213" s="1" t="s">
        <v>40</v>
      </c>
      <c r="W213">
        <v>22</v>
      </c>
      <c r="X213">
        <v>4</v>
      </c>
      <c r="Y213">
        <v>3</v>
      </c>
      <c r="Z213">
        <v>80</v>
      </c>
      <c r="AA213">
        <v>0</v>
      </c>
      <c r="AB213">
        <v>12</v>
      </c>
      <c r="AC213">
        <v>2</v>
      </c>
      <c r="AD213">
        <v>3</v>
      </c>
      <c r="AE213">
        <v>11</v>
      </c>
      <c r="AF213">
        <v>8</v>
      </c>
      <c r="AG213">
        <v>5</v>
      </c>
      <c r="AH213">
        <v>8</v>
      </c>
      <c r="AI213">
        <f>IF(tbl_HRData[[#This Row],[Attrition]] = "Yes",1,0)</f>
        <v>0</v>
      </c>
      <c r="AJ213">
        <f>IF(tbl_HRData[[#This Row],[Attrition]] = "No",1,0)</f>
        <v>1</v>
      </c>
      <c r="AK213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213" s="1" t="str">
        <f>IF(tbl_HRData[[#This Row],[MonthlyIncome]]&lt;5000,"Low",
IF(tbl_HRData[[#This Row],[MonthlyIncome]]&lt;10000,"Medium",
IF(tbl_HRData[[#This Row],[MonthlyIncome]]&lt;15000,"Upper Medium","High")))</f>
        <v>Medium</v>
      </c>
      <c r="AM213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214" spans="1:39" x14ac:dyDescent="0.35">
      <c r="A214" s="1">
        <v>213</v>
      </c>
      <c r="B214">
        <v>27</v>
      </c>
      <c r="C214" s="1" t="s">
        <v>40</v>
      </c>
      <c r="D214" s="1" t="s">
        <v>41</v>
      </c>
      <c r="E214">
        <v>1242</v>
      </c>
      <c r="F214" s="1" t="s">
        <v>35</v>
      </c>
      <c r="G214">
        <v>20</v>
      </c>
      <c r="H214">
        <v>3</v>
      </c>
      <c r="I214" s="1" t="s">
        <v>36</v>
      </c>
      <c r="J214">
        <v>293</v>
      </c>
      <c r="K214">
        <v>4</v>
      </c>
      <c r="L214" s="1" t="s">
        <v>37</v>
      </c>
      <c r="M214">
        <v>90</v>
      </c>
      <c r="N214">
        <v>3</v>
      </c>
      <c r="O214">
        <v>2</v>
      </c>
      <c r="P214" s="1" t="s">
        <v>38</v>
      </c>
      <c r="Q214">
        <v>3</v>
      </c>
      <c r="R214" s="1" t="s">
        <v>39</v>
      </c>
      <c r="S214">
        <v>9981</v>
      </c>
      <c r="T214">
        <v>12916</v>
      </c>
      <c r="U214">
        <v>1</v>
      </c>
      <c r="V214" s="1" t="s">
        <v>40</v>
      </c>
      <c r="W214">
        <v>14</v>
      </c>
      <c r="X214">
        <v>3</v>
      </c>
      <c r="Y214">
        <v>4</v>
      </c>
      <c r="Z214">
        <v>80</v>
      </c>
      <c r="AA214">
        <v>0</v>
      </c>
      <c r="AB214">
        <v>7</v>
      </c>
      <c r="AC214">
        <v>2</v>
      </c>
      <c r="AD214">
        <v>3</v>
      </c>
      <c r="AE214">
        <v>7</v>
      </c>
      <c r="AF214">
        <v>7</v>
      </c>
      <c r="AG214">
        <v>0</v>
      </c>
      <c r="AH214">
        <v>7</v>
      </c>
      <c r="AI214">
        <f>IF(tbl_HRData[[#This Row],[Attrition]] = "Yes",1,0)</f>
        <v>0</v>
      </c>
      <c r="AJ214">
        <f>IF(tbl_HRData[[#This Row],[Attrition]] = "No",1,0)</f>
        <v>1</v>
      </c>
      <c r="AK214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214" s="1" t="str">
        <f>IF(tbl_HRData[[#This Row],[MonthlyIncome]]&lt;5000,"Low",
IF(tbl_HRData[[#This Row],[MonthlyIncome]]&lt;10000,"Medium",
IF(tbl_HRData[[#This Row],[MonthlyIncome]]&lt;15000,"Upper Medium","High")))</f>
        <v>Medium</v>
      </c>
      <c r="AM214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215" spans="1:39" x14ac:dyDescent="0.35">
      <c r="A215" s="1">
        <v>214</v>
      </c>
      <c r="B215">
        <v>51</v>
      </c>
      <c r="C215" s="1" t="s">
        <v>40</v>
      </c>
      <c r="D215" s="1" t="s">
        <v>34</v>
      </c>
      <c r="E215">
        <v>1469</v>
      </c>
      <c r="F215" s="1" t="s">
        <v>42</v>
      </c>
      <c r="G215">
        <v>8</v>
      </c>
      <c r="H215">
        <v>4</v>
      </c>
      <c r="I215" s="1" t="s">
        <v>36</v>
      </c>
      <c r="J215">
        <v>296</v>
      </c>
      <c r="K215">
        <v>2</v>
      </c>
      <c r="L215" s="1" t="s">
        <v>43</v>
      </c>
      <c r="M215">
        <v>81</v>
      </c>
      <c r="N215">
        <v>2</v>
      </c>
      <c r="O215">
        <v>3</v>
      </c>
      <c r="P215" s="1" t="s">
        <v>55</v>
      </c>
      <c r="Q215">
        <v>2</v>
      </c>
      <c r="R215" s="1" t="s">
        <v>45</v>
      </c>
      <c r="S215">
        <v>12490</v>
      </c>
      <c r="T215">
        <v>15736</v>
      </c>
      <c r="U215">
        <v>5</v>
      </c>
      <c r="V215" s="1" t="s">
        <v>40</v>
      </c>
      <c r="W215">
        <v>16</v>
      </c>
      <c r="X215">
        <v>3</v>
      </c>
      <c r="Y215">
        <v>4</v>
      </c>
      <c r="Z215">
        <v>80</v>
      </c>
      <c r="AA215">
        <v>2</v>
      </c>
      <c r="AB215">
        <v>16</v>
      </c>
      <c r="AC215">
        <v>5</v>
      </c>
      <c r="AD215">
        <v>1</v>
      </c>
      <c r="AE215">
        <v>10</v>
      </c>
      <c r="AF215">
        <v>9</v>
      </c>
      <c r="AG215">
        <v>4</v>
      </c>
      <c r="AH215">
        <v>7</v>
      </c>
      <c r="AI215">
        <f>IF(tbl_HRData[[#This Row],[Attrition]] = "Yes",1,0)</f>
        <v>0</v>
      </c>
      <c r="AJ215">
        <f>IF(tbl_HRData[[#This Row],[Attrition]] = "No",1,0)</f>
        <v>1</v>
      </c>
      <c r="AK215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215" s="1" t="str">
        <f>IF(tbl_HRData[[#This Row],[MonthlyIncome]]&lt;5000,"Low",
IF(tbl_HRData[[#This Row],[MonthlyIncome]]&lt;10000,"Medium",
IF(tbl_HRData[[#This Row],[MonthlyIncome]]&lt;15000,"Upper Medium","High")))</f>
        <v>Upper Medium</v>
      </c>
      <c r="AM215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216" spans="1:39" x14ac:dyDescent="0.35">
      <c r="A216" s="1">
        <v>215</v>
      </c>
      <c r="B216">
        <v>30</v>
      </c>
      <c r="C216" s="1" t="s">
        <v>33</v>
      </c>
      <c r="D216" s="1" t="s">
        <v>34</v>
      </c>
      <c r="E216">
        <v>1005</v>
      </c>
      <c r="F216" s="1" t="s">
        <v>42</v>
      </c>
      <c r="G216">
        <v>3</v>
      </c>
      <c r="H216">
        <v>3</v>
      </c>
      <c r="I216" s="1" t="s">
        <v>57</v>
      </c>
      <c r="J216">
        <v>297</v>
      </c>
      <c r="K216">
        <v>4</v>
      </c>
      <c r="L216" s="1" t="s">
        <v>37</v>
      </c>
      <c r="M216">
        <v>88</v>
      </c>
      <c r="N216">
        <v>3</v>
      </c>
      <c r="O216">
        <v>1</v>
      </c>
      <c r="P216" s="1" t="s">
        <v>44</v>
      </c>
      <c r="Q216">
        <v>1</v>
      </c>
      <c r="R216" s="1" t="s">
        <v>39</v>
      </c>
      <c r="S216">
        <v>2657</v>
      </c>
      <c r="T216">
        <v>8556</v>
      </c>
      <c r="U216">
        <v>5</v>
      </c>
      <c r="V216" s="1" t="s">
        <v>33</v>
      </c>
      <c r="W216">
        <v>11</v>
      </c>
      <c r="X216">
        <v>3</v>
      </c>
      <c r="Y216">
        <v>3</v>
      </c>
      <c r="Z216">
        <v>80</v>
      </c>
      <c r="AA216">
        <v>0</v>
      </c>
      <c r="AB216">
        <v>8</v>
      </c>
      <c r="AC216">
        <v>5</v>
      </c>
      <c r="AD216">
        <v>3</v>
      </c>
      <c r="AE216">
        <v>5</v>
      </c>
      <c r="AF216">
        <v>2</v>
      </c>
      <c r="AG216">
        <v>0</v>
      </c>
      <c r="AH216">
        <v>4</v>
      </c>
      <c r="AI216">
        <f>IF(tbl_HRData[[#This Row],[Attrition]] = "Yes",1,0)</f>
        <v>1</v>
      </c>
      <c r="AJ216">
        <f>IF(tbl_HRData[[#This Row],[Attrition]] = "No",1,0)</f>
        <v>0</v>
      </c>
      <c r="AK216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216" s="1" t="str">
        <f>IF(tbl_HRData[[#This Row],[MonthlyIncome]]&lt;5000,"Low",
IF(tbl_HRData[[#This Row],[MonthlyIncome]]&lt;10000,"Medium",
IF(tbl_HRData[[#This Row],[MonthlyIncome]]&lt;15000,"Upper Medium","High")))</f>
        <v>Low</v>
      </c>
      <c r="AM216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217" spans="1:39" x14ac:dyDescent="0.35">
      <c r="A217" s="1">
        <v>216</v>
      </c>
      <c r="B217">
        <v>41</v>
      </c>
      <c r="C217" s="1" t="s">
        <v>40</v>
      </c>
      <c r="D217" s="1" t="s">
        <v>34</v>
      </c>
      <c r="E217">
        <v>896</v>
      </c>
      <c r="F217" s="1" t="s">
        <v>35</v>
      </c>
      <c r="G217">
        <v>6</v>
      </c>
      <c r="H217">
        <v>3</v>
      </c>
      <c r="I217" s="1" t="s">
        <v>36</v>
      </c>
      <c r="J217">
        <v>298</v>
      </c>
      <c r="K217">
        <v>4</v>
      </c>
      <c r="L217" s="1" t="s">
        <v>37</v>
      </c>
      <c r="M217">
        <v>75</v>
      </c>
      <c r="N217">
        <v>3</v>
      </c>
      <c r="O217">
        <v>3</v>
      </c>
      <c r="P217" s="1" t="s">
        <v>53</v>
      </c>
      <c r="Q217">
        <v>4</v>
      </c>
      <c r="R217" s="1" t="s">
        <v>39</v>
      </c>
      <c r="S217">
        <v>13591</v>
      </c>
      <c r="T217">
        <v>14674</v>
      </c>
      <c r="U217">
        <v>3</v>
      </c>
      <c r="V217" s="1" t="s">
        <v>33</v>
      </c>
      <c r="W217">
        <v>18</v>
      </c>
      <c r="X217">
        <v>3</v>
      </c>
      <c r="Y217">
        <v>3</v>
      </c>
      <c r="Z217">
        <v>80</v>
      </c>
      <c r="AA217">
        <v>0</v>
      </c>
      <c r="AB217">
        <v>16</v>
      </c>
      <c r="AC217">
        <v>3</v>
      </c>
      <c r="AD217">
        <v>3</v>
      </c>
      <c r="AE217">
        <v>1</v>
      </c>
      <c r="AF217">
        <v>0</v>
      </c>
      <c r="AG217">
        <v>0</v>
      </c>
      <c r="AH217">
        <v>0</v>
      </c>
      <c r="AI217">
        <f>IF(tbl_HRData[[#This Row],[Attrition]] = "Yes",1,0)</f>
        <v>0</v>
      </c>
      <c r="AJ217">
        <f>IF(tbl_HRData[[#This Row],[Attrition]] = "No",1,0)</f>
        <v>1</v>
      </c>
      <c r="AK217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217" s="1" t="str">
        <f>IF(tbl_HRData[[#This Row],[MonthlyIncome]]&lt;5000,"Low",
IF(tbl_HRData[[#This Row],[MonthlyIncome]]&lt;10000,"Medium",
IF(tbl_HRData[[#This Row],[MonthlyIncome]]&lt;15000,"Upper Medium","High")))</f>
        <v>Upper Medium</v>
      </c>
      <c r="AM217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218" spans="1:39" x14ac:dyDescent="0.35">
      <c r="A218" s="1">
        <v>217</v>
      </c>
      <c r="B218">
        <v>30</v>
      </c>
      <c r="C218" s="1" t="s">
        <v>33</v>
      </c>
      <c r="D218" s="1" t="s">
        <v>41</v>
      </c>
      <c r="E218">
        <v>334</v>
      </c>
      <c r="F218" s="1" t="s">
        <v>35</v>
      </c>
      <c r="G218">
        <v>26</v>
      </c>
      <c r="H218">
        <v>4</v>
      </c>
      <c r="I218" s="1" t="s">
        <v>56</v>
      </c>
      <c r="J218">
        <v>299</v>
      </c>
      <c r="K218">
        <v>3</v>
      </c>
      <c r="L218" s="1" t="s">
        <v>37</v>
      </c>
      <c r="M218">
        <v>52</v>
      </c>
      <c r="N218">
        <v>2</v>
      </c>
      <c r="O218">
        <v>2</v>
      </c>
      <c r="P218" s="1" t="s">
        <v>38</v>
      </c>
      <c r="Q218">
        <v>1</v>
      </c>
      <c r="R218" s="1" t="s">
        <v>39</v>
      </c>
      <c r="S218">
        <v>6696</v>
      </c>
      <c r="T218">
        <v>22967</v>
      </c>
      <c r="U218">
        <v>5</v>
      </c>
      <c r="V218" s="1" t="s">
        <v>40</v>
      </c>
      <c r="W218">
        <v>15</v>
      </c>
      <c r="X218">
        <v>3</v>
      </c>
      <c r="Y218">
        <v>3</v>
      </c>
      <c r="Z218">
        <v>80</v>
      </c>
      <c r="AA218">
        <v>0</v>
      </c>
      <c r="AB218">
        <v>9</v>
      </c>
      <c r="AC218">
        <v>5</v>
      </c>
      <c r="AD218">
        <v>2</v>
      </c>
      <c r="AE218">
        <v>6</v>
      </c>
      <c r="AF218">
        <v>3</v>
      </c>
      <c r="AG218">
        <v>0</v>
      </c>
      <c r="AH218">
        <v>1</v>
      </c>
      <c r="AI218">
        <f>IF(tbl_HRData[[#This Row],[Attrition]] = "Yes",1,0)</f>
        <v>1</v>
      </c>
      <c r="AJ218">
        <f>IF(tbl_HRData[[#This Row],[Attrition]] = "No",1,0)</f>
        <v>0</v>
      </c>
      <c r="AK218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218" s="1" t="str">
        <f>IF(tbl_HRData[[#This Row],[MonthlyIncome]]&lt;5000,"Low",
IF(tbl_HRData[[#This Row],[MonthlyIncome]]&lt;10000,"Medium",
IF(tbl_HRData[[#This Row],[MonthlyIncome]]&lt;15000,"Upper Medium","High")))</f>
        <v>Medium</v>
      </c>
      <c r="AM218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219" spans="1:39" x14ac:dyDescent="0.35">
      <c r="A219" s="1">
        <v>218</v>
      </c>
      <c r="B219">
        <v>29</v>
      </c>
      <c r="C219" s="1" t="s">
        <v>33</v>
      </c>
      <c r="D219" s="1" t="s">
        <v>34</v>
      </c>
      <c r="E219">
        <v>992</v>
      </c>
      <c r="F219" s="1" t="s">
        <v>42</v>
      </c>
      <c r="G219">
        <v>1</v>
      </c>
      <c r="H219">
        <v>3</v>
      </c>
      <c r="I219" s="1" t="s">
        <v>57</v>
      </c>
      <c r="J219">
        <v>300</v>
      </c>
      <c r="K219">
        <v>3</v>
      </c>
      <c r="L219" s="1" t="s">
        <v>43</v>
      </c>
      <c r="M219">
        <v>85</v>
      </c>
      <c r="N219">
        <v>3</v>
      </c>
      <c r="O219">
        <v>1</v>
      </c>
      <c r="P219" s="1" t="s">
        <v>44</v>
      </c>
      <c r="Q219">
        <v>3</v>
      </c>
      <c r="R219" s="1" t="s">
        <v>39</v>
      </c>
      <c r="S219">
        <v>2058</v>
      </c>
      <c r="T219">
        <v>19757</v>
      </c>
      <c r="U219">
        <v>0</v>
      </c>
      <c r="V219" s="1" t="s">
        <v>40</v>
      </c>
      <c r="W219">
        <v>14</v>
      </c>
      <c r="X219">
        <v>3</v>
      </c>
      <c r="Y219">
        <v>4</v>
      </c>
      <c r="Z219">
        <v>80</v>
      </c>
      <c r="AA219">
        <v>0</v>
      </c>
      <c r="AB219">
        <v>7</v>
      </c>
      <c r="AC219">
        <v>1</v>
      </c>
      <c r="AD219">
        <v>2</v>
      </c>
      <c r="AE219">
        <v>6</v>
      </c>
      <c r="AF219">
        <v>2</v>
      </c>
      <c r="AG219">
        <v>1</v>
      </c>
      <c r="AH219">
        <v>5</v>
      </c>
      <c r="AI219">
        <f>IF(tbl_HRData[[#This Row],[Attrition]] = "Yes",1,0)</f>
        <v>1</v>
      </c>
      <c r="AJ219">
        <f>IF(tbl_HRData[[#This Row],[Attrition]] = "No",1,0)</f>
        <v>0</v>
      </c>
      <c r="AK219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219" s="1" t="str">
        <f>IF(tbl_HRData[[#This Row],[MonthlyIncome]]&lt;5000,"Low",
IF(tbl_HRData[[#This Row],[MonthlyIncome]]&lt;10000,"Medium",
IF(tbl_HRData[[#This Row],[MonthlyIncome]]&lt;15000,"Upper Medium","High")))</f>
        <v>Low</v>
      </c>
      <c r="AM219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220" spans="1:39" x14ac:dyDescent="0.35">
      <c r="A220" s="1">
        <v>219</v>
      </c>
      <c r="B220">
        <v>45</v>
      </c>
      <c r="C220" s="1" t="s">
        <v>40</v>
      </c>
      <c r="D220" s="1" t="s">
        <v>52</v>
      </c>
      <c r="E220">
        <v>1052</v>
      </c>
      <c r="F220" s="1" t="s">
        <v>35</v>
      </c>
      <c r="G220">
        <v>6</v>
      </c>
      <c r="H220">
        <v>3</v>
      </c>
      <c r="I220" s="1" t="s">
        <v>48</v>
      </c>
      <c r="J220">
        <v>302</v>
      </c>
      <c r="K220">
        <v>4</v>
      </c>
      <c r="L220" s="1" t="s">
        <v>37</v>
      </c>
      <c r="M220">
        <v>57</v>
      </c>
      <c r="N220">
        <v>2</v>
      </c>
      <c r="O220">
        <v>3</v>
      </c>
      <c r="P220" s="1" t="s">
        <v>38</v>
      </c>
      <c r="Q220">
        <v>4</v>
      </c>
      <c r="R220" s="1" t="s">
        <v>39</v>
      </c>
      <c r="S220">
        <v>8865</v>
      </c>
      <c r="T220">
        <v>16840</v>
      </c>
      <c r="U220">
        <v>6</v>
      </c>
      <c r="V220" s="1" t="s">
        <v>40</v>
      </c>
      <c r="W220">
        <v>12</v>
      </c>
      <c r="X220">
        <v>3</v>
      </c>
      <c r="Y220">
        <v>4</v>
      </c>
      <c r="Z220">
        <v>80</v>
      </c>
      <c r="AA220">
        <v>0</v>
      </c>
      <c r="AB220">
        <v>23</v>
      </c>
      <c r="AC220">
        <v>2</v>
      </c>
      <c r="AD220">
        <v>3</v>
      </c>
      <c r="AE220">
        <v>19</v>
      </c>
      <c r="AF220">
        <v>7</v>
      </c>
      <c r="AG220">
        <v>12</v>
      </c>
      <c r="AH220">
        <v>8</v>
      </c>
      <c r="AI220">
        <f>IF(tbl_HRData[[#This Row],[Attrition]] = "Yes",1,0)</f>
        <v>0</v>
      </c>
      <c r="AJ220">
        <f>IF(tbl_HRData[[#This Row],[Attrition]] = "No",1,0)</f>
        <v>1</v>
      </c>
      <c r="AK220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220" s="1" t="str">
        <f>IF(tbl_HRData[[#This Row],[MonthlyIncome]]&lt;5000,"Low",
IF(tbl_HRData[[#This Row],[MonthlyIncome]]&lt;10000,"Medium",
IF(tbl_HRData[[#This Row],[MonthlyIncome]]&lt;15000,"Upper Medium","High")))</f>
        <v>Medium</v>
      </c>
      <c r="AM220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221" spans="1:39" x14ac:dyDescent="0.35">
      <c r="A221" s="1">
        <v>220</v>
      </c>
      <c r="B221">
        <v>54</v>
      </c>
      <c r="C221" s="1" t="s">
        <v>40</v>
      </c>
      <c r="D221" s="1" t="s">
        <v>34</v>
      </c>
      <c r="E221">
        <v>1147</v>
      </c>
      <c r="F221" s="1" t="s">
        <v>35</v>
      </c>
      <c r="G221">
        <v>3</v>
      </c>
      <c r="H221">
        <v>3</v>
      </c>
      <c r="I221" s="1" t="s">
        <v>56</v>
      </c>
      <c r="J221">
        <v>303</v>
      </c>
      <c r="K221">
        <v>4</v>
      </c>
      <c r="L221" s="1" t="s">
        <v>37</v>
      </c>
      <c r="M221">
        <v>52</v>
      </c>
      <c r="N221">
        <v>3</v>
      </c>
      <c r="O221">
        <v>2</v>
      </c>
      <c r="P221" s="1" t="s">
        <v>38</v>
      </c>
      <c r="Q221">
        <v>1</v>
      </c>
      <c r="R221" s="1" t="s">
        <v>45</v>
      </c>
      <c r="S221">
        <v>5940</v>
      </c>
      <c r="T221">
        <v>17011</v>
      </c>
      <c r="U221">
        <v>2</v>
      </c>
      <c r="V221" s="1" t="s">
        <v>40</v>
      </c>
      <c r="W221">
        <v>14</v>
      </c>
      <c r="X221">
        <v>3</v>
      </c>
      <c r="Y221">
        <v>4</v>
      </c>
      <c r="Z221">
        <v>80</v>
      </c>
      <c r="AA221">
        <v>1</v>
      </c>
      <c r="AB221">
        <v>16</v>
      </c>
      <c r="AC221">
        <v>4</v>
      </c>
      <c r="AD221">
        <v>3</v>
      </c>
      <c r="AE221">
        <v>6</v>
      </c>
      <c r="AF221">
        <v>2</v>
      </c>
      <c r="AG221">
        <v>0</v>
      </c>
      <c r="AH221">
        <v>5</v>
      </c>
      <c r="AI221">
        <f>IF(tbl_HRData[[#This Row],[Attrition]] = "Yes",1,0)</f>
        <v>0</v>
      </c>
      <c r="AJ221">
        <f>IF(tbl_HRData[[#This Row],[Attrition]] = "No",1,0)</f>
        <v>1</v>
      </c>
      <c r="AK221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221" s="1" t="str">
        <f>IF(tbl_HRData[[#This Row],[MonthlyIncome]]&lt;5000,"Low",
IF(tbl_HRData[[#This Row],[MonthlyIncome]]&lt;10000,"Medium",
IF(tbl_HRData[[#This Row],[MonthlyIncome]]&lt;15000,"Upper Medium","High")))</f>
        <v>Medium</v>
      </c>
      <c r="AM221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222" spans="1:39" x14ac:dyDescent="0.35">
      <c r="A222" s="1">
        <v>221</v>
      </c>
      <c r="B222">
        <v>36</v>
      </c>
      <c r="C222" s="1" t="s">
        <v>40</v>
      </c>
      <c r="D222" s="1" t="s">
        <v>34</v>
      </c>
      <c r="E222">
        <v>1396</v>
      </c>
      <c r="F222" s="1" t="s">
        <v>42</v>
      </c>
      <c r="G222">
        <v>5</v>
      </c>
      <c r="H222">
        <v>2</v>
      </c>
      <c r="I222" s="1" t="s">
        <v>36</v>
      </c>
      <c r="J222">
        <v>304</v>
      </c>
      <c r="K222">
        <v>4</v>
      </c>
      <c r="L222" s="1" t="s">
        <v>43</v>
      </c>
      <c r="M222">
        <v>62</v>
      </c>
      <c r="N222">
        <v>3</v>
      </c>
      <c r="O222">
        <v>2</v>
      </c>
      <c r="P222" s="1" t="s">
        <v>47</v>
      </c>
      <c r="Q222">
        <v>2</v>
      </c>
      <c r="R222" s="1" t="s">
        <v>39</v>
      </c>
      <c r="S222">
        <v>5914</v>
      </c>
      <c r="T222">
        <v>9945</v>
      </c>
      <c r="U222">
        <v>8</v>
      </c>
      <c r="V222" s="1" t="s">
        <v>40</v>
      </c>
      <c r="W222">
        <v>16</v>
      </c>
      <c r="X222">
        <v>3</v>
      </c>
      <c r="Y222">
        <v>4</v>
      </c>
      <c r="Z222">
        <v>80</v>
      </c>
      <c r="AA222">
        <v>0</v>
      </c>
      <c r="AB222">
        <v>16</v>
      </c>
      <c r="AC222">
        <v>3</v>
      </c>
      <c r="AD222">
        <v>4</v>
      </c>
      <c r="AE222">
        <v>13</v>
      </c>
      <c r="AF222">
        <v>11</v>
      </c>
      <c r="AG222">
        <v>3</v>
      </c>
      <c r="AH222">
        <v>7</v>
      </c>
      <c r="AI222">
        <f>IF(tbl_HRData[[#This Row],[Attrition]] = "Yes",1,0)</f>
        <v>0</v>
      </c>
      <c r="AJ222">
        <f>IF(tbl_HRData[[#This Row],[Attrition]] = "No",1,0)</f>
        <v>1</v>
      </c>
      <c r="AK222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222" s="1" t="str">
        <f>IF(tbl_HRData[[#This Row],[MonthlyIncome]]&lt;5000,"Low",
IF(tbl_HRData[[#This Row],[MonthlyIncome]]&lt;10000,"Medium",
IF(tbl_HRData[[#This Row],[MonthlyIncome]]&lt;15000,"Upper Medium","High")))</f>
        <v>Medium</v>
      </c>
      <c r="AM222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223" spans="1:39" x14ac:dyDescent="0.35">
      <c r="A223" s="1">
        <v>222</v>
      </c>
      <c r="B223">
        <v>33</v>
      </c>
      <c r="C223" s="1" t="s">
        <v>40</v>
      </c>
      <c r="D223" s="1" t="s">
        <v>34</v>
      </c>
      <c r="E223">
        <v>147</v>
      </c>
      <c r="F223" s="1" t="s">
        <v>42</v>
      </c>
      <c r="G223">
        <v>4</v>
      </c>
      <c r="H223">
        <v>4</v>
      </c>
      <c r="I223" s="1" t="s">
        <v>48</v>
      </c>
      <c r="J223">
        <v>305</v>
      </c>
      <c r="K223">
        <v>3</v>
      </c>
      <c r="L223" s="1" t="s">
        <v>37</v>
      </c>
      <c r="M223">
        <v>47</v>
      </c>
      <c r="N223">
        <v>2</v>
      </c>
      <c r="O223">
        <v>1</v>
      </c>
      <c r="P223" s="1" t="s">
        <v>44</v>
      </c>
      <c r="Q223">
        <v>2</v>
      </c>
      <c r="R223" s="1" t="s">
        <v>45</v>
      </c>
      <c r="S223">
        <v>2622</v>
      </c>
      <c r="T223">
        <v>13248</v>
      </c>
      <c r="U223">
        <v>6</v>
      </c>
      <c r="V223" s="1" t="s">
        <v>40</v>
      </c>
      <c r="W223">
        <v>21</v>
      </c>
      <c r="X223">
        <v>4</v>
      </c>
      <c r="Y223">
        <v>4</v>
      </c>
      <c r="Z223">
        <v>80</v>
      </c>
      <c r="AA223">
        <v>0</v>
      </c>
      <c r="AB223">
        <v>7</v>
      </c>
      <c r="AC223">
        <v>3</v>
      </c>
      <c r="AD223">
        <v>3</v>
      </c>
      <c r="AE223">
        <v>3</v>
      </c>
      <c r="AF223">
        <v>2</v>
      </c>
      <c r="AG223">
        <v>1</v>
      </c>
      <c r="AH223">
        <v>1</v>
      </c>
      <c r="AI223">
        <f>IF(tbl_HRData[[#This Row],[Attrition]] = "Yes",1,0)</f>
        <v>0</v>
      </c>
      <c r="AJ223">
        <f>IF(tbl_HRData[[#This Row],[Attrition]] = "No",1,0)</f>
        <v>1</v>
      </c>
      <c r="AK223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223" s="1" t="str">
        <f>IF(tbl_HRData[[#This Row],[MonthlyIncome]]&lt;5000,"Low",
IF(tbl_HRData[[#This Row],[MonthlyIncome]]&lt;10000,"Medium",
IF(tbl_HRData[[#This Row],[MonthlyIncome]]&lt;15000,"Upper Medium","High")))</f>
        <v>Low</v>
      </c>
      <c r="AM223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224" spans="1:39" x14ac:dyDescent="0.35">
      <c r="A224" s="1">
        <v>223</v>
      </c>
      <c r="B224">
        <v>37</v>
      </c>
      <c r="C224" s="1" t="s">
        <v>40</v>
      </c>
      <c r="D224" s="1" t="s">
        <v>41</v>
      </c>
      <c r="E224">
        <v>663</v>
      </c>
      <c r="F224" s="1" t="s">
        <v>42</v>
      </c>
      <c r="G224">
        <v>11</v>
      </c>
      <c r="H224">
        <v>3</v>
      </c>
      <c r="I224" s="1" t="s">
        <v>46</v>
      </c>
      <c r="J224">
        <v>306</v>
      </c>
      <c r="K224">
        <v>2</v>
      </c>
      <c r="L224" s="1" t="s">
        <v>43</v>
      </c>
      <c r="M224">
        <v>47</v>
      </c>
      <c r="N224">
        <v>3</v>
      </c>
      <c r="O224">
        <v>3</v>
      </c>
      <c r="P224" s="1" t="s">
        <v>55</v>
      </c>
      <c r="Q224">
        <v>4</v>
      </c>
      <c r="R224" s="1" t="s">
        <v>49</v>
      </c>
      <c r="S224">
        <v>12185</v>
      </c>
      <c r="T224">
        <v>10056</v>
      </c>
      <c r="U224">
        <v>1</v>
      </c>
      <c r="V224" s="1" t="s">
        <v>33</v>
      </c>
      <c r="W224">
        <v>14</v>
      </c>
      <c r="X224">
        <v>3</v>
      </c>
      <c r="Y224">
        <v>3</v>
      </c>
      <c r="Z224">
        <v>80</v>
      </c>
      <c r="AA224">
        <v>3</v>
      </c>
      <c r="AB224">
        <v>10</v>
      </c>
      <c r="AC224">
        <v>1</v>
      </c>
      <c r="AD224">
        <v>3</v>
      </c>
      <c r="AE224">
        <v>10</v>
      </c>
      <c r="AF224">
        <v>8</v>
      </c>
      <c r="AG224">
        <v>0</v>
      </c>
      <c r="AH224">
        <v>7</v>
      </c>
      <c r="AI224">
        <f>IF(tbl_HRData[[#This Row],[Attrition]] = "Yes",1,0)</f>
        <v>0</v>
      </c>
      <c r="AJ224">
        <f>IF(tbl_HRData[[#This Row],[Attrition]] = "No",1,0)</f>
        <v>1</v>
      </c>
      <c r="AK224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224" s="1" t="str">
        <f>IF(tbl_HRData[[#This Row],[MonthlyIncome]]&lt;5000,"Low",
IF(tbl_HRData[[#This Row],[MonthlyIncome]]&lt;10000,"Medium",
IF(tbl_HRData[[#This Row],[MonthlyIncome]]&lt;15000,"Upper Medium","High")))</f>
        <v>Upper Medium</v>
      </c>
      <c r="AM224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225" spans="1:39" x14ac:dyDescent="0.35">
      <c r="A225" s="1">
        <v>224</v>
      </c>
      <c r="B225">
        <v>38</v>
      </c>
      <c r="C225" s="1" t="s">
        <v>40</v>
      </c>
      <c r="D225" s="1" t="s">
        <v>34</v>
      </c>
      <c r="E225">
        <v>119</v>
      </c>
      <c r="F225" s="1" t="s">
        <v>35</v>
      </c>
      <c r="G225">
        <v>3</v>
      </c>
      <c r="H225">
        <v>3</v>
      </c>
      <c r="I225" s="1" t="s">
        <v>36</v>
      </c>
      <c r="J225">
        <v>307</v>
      </c>
      <c r="K225">
        <v>1</v>
      </c>
      <c r="L225" s="1" t="s">
        <v>43</v>
      </c>
      <c r="M225">
        <v>76</v>
      </c>
      <c r="N225">
        <v>3</v>
      </c>
      <c r="O225">
        <v>3</v>
      </c>
      <c r="P225" s="1" t="s">
        <v>38</v>
      </c>
      <c r="Q225">
        <v>3</v>
      </c>
      <c r="R225" s="1" t="s">
        <v>49</v>
      </c>
      <c r="S225">
        <v>10609</v>
      </c>
      <c r="T225">
        <v>9647</v>
      </c>
      <c r="U225">
        <v>0</v>
      </c>
      <c r="V225" s="1" t="s">
        <v>40</v>
      </c>
      <c r="W225">
        <v>12</v>
      </c>
      <c r="X225">
        <v>3</v>
      </c>
      <c r="Y225">
        <v>3</v>
      </c>
      <c r="Z225">
        <v>80</v>
      </c>
      <c r="AA225">
        <v>2</v>
      </c>
      <c r="AB225">
        <v>17</v>
      </c>
      <c r="AC225">
        <v>6</v>
      </c>
      <c r="AD225">
        <v>2</v>
      </c>
      <c r="AE225">
        <v>16</v>
      </c>
      <c r="AF225">
        <v>10</v>
      </c>
      <c r="AG225">
        <v>5</v>
      </c>
      <c r="AH225">
        <v>13</v>
      </c>
      <c r="AI225">
        <f>IF(tbl_HRData[[#This Row],[Attrition]] = "Yes",1,0)</f>
        <v>0</v>
      </c>
      <c r="AJ225">
        <f>IF(tbl_HRData[[#This Row],[Attrition]] = "No",1,0)</f>
        <v>1</v>
      </c>
      <c r="AK225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225" s="1" t="str">
        <f>IF(tbl_HRData[[#This Row],[MonthlyIncome]]&lt;5000,"Low",
IF(tbl_HRData[[#This Row],[MonthlyIncome]]&lt;10000,"Medium",
IF(tbl_HRData[[#This Row],[MonthlyIncome]]&lt;15000,"Upper Medium","High")))</f>
        <v>Upper Medium</v>
      </c>
      <c r="AM225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226" spans="1:39" x14ac:dyDescent="0.35">
      <c r="A226" s="1">
        <v>225</v>
      </c>
      <c r="B226">
        <v>31</v>
      </c>
      <c r="C226" s="1" t="s">
        <v>40</v>
      </c>
      <c r="D226" s="1" t="s">
        <v>52</v>
      </c>
      <c r="E226">
        <v>979</v>
      </c>
      <c r="F226" s="1" t="s">
        <v>42</v>
      </c>
      <c r="G226">
        <v>1</v>
      </c>
      <c r="H226">
        <v>4</v>
      </c>
      <c r="I226" s="1" t="s">
        <v>48</v>
      </c>
      <c r="J226">
        <v>308</v>
      </c>
      <c r="K226">
        <v>3</v>
      </c>
      <c r="L226" s="1" t="s">
        <v>43</v>
      </c>
      <c r="M226">
        <v>90</v>
      </c>
      <c r="N226">
        <v>1</v>
      </c>
      <c r="O226">
        <v>2</v>
      </c>
      <c r="P226" s="1" t="s">
        <v>50</v>
      </c>
      <c r="Q226">
        <v>3</v>
      </c>
      <c r="R226" s="1" t="s">
        <v>45</v>
      </c>
      <c r="S226">
        <v>4345</v>
      </c>
      <c r="T226">
        <v>4381</v>
      </c>
      <c r="U226">
        <v>0</v>
      </c>
      <c r="V226" s="1" t="s">
        <v>40</v>
      </c>
      <c r="W226">
        <v>12</v>
      </c>
      <c r="X226">
        <v>3</v>
      </c>
      <c r="Y226">
        <v>4</v>
      </c>
      <c r="Z226">
        <v>80</v>
      </c>
      <c r="AA226">
        <v>1</v>
      </c>
      <c r="AB226">
        <v>6</v>
      </c>
      <c r="AC226">
        <v>2</v>
      </c>
      <c r="AD226">
        <v>3</v>
      </c>
      <c r="AE226">
        <v>5</v>
      </c>
      <c r="AF226">
        <v>4</v>
      </c>
      <c r="AG226">
        <v>1</v>
      </c>
      <c r="AH226">
        <v>4</v>
      </c>
      <c r="AI226">
        <f>IF(tbl_HRData[[#This Row],[Attrition]] = "Yes",1,0)</f>
        <v>0</v>
      </c>
      <c r="AJ226">
        <f>IF(tbl_HRData[[#This Row],[Attrition]] = "No",1,0)</f>
        <v>1</v>
      </c>
      <c r="AK226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226" s="1" t="str">
        <f>IF(tbl_HRData[[#This Row],[MonthlyIncome]]&lt;5000,"Low",
IF(tbl_HRData[[#This Row],[MonthlyIncome]]&lt;10000,"Medium",
IF(tbl_HRData[[#This Row],[MonthlyIncome]]&lt;15000,"Upper Medium","High")))</f>
        <v>Low</v>
      </c>
      <c r="AM226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227" spans="1:39" x14ac:dyDescent="0.35">
      <c r="A227" s="1">
        <v>226</v>
      </c>
      <c r="B227">
        <v>59</v>
      </c>
      <c r="C227" s="1" t="s">
        <v>40</v>
      </c>
      <c r="D227" s="1" t="s">
        <v>34</v>
      </c>
      <c r="E227">
        <v>142</v>
      </c>
      <c r="F227" s="1" t="s">
        <v>42</v>
      </c>
      <c r="G227">
        <v>3</v>
      </c>
      <c r="H227">
        <v>3</v>
      </c>
      <c r="I227" s="1" t="s">
        <v>36</v>
      </c>
      <c r="J227">
        <v>309</v>
      </c>
      <c r="K227">
        <v>3</v>
      </c>
      <c r="L227" s="1" t="s">
        <v>43</v>
      </c>
      <c r="M227">
        <v>70</v>
      </c>
      <c r="N227">
        <v>2</v>
      </c>
      <c r="O227">
        <v>1</v>
      </c>
      <c r="P227" s="1" t="s">
        <v>44</v>
      </c>
      <c r="Q227">
        <v>4</v>
      </c>
      <c r="R227" s="1" t="s">
        <v>45</v>
      </c>
      <c r="S227">
        <v>2177</v>
      </c>
      <c r="T227">
        <v>8456</v>
      </c>
      <c r="U227">
        <v>3</v>
      </c>
      <c r="V227" s="1" t="s">
        <v>40</v>
      </c>
      <c r="W227">
        <v>17</v>
      </c>
      <c r="X227">
        <v>3</v>
      </c>
      <c r="Y227">
        <v>1</v>
      </c>
      <c r="Z227">
        <v>80</v>
      </c>
      <c r="AA227">
        <v>1</v>
      </c>
      <c r="AB227">
        <v>7</v>
      </c>
      <c r="AC227">
        <v>6</v>
      </c>
      <c r="AD227">
        <v>3</v>
      </c>
      <c r="AE227">
        <v>1</v>
      </c>
      <c r="AF227">
        <v>0</v>
      </c>
      <c r="AG227">
        <v>0</v>
      </c>
      <c r="AH227">
        <v>0</v>
      </c>
      <c r="AI227">
        <f>IF(tbl_HRData[[#This Row],[Attrition]] = "Yes",1,0)</f>
        <v>0</v>
      </c>
      <c r="AJ227">
        <f>IF(tbl_HRData[[#This Row],[Attrition]] = "No",1,0)</f>
        <v>1</v>
      </c>
      <c r="AK227" t="str">
        <f>IF(tbl_HRData[[#This Row],[Age]] &lt; 25, "Under 25", IF(tbl_HRData[[#This Row],[Age]] &lt;= 34, "25-34", IF(tbl_HRData[[#This Row],[Age]] &lt;= 44, "35-44", IF(tbl_HRData[[#This Row],[Age]] &lt;= 54, "45-54", "55+"))))</f>
        <v>55+</v>
      </c>
      <c r="AL227" s="1" t="str">
        <f>IF(tbl_HRData[[#This Row],[MonthlyIncome]]&lt;5000,"Low",
IF(tbl_HRData[[#This Row],[MonthlyIncome]]&lt;10000,"Medium",
IF(tbl_HRData[[#This Row],[MonthlyIncome]]&lt;15000,"Upper Medium","High")))</f>
        <v>Low</v>
      </c>
      <c r="AM227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228" spans="1:39" x14ac:dyDescent="0.35">
      <c r="A228" s="1">
        <v>227</v>
      </c>
      <c r="B228">
        <v>37</v>
      </c>
      <c r="C228" s="1" t="s">
        <v>40</v>
      </c>
      <c r="D228" s="1" t="s">
        <v>41</v>
      </c>
      <c r="E228">
        <v>319</v>
      </c>
      <c r="F228" s="1" t="s">
        <v>35</v>
      </c>
      <c r="G228">
        <v>4</v>
      </c>
      <c r="H228">
        <v>4</v>
      </c>
      <c r="I228" s="1" t="s">
        <v>56</v>
      </c>
      <c r="J228">
        <v>311</v>
      </c>
      <c r="K228">
        <v>1</v>
      </c>
      <c r="L228" s="1" t="s">
        <v>43</v>
      </c>
      <c r="M228">
        <v>41</v>
      </c>
      <c r="N228">
        <v>3</v>
      </c>
      <c r="O228">
        <v>1</v>
      </c>
      <c r="P228" s="1" t="s">
        <v>54</v>
      </c>
      <c r="Q228">
        <v>4</v>
      </c>
      <c r="R228" s="1" t="s">
        <v>49</v>
      </c>
      <c r="S228">
        <v>2793</v>
      </c>
      <c r="T228">
        <v>2539</v>
      </c>
      <c r="U228">
        <v>4</v>
      </c>
      <c r="V228" s="1" t="s">
        <v>40</v>
      </c>
      <c r="W228">
        <v>17</v>
      </c>
      <c r="X228">
        <v>3</v>
      </c>
      <c r="Y228">
        <v>3</v>
      </c>
      <c r="Z228">
        <v>80</v>
      </c>
      <c r="AA228">
        <v>1</v>
      </c>
      <c r="AB228">
        <v>13</v>
      </c>
      <c r="AC228">
        <v>2</v>
      </c>
      <c r="AD228">
        <v>3</v>
      </c>
      <c r="AE228">
        <v>9</v>
      </c>
      <c r="AF228">
        <v>8</v>
      </c>
      <c r="AG228">
        <v>5</v>
      </c>
      <c r="AH228">
        <v>8</v>
      </c>
      <c r="AI228">
        <f>IF(tbl_HRData[[#This Row],[Attrition]] = "Yes",1,0)</f>
        <v>0</v>
      </c>
      <c r="AJ228">
        <f>IF(tbl_HRData[[#This Row],[Attrition]] = "No",1,0)</f>
        <v>1</v>
      </c>
      <c r="AK228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228" s="1" t="str">
        <f>IF(tbl_HRData[[#This Row],[MonthlyIncome]]&lt;5000,"Low",
IF(tbl_HRData[[#This Row],[MonthlyIncome]]&lt;10000,"Medium",
IF(tbl_HRData[[#This Row],[MonthlyIncome]]&lt;15000,"Upper Medium","High")))</f>
        <v>Low</v>
      </c>
      <c r="AM228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229" spans="1:39" x14ac:dyDescent="0.35">
      <c r="A229" s="1">
        <v>228</v>
      </c>
      <c r="B229">
        <v>29</v>
      </c>
      <c r="C229" s="1" t="s">
        <v>40</v>
      </c>
      <c r="D229" s="1" t="s">
        <v>41</v>
      </c>
      <c r="E229">
        <v>1413</v>
      </c>
      <c r="F229" s="1" t="s">
        <v>35</v>
      </c>
      <c r="G229">
        <v>1</v>
      </c>
      <c r="H229">
        <v>1</v>
      </c>
      <c r="I229" s="1" t="s">
        <v>48</v>
      </c>
      <c r="J229">
        <v>312</v>
      </c>
      <c r="K229">
        <v>2</v>
      </c>
      <c r="L229" s="1" t="s">
        <v>37</v>
      </c>
      <c r="M229">
        <v>42</v>
      </c>
      <c r="N229">
        <v>3</v>
      </c>
      <c r="O229">
        <v>3</v>
      </c>
      <c r="P229" s="1" t="s">
        <v>38</v>
      </c>
      <c r="Q229">
        <v>4</v>
      </c>
      <c r="R229" s="1" t="s">
        <v>45</v>
      </c>
      <c r="S229">
        <v>7918</v>
      </c>
      <c r="T229">
        <v>6599</v>
      </c>
      <c r="U229">
        <v>1</v>
      </c>
      <c r="V229" s="1" t="s">
        <v>40</v>
      </c>
      <c r="W229">
        <v>14</v>
      </c>
      <c r="X229">
        <v>3</v>
      </c>
      <c r="Y229">
        <v>4</v>
      </c>
      <c r="Z229">
        <v>80</v>
      </c>
      <c r="AA229">
        <v>1</v>
      </c>
      <c r="AB229">
        <v>11</v>
      </c>
      <c r="AC229">
        <v>5</v>
      </c>
      <c r="AD229">
        <v>3</v>
      </c>
      <c r="AE229">
        <v>11</v>
      </c>
      <c r="AF229">
        <v>10</v>
      </c>
      <c r="AG229">
        <v>4</v>
      </c>
      <c r="AH229">
        <v>1</v>
      </c>
      <c r="AI229">
        <f>IF(tbl_HRData[[#This Row],[Attrition]] = "Yes",1,0)</f>
        <v>0</v>
      </c>
      <c r="AJ229">
        <f>IF(tbl_HRData[[#This Row],[Attrition]] = "No",1,0)</f>
        <v>1</v>
      </c>
      <c r="AK229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229" s="1" t="str">
        <f>IF(tbl_HRData[[#This Row],[MonthlyIncome]]&lt;5000,"Low",
IF(tbl_HRData[[#This Row],[MonthlyIncome]]&lt;10000,"Medium",
IF(tbl_HRData[[#This Row],[MonthlyIncome]]&lt;15000,"Upper Medium","High")))</f>
        <v>Medium</v>
      </c>
      <c r="AM229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230" spans="1:39" x14ac:dyDescent="0.35">
      <c r="A230" s="1">
        <v>229</v>
      </c>
      <c r="B230">
        <v>35</v>
      </c>
      <c r="C230" s="1" t="s">
        <v>40</v>
      </c>
      <c r="D230" s="1" t="s">
        <v>41</v>
      </c>
      <c r="E230">
        <v>944</v>
      </c>
      <c r="F230" s="1" t="s">
        <v>35</v>
      </c>
      <c r="G230">
        <v>1</v>
      </c>
      <c r="H230">
        <v>3</v>
      </c>
      <c r="I230" s="1" t="s">
        <v>56</v>
      </c>
      <c r="J230">
        <v>314</v>
      </c>
      <c r="K230">
        <v>3</v>
      </c>
      <c r="L230" s="1" t="s">
        <v>37</v>
      </c>
      <c r="M230">
        <v>92</v>
      </c>
      <c r="N230">
        <v>3</v>
      </c>
      <c r="O230">
        <v>3</v>
      </c>
      <c r="P230" s="1" t="s">
        <v>38</v>
      </c>
      <c r="Q230">
        <v>3</v>
      </c>
      <c r="R230" s="1" t="s">
        <v>39</v>
      </c>
      <c r="S230">
        <v>8789</v>
      </c>
      <c r="T230">
        <v>9096</v>
      </c>
      <c r="U230">
        <v>1</v>
      </c>
      <c r="V230" s="1" t="s">
        <v>40</v>
      </c>
      <c r="W230">
        <v>14</v>
      </c>
      <c r="X230">
        <v>3</v>
      </c>
      <c r="Y230">
        <v>1</v>
      </c>
      <c r="Z230">
        <v>80</v>
      </c>
      <c r="AA230">
        <v>0</v>
      </c>
      <c r="AB230">
        <v>10</v>
      </c>
      <c r="AC230">
        <v>3</v>
      </c>
      <c r="AD230">
        <v>4</v>
      </c>
      <c r="AE230">
        <v>10</v>
      </c>
      <c r="AF230">
        <v>7</v>
      </c>
      <c r="AG230">
        <v>0</v>
      </c>
      <c r="AH230">
        <v>8</v>
      </c>
      <c r="AI230">
        <f>IF(tbl_HRData[[#This Row],[Attrition]] = "Yes",1,0)</f>
        <v>0</v>
      </c>
      <c r="AJ230">
        <f>IF(tbl_HRData[[#This Row],[Attrition]] = "No",1,0)</f>
        <v>1</v>
      </c>
      <c r="AK230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230" s="1" t="str">
        <f>IF(tbl_HRData[[#This Row],[MonthlyIncome]]&lt;5000,"Low",
IF(tbl_HRData[[#This Row],[MonthlyIncome]]&lt;10000,"Medium",
IF(tbl_HRData[[#This Row],[MonthlyIncome]]&lt;15000,"Upper Medium","High")))</f>
        <v>Medium</v>
      </c>
      <c r="AM230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231" spans="1:39" x14ac:dyDescent="0.35">
      <c r="A231" s="1">
        <v>230</v>
      </c>
      <c r="B231">
        <v>29</v>
      </c>
      <c r="C231" s="1" t="s">
        <v>33</v>
      </c>
      <c r="D231" s="1" t="s">
        <v>34</v>
      </c>
      <c r="E231">
        <v>896</v>
      </c>
      <c r="F231" s="1" t="s">
        <v>42</v>
      </c>
      <c r="G231">
        <v>18</v>
      </c>
      <c r="H231">
        <v>1</v>
      </c>
      <c r="I231" s="1" t="s">
        <v>48</v>
      </c>
      <c r="J231">
        <v>315</v>
      </c>
      <c r="K231">
        <v>3</v>
      </c>
      <c r="L231" s="1" t="s">
        <v>43</v>
      </c>
      <c r="M231">
        <v>86</v>
      </c>
      <c r="N231">
        <v>2</v>
      </c>
      <c r="O231">
        <v>1</v>
      </c>
      <c r="P231" s="1" t="s">
        <v>44</v>
      </c>
      <c r="Q231">
        <v>4</v>
      </c>
      <c r="R231" s="1" t="s">
        <v>39</v>
      </c>
      <c r="S231">
        <v>2389</v>
      </c>
      <c r="T231">
        <v>14961</v>
      </c>
      <c r="U231">
        <v>1</v>
      </c>
      <c r="V231" s="1" t="s">
        <v>33</v>
      </c>
      <c r="W231">
        <v>13</v>
      </c>
      <c r="X231">
        <v>3</v>
      </c>
      <c r="Y231">
        <v>3</v>
      </c>
      <c r="Z231">
        <v>80</v>
      </c>
      <c r="AA231">
        <v>0</v>
      </c>
      <c r="AB231">
        <v>4</v>
      </c>
      <c r="AC231">
        <v>3</v>
      </c>
      <c r="AD231">
        <v>2</v>
      </c>
      <c r="AE231">
        <v>4</v>
      </c>
      <c r="AF231">
        <v>3</v>
      </c>
      <c r="AG231">
        <v>0</v>
      </c>
      <c r="AH231">
        <v>1</v>
      </c>
      <c r="AI231">
        <f>IF(tbl_HRData[[#This Row],[Attrition]] = "Yes",1,0)</f>
        <v>1</v>
      </c>
      <c r="AJ231">
        <f>IF(tbl_HRData[[#This Row],[Attrition]] = "No",1,0)</f>
        <v>0</v>
      </c>
      <c r="AK231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231" s="1" t="str">
        <f>IF(tbl_HRData[[#This Row],[MonthlyIncome]]&lt;5000,"Low",
IF(tbl_HRData[[#This Row],[MonthlyIncome]]&lt;10000,"Medium",
IF(tbl_HRData[[#This Row],[MonthlyIncome]]&lt;15000,"Upper Medium","High")))</f>
        <v>Low</v>
      </c>
      <c r="AM231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232" spans="1:39" x14ac:dyDescent="0.35">
      <c r="A232" s="1">
        <v>231</v>
      </c>
      <c r="B232">
        <v>52</v>
      </c>
      <c r="C232" s="1" t="s">
        <v>40</v>
      </c>
      <c r="D232" s="1" t="s">
        <v>34</v>
      </c>
      <c r="E232">
        <v>1323</v>
      </c>
      <c r="F232" s="1" t="s">
        <v>42</v>
      </c>
      <c r="G232">
        <v>2</v>
      </c>
      <c r="H232">
        <v>3</v>
      </c>
      <c r="I232" s="1" t="s">
        <v>36</v>
      </c>
      <c r="J232">
        <v>316</v>
      </c>
      <c r="K232">
        <v>3</v>
      </c>
      <c r="L232" s="1" t="s">
        <v>37</v>
      </c>
      <c r="M232">
        <v>89</v>
      </c>
      <c r="N232">
        <v>2</v>
      </c>
      <c r="O232">
        <v>1</v>
      </c>
      <c r="P232" s="1" t="s">
        <v>47</v>
      </c>
      <c r="Q232">
        <v>4</v>
      </c>
      <c r="R232" s="1" t="s">
        <v>39</v>
      </c>
      <c r="S232">
        <v>3212</v>
      </c>
      <c r="T232">
        <v>3300</v>
      </c>
      <c r="U232">
        <v>7</v>
      </c>
      <c r="V232" s="1" t="s">
        <v>40</v>
      </c>
      <c r="W232">
        <v>15</v>
      </c>
      <c r="X232">
        <v>3</v>
      </c>
      <c r="Y232">
        <v>2</v>
      </c>
      <c r="Z232">
        <v>80</v>
      </c>
      <c r="AA232">
        <v>0</v>
      </c>
      <c r="AB232">
        <v>6</v>
      </c>
      <c r="AC232">
        <v>3</v>
      </c>
      <c r="AD232">
        <v>2</v>
      </c>
      <c r="AE232">
        <v>2</v>
      </c>
      <c r="AF232">
        <v>2</v>
      </c>
      <c r="AG232">
        <v>2</v>
      </c>
      <c r="AH232">
        <v>2</v>
      </c>
      <c r="AI232">
        <f>IF(tbl_HRData[[#This Row],[Attrition]] = "Yes",1,0)</f>
        <v>0</v>
      </c>
      <c r="AJ232">
        <f>IF(tbl_HRData[[#This Row],[Attrition]] = "No",1,0)</f>
        <v>1</v>
      </c>
      <c r="AK232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232" s="1" t="str">
        <f>IF(tbl_HRData[[#This Row],[MonthlyIncome]]&lt;5000,"Low",
IF(tbl_HRData[[#This Row],[MonthlyIncome]]&lt;10000,"Medium",
IF(tbl_HRData[[#This Row],[MonthlyIncome]]&lt;15000,"Upper Medium","High")))</f>
        <v>Low</v>
      </c>
      <c r="AM232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233" spans="1:39" x14ac:dyDescent="0.35">
      <c r="A233" s="1">
        <v>232</v>
      </c>
      <c r="B233">
        <v>42</v>
      </c>
      <c r="C233" s="1" t="s">
        <v>40</v>
      </c>
      <c r="D233" s="1" t="s">
        <v>34</v>
      </c>
      <c r="E233">
        <v>532</v>
      </c>
      <c r="F233" s="1" t="s">
        <v>42</v>
      </c>
      <c r="G233">
        <v>4</v>
      </c>
      <c r="H233">
        <v>2</v>
      </c>
      <c r="I233" s="1" t="s">
        <v>57</v>
      </c>
      <c r="J233">
        <v>319</v>
      </c>
      <c r="K233">
        <v>3</v>
      </c>
      <c r="L233" s="1" t="s">
        <v>43</v>
      </c>
      <c r="M233">
        <v>58</v>
      </c>
      <c r="N233">
        <v>3</v>
      </c>
      <c r="O233">
        <v>5</v>
      </c>
      <c r="P233" s="1" t="s">
        <v>53</v>
      </c>
      <c r="Q233">
        <v>4</v>
      </c>
      <c r="R233" s="1" t="s">
        <v>45</v>
      </c>
      <c r="S233">
        <v>19232</v>
      </c>
      <c r="T233">
        <v>4933</v>
      </c>
      <c r="U233">
        <v>1</v>
      </c>
      <c r="V233" s="1" t="s">
        <v>40</v>
      </c>
      <c r="W233">
        <v>11</v>
      </c>
      <c r="X233">
        <v>3</v>
      </c>
      <c r="Y233">
        <v>4</v>
      </c>
      <c r="Z233">
        <v>80</v>
      </c>
      <c r="AA233">
        <v>0</v>
      </c>
      <c r="AB233">
        <v>22</v>
      </c>
      <c r="AC233">
        <v>3</v>
      </c>
      <c r="AD233">
        <v>3</v>
      </c>
      <c r="AE233">
        <v>22</v>
      </c>
      <c r="AF233">
        <v>17</v>
      </c>
      <c r="AG233">
        <v>11</v>
      </c>
      <c r="AH233">
        <v>15</v>
      </c>
      <c r="AI233">
        <f>IF(tbl_HRData[[#This Row],[Attrition]] = "Yes",1,0)</f>
        <v>0</v>
      </c>
      <c r="AJ233">
        <f>IF(tbl_HRData[[#This Row],[Attrition]] = "No",1,0)</f>
        <v>1</v>
      </c>
      <c r="AK233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233" s="1" t="str">
        <f>IF(tbl_HRData[[#This Row],[MonthlyIncome]]&lt;5000,"Low",
IF(tbl_HRData[[#This Row],[MonthlyIncome]]&lt;10000,"Medium",
IF(tbl_HRData[[#This Row],[MonthlyIncome]]&lt;15000,"Upper Medium","High")))</f>
        <v>High</v>
      </c>
      <c r="AM233" s="1" t="str">
        <f>IF(tbl_HRData[[#This Row],[YearsAtCompany]]&lt;=5,"0-5 Years",
IF(tbl_HRData[[#This Row],[YearsAtCompany]]&lt;=10,"6-10 Years",
IF(tbl_HRData[[#This Row],[YearsAtCompany]]&lt;=20,"11-20 Years","21+ Years")))</f>
        <v>21+ Years</v>
      </c>
    </row>
    <row r="234" spans="1:39" x14ac:dyDescent="0.35">
      <c r="A234" s="1">
        <v>233</v>
      </c>
      <c r="B234">
        <v>59</v>
      </c>
      <c r="C234" s="1" t="s">
        <v>40</v>
      </c>
      <c r="D234" s="1" t="s">
        <v>34</v>
      </c>
      <c r="E234">
        <v>818</v>
      </c>
      <c r="F234" s="1" t="s">
        <v>58</v>
      </c>
      <c r="G234">
        <v>6</v>
      </c>
      <c r="H234">
        <v>2</v>
      </c>
      <c r="I234" s="1" t="s">
        <v>48</v>
      </c>
      <c r="J234">
        <v>321</v>
      </c>
      <c r="K234">
        <v>2</v>
      </c>
      <c r="L234" s="1" t="s">
        <v>43</v>
      </c>
      <c r="M234">
        <v>52</v>
      </c>
      <c r="N234">
        <v>3</v>
      </c>
      <c r="O234">
        <v>1</v>
      </c>
      <c r="P234" s="1" t="s">
        <v>58</v>
      </c>
      <c r="Q234">
        <v>3</v>
      </c>
      <c r="R234" s="1" t="s">
        <v>45</v>
      </c>
      <c r="S234">
        <v>2267</v>
      </c>
      <c r="T234">
        <v>25657</v>
      </c>
      <c r="U234">
        <v>8</v>
      </c>
      <c r="V234" s="1" t="s">
        <v>40</v>
      </c>
      <c r="W234">
        <v>17</v>
      </c>
      <c r="X234">
        <v>3</v>
      </c>
      <c r="Y234">
        <v>4</v>
      </c>
      <c r="Z234">
        <v>80</v>
      </c>
      <c r="AA234">
        <v>0</v>
      </c>
      <c r="AB234">
        <v>7</v>
      </c>
      <c r="AC234">
        <v>2</v>
      </c>
      <c r="AD234">
        <v>2</v>
      </c>
      <c r="AE234">
        <v>2</v>
      </c>
      <c r="AF234">
        <v>2</v>
      </c>
      <c r="AG234">
        <v>2</v>
      </c>
      <c r="AH234">
        <v>2</v>
      </c>
      <c r="AI234">
        <f>IF(tbl_HRData[[#This Row],[Attrition]] = "Yes",1,0)</f>
        <v>0</v>
      </c>
      <c r="AJ234">
        <f>IF(tbl_HRData[[#This Row],[Attrition]] = "No",1,0)</f>
        <v>1</v>
      </c>
      <c r="AK234" t="str">
        <f>IF(tbl_HRData[[#This Row],[Age]] &lt; 25, "Under 25", IF(tbl_HRData[[#This Row],[Age]] &lt;= 34, "25-34", IF(tbl_HRData[[#This Row],[Age]] &lt;= 44, "35-44", IF(tbl_HRData[[#This Row],[Age]] &lt;= 54, "45-54", "55+"))))</f>
        <v>55+</v>
      </c>
      <c r="AL234" s="1" t="str">
        <f>IF(tbl_HRData[[#This Row],[MonthlyIncome]]&lt;5000,"Low",
IF(tbl_HRData[[#This Row],[MonthlyIncome]]&lt;10000,"Medium",
IF(tbl_HRData[[#This Row],[MonthlyIncome]]&lt;15000,"Upper Medium","High")))</f>
        <v>Low</v>
      </c>
      <c r="AM234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235" spans="1:39" x14ac:dyDescent="0.35">
      <c r="A235" s="1">
        <v>234</v>
      </c>
      <c r="B235">
        <v>50</v>
      </c>
      <c r="C235" s="1" t="s">
        <v>40</v>
      </c>
      <c r="D235" s="1" t="s">
        <v>34</v>
      </c>
      <c r="E235">
        <v>854</v>
      </c>
      <c r="F235" s="1" t="s">
        <v>35</v>
      </c>
      <c r="G235">
        <v>1</v>
      </c>
      <c r="H235">
        <v>4</v>
      </c>
      <c r="I235" s="1" t="s">
        <v>48</v>
      </c>
      <c r="J235">
        <v>323</v>
      </c>
      <c r="K235">
        <v>4</v>
      </c>
      <c r="L235" s="1" t="s">
        <v>37</v>
      </c>
      <c r="M235">
        <v>68</v>
      </c>
      <c r="N235">
        <v>3</v>
      </c>
      <c r="O235">
        <v>5</v>
      </c>
      <c r="P235" s="1" t="s">
        <v>53</v>
      </c>
      <c r="Q235">
        <v>4</v>
      </c>
      <c r="R235" s="1" t="s">
        <v>49</v>
      </c>
      <c r="S235">
        <v>19517</v>
      </c>
      <c r="T235">
        <v>24118</v>
      </c>
      <c r="U235">
        <v>3</v>
      </c>
      <c r="V235" s="1" t="s">
        <v>40</v>
      </c>
      <c r="W235">
        <v>11</v>
      </c>
      <c r="X235">
        <v>3</v>
      </c>
      <c r="Y235">
        <v>3</v>
      </c>
      <c r="Z235">
        <v>80</v>
      </c>
      <c r="AA235">
        <v>1</v>
      </c>
      <c r="AB235">
        <v>32</v>
      </c>
      <c r="AC235">
        <v>3</v>
      </c>
      <c r="AD235">
        <v>2</v>
      </c>
      <c r="AE235">
        <v>7</v>
      </c>
      <c r="AF235">
        <v>0</v>
      </c>
      <c r="AG235">
        <v>0</v>
      </c>
      <c r="AH235">
        <v>6</v>
      </c>
      <c r="AI235">
        <f>IF(tbl_HRData[[#This Row],[Attrition]] = "Yes",1,0)</f>
        <v>0</v>
      </c>
      <c r="AJ235">
        <f>IF(tbl_HRData[[#This Row],[Attrition]] = "No",1,0)</f>
        <v>1</v>
      </c>
      <c r="AK235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235" s="1" t="str">
        <f>IF(tbl_HRData[[#This Row],[MonthlyIncome]]&lt;5000,"Low",
IF(tbl_HRData[[#This Row],[MonthlyIncome]]&lt;10000,"Medium",
IF(tbl_HRData[[#This Row],[MonthlyIncome]]&lt;15000,"Upper Medium","High")))</f>
        <v>High</v>
      </c>
      <c r="AM235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236" spans="1:39" x14ac:dyDescent="0.35">
      <c r="A236" s="1">
        <v>235</v>
      </c>
      <c r="B236">
        <v>33</v>
      </c>
      <c r="C236" s="1" t="s">
        <v>33</v>
      </c>
      <c r="D236" s="1" t="s">
        <v>34</v>
      </c>
      <c r="E236">
        <v>813</v>
      </c>
      <c r="F236" s="1" t="s">
        <v>42</v>
      </c>
      <c r="G236">
        <v>14</v>
      </c>
      <c r="H236">
        <v>3</v>
      </c>
      <c r="I236" s="1" t="s">
        <v>48</v>
      </c>
      <c r="J236">
        <v>325</v>
      </c>
      <c r="K236">
        <v>3</v>
      </c>
      <c r="L236" s="1" t="s">
        <v>43</v>
      </c>
      <c r="M236">
        <v>58</v>
      </c>
      <c r="N236">
        <v>3</v>
      </c>
      <c r="O236">
        <v>1</v>
      </c>
      <c r="P236" s="1" t="s">
        <v>47</v>
      </c>
      <c r="Q236">
        <v>4</v>
      </c>
      <c r="R236" s="1" t="s">
        <v>45</v>
      </c>
      <c r="S236">
        <v>2436</v>
      </c>
      <c r="T236">
        <v>22149</v>
      </c>
      <c r="U236">
        <v>5</v>
      </c>
      <c r="V236" s="1" t="s">
        <v>33</v>
      </c>
      <c r="W236">
        <v>13</v>
      </c>
      <c r="X236">
        <v>3</v>
      </c>
      <c r="Y236">
        <v>3</v>
      </c>
      <c r="Z236">
        <v>80</v>
      </c>
      <c r="AA236">
        <v>1</v>
      </c>
      <c r="AB236">
        <v>8</v>
      </c>
      <c r="AC236">
        <v>2</v>
      </c>
      <c r="AD236">
        <v>1</v>
      </c>
      <c r="AE236">
        <v>5</v>
      </c>
      <c r="AF236">
        <v>4</v>
      </c>
      <c r="AG236">
        <v>0</v>
      </c>
      <c r="AH236">
        <v>4</v>
      </c>
      <c r="AI236">
        <f>IF(tbl_HRData[[#This Row],[Attrition]] = "Yes",1,0)</f>
        <v>1</v>
      </c>
      <c r="AJ236">
        <f>IF(tbl_HRData[[#This Row],[Attrition]] = "No",1,0)</f>
        <v>0</v>
      </c>
      <c r="AK236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236" s="1" t="str">
        <f>IF(tbl_HRData[[#This Row],[MonthlyIncome]]&lt;5000,"Low",
IF(tbl_HRData[[#This Row],[MonthlyIncome]]&lt;10000,"Medium",
IF(tbl_HRData[[#This Row],[MonthlyIncome]]&lt;15000,"Upper Medium","High")))</f>
        <v>Low</v>
      </c>
      <c r="AM236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237" spans="1:39" x14ac:dyDescent="0.35">
      <c r="A237" s="1">
        <v>236</v>
      </c>
      <c r="B237">
        <v>43</v>
      </c>
      <c r="C237" s="1" t="s">
        <v>40</v>
      </c>
      <c r="D237" s="1" t="s">
        <v>34</v>
      </c>
      <c r="E237">
        <v>1034</v>
      </c>
      <c r="F237" s="1" t="s">
        <v>35</v>
      </c>
      <c r="G237">
        <v>16</v>
      </c>
      <c r="H237">
        <v>3</v>
      </c>
      <c r="I237" s="1" t="s">
        <v>56</v>
      </c>
      <c r="J237">
        <v>327</v>
      </c>
      <c r="K237">
        <v>4</v>
      </c>
      <c r="L237" s="1" t="s">
        <v>37</v>
      </c>
      <c r="M237">
        <v>80</v>
      </c>
      <c r="N237">
        <v>3</v>
      </c>
      <c r="O237">
        <v>4</v>
      </c>
      <c r="P237" s="1" t="s">
        <v>53</v>
      </c>
      <c r="Q237">
        <v>4</v>
      </c>
      <c r="R237" s="1" t="s">
        <v>45</v>
      </c>
      <c r="S237">
        <v>16064</v>
      </c>
      <c r="T237">
        <v>7744</v>
      </c>
      <c r="U237">
        <v>5</v>
      </c>
      <c r="V237" s="1" t="s">
        <v>33</v>
      </c>
      <c r="W237">
        <v>22</v>
      </c>
      <c r="X237">
        <v>4</v>
      </c>
      <c r="Y237">
        <v>3</v>
      </c>
      <c r="Z237">
        <v>80</v>
      </c>
      <c r="AA237">
        <v>1</v>
      </c>
      <c r="AB237">
        <v>22</v>
      </c>
      <c r="AC237">
        <v>3</v>
      </c>
      <c r="AD237">
        <v>3</v>
      </c>
      <c r="AE237">
        <v>17</v>
      </c>
      <c r="AF237">
        <v>13</v>
      </c>
      <c r="AG237">
        <v>1</v>
      </c>
      <c r="AH237">
        <v>9</v>
      </c>
      <c r="AI237">
        <f>IF(tbl_HRData[[#This Row],[Attrition]] = "Yes",1,0)</f>
        <v>0</v>
      </c>
      <c r="AJ237">
        <f>IF(tbl_HRData[[#This Row],[Attrition]] = "No",1,0)</f>
        <v>1</v>
      </c>
      <c r="AK237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237" s="1" t="str">
        <f>IF(tbl_HRData[[#This Row],[MonthlyIncome]]&lt;5000,"Low",
IF(tbl_HRData[[#This Row],[MonthlyIncome]]&lt;10000,"Medium",
IF(tbl_HRData[[#This Row],[MonthlyIncome]]&lt;15000,"Upper Medium","High")))</f>
        <v>High</v>
      </c>
      <c r="AM237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238" spans="1:39" x14ac:dyDescent="0.35">
      <c r="A238" s="1">
        <v>237</v>
      </c>
      <c r="B238">
        <v>33</v>
      </c>
      <c r="C238" s="1" t="s">
        <v>33</v>
      </c>
      <c r="D238" s="1" t="s">
        <v>34</v>
      </c>
      <c r="E238">
        <v>465</v>
      </c>
      <c r="F238" s="1" t="s">
        <v>42</v>
      </c>
      <c r="G238">
        <v>2</v>
      </c>
      <c r="H238">
        <v>2</v>
      </c>
      <c r="I238" s="1" t="s">
        <v>36</v>
      </c>
      <c r="J238">
        <v>328</v>
      </c>
      <c r="K238">
        <v>1</v>
      </c>
      <c r="L238" s="1" t="s">
        <v>37</v>
      </c>
      <c r="M238">
        <v>39</v>
      </c>
      <c r="N238">
        <v>3</v>
      </c>
      <c r="O238">
        <v>1</v>
      </c>
      <c r="P238" s="1" t="s">
        <v>47</v>
      </c>
      <c r="Q238">
        <v>1</v>
      </c>
      <c r="R238" s="1" t="s">
        <v>45</v>
      </c>
      <c r="S238">
        <v>2707</v>
      </c>
      <c r="T238">
        <v>21509</v>
      </c>
      <c r="U238">
        <v>7</v>
      </c>
      <c r="V238" s="1" t="s">
        <v>40</v>
      </c>
      <c r="W238">
        <v>20</v>
      </c>
      <c r="X238">
        <v>4</v>
      </c>
      <c r="Y238">
        <v>1</v>
      </c>
      <c r="Z238">
        <v>80</v>
      </c>
      <c r="AA238">
        <v>0</v>
      </c>
      <c r="AB238">
        <v>13</v>
      </c>
      <c r="AC238">
        <v>3</v>
      </c>
      <c r="AD238">
        <v>4</v>
      </c>
      <c r="AE238">
        <v>9</v>
      </c>
      <c r="AF238">
        <v>7</v>
      </c>
      <c r="AG238">
        <v>1</v>
      </c>
      <c r="AH238">
        <v>7</v>
      </c>
      <c r="AI238">
        <f>IF(tbl_HRData[[#This Row],[Attrition]] = "Yes",1,0)</f>
        <v>1</v>
      </c>
      <c r="AJ238">
        <f>IF(tbl_HRData[[#This Row],[Attrition]] = "No",1,0)</f>
        <v>0</v>
      </c>
      <c r="AK238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238" s="1" t="str">
        <f>IF(tbl_HRData[[#This Row],[MonthlyIncome]]&lt;5000,"Low",
IF(tbl_HRData[[#This Row],[MonthlyIncome]]&lt;10000,"Medium",
IF(tbl_HRData[[#This Row],[MonthlyIncome]]&lt;15000,"Upper Medium","High")))</f>
        <v>Low</v>
      </c>
      <c r="AM238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239" spans="1:39" x14ac:dyDescent="0.35">
      <c r="A239" s="1">
        <v>238</v>
      </c>
      <c r="B239">
        <v>52</v>
      </c>
      <c r="C239" s="1" t="s">
        <v>40</v>
      </c>
      <c r="D239" s="1" t="s">
        <v>52</v>
      </c>
      <c r="E239">
        <v>771</v>
      </c>
      <c r="F239" s="1" t="s">
        <v>35</v>
      </c>
      <c r="G239">
        <v>2</v>
      </c>
      <c r="H239">
        <v>4</v>
      </c>
      <c r="I239" s="1" t="s">
        <v>36</v>
      </c>
      <c r="J239">
        <v>329</v>
      </c>
      <c r="K239">
        <v>1</v>
      </c>
      <c r="L239" s="1" t="s">
        <v>43</v>
      </c>
      <c r="M239">
        <v>79</v>
      </c>
      <c r="N239">
        <v>2</v>
      </c>
      <c r="O239">
        <v>5</v>
      </c>
      <c r="P239" s="1" t="s">
        <v>53</v>
      </c>
      <c r="Q239">
        <v>3</v>
      </c>
      <c r="R239" s="1" t="s">
        <v>39</v>
      </c>
      <c r="S239">
        <v>19068</v>
      </c>
      <c r="T239">
        <v>21030</v>
      </c>
      <c r="U239">
        <v>1</v>
      </c>
      <c r="V239" s="1" t="s">
        <v>33</v>
      </c>
      <c r="W239">
        <v>18</v>
      </c>
      <c r="X239">
        <v>3</v>
      </c>
      <c r="Y239">
        <v>4</v>
      </c>
      <c r="Z239">
        <v>80</v>
      </c>
      <c r="AA239">
        <v>0</v>
      </c>
      <c r="AB239">
        <v>33</v>
      </c>
      <c r="AC239">
        <v>2</v>
      </c>
      <c r="AD239">
        <v>4</v>
      </c>
      <c r="AE239">
        <v>33</v>
      </c>
      <c r="AF239">
        <v>7</v>
      </c>
      <c r="AG239">
        <v>15</v>
      </c>
      <c r="AH239">
        <v>12</v>
      </c>
      <c r="AI239">
        <f>IF(tbl_HRData[[#This Row],[Attrition]] = "Yes",1,0)</f>
        <v>0</v>
      </c>
      <c r="AJ239">
        <f>IF(tbl_HRData[[#This Row],[Attrition]] = "No",1,0)</f>
        <v>1</v>
      </c>
      <c r="AK239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239" s="1" t="str">
        <f>IF(tbl_HRData[[#This Row],[MonthlyIncome]]&lt;5000,"Low",
IF(tbl_HRData[[#This Row],[MonthlyIncome]]&lt;10000,"Medium",
IF(tbl_HRData[[#This Row],[MonthlyIncome]]&lt;15000,"Upper Medium","High")))</f>
        <v>High</v>
      </c>
      <c r="AM239" s="1" t="str">
        <f>IF(tbl_HRData[[#This Row],[YearsAtCompany]]&lt;=5,"0-5 Years",
IF(tbl_HRData[[#This Row],[YearsAtCompany]]&lt;=10,"6-10 Years",
IF(tbl_HRData[[#This Row],[YearsAtCompany]]&lt;=20,"11-20 Years","21+ Years")))</f>
        <v>21+ Years</v>
      </c>
    </row>
    <row r="240" spans="1:39" x14ac:dyDescent="0.35">
      <c r="A240" s="1">
        <v>239</v>
      </c>
      <c r="B240">
        <v>32</v>
      </c>
      <c r="C240" s="1" t="s">
        <v>40</v>
      </c>
      <c r="D240" s="1" t="s">
        <v>34</v>
      </c>
      <c r="E240">
        <v>1401</v>
      </c>
      <c r="F240" s="1" t="s">
        <v>35</v>
      </c>
      <c r="G240">
        <v>4</v>
      </c>
      <c r="H240">
        <v>2</v>
      </c>
      <c r="I240" s="1" t="s">
        <v>36</v>
      </c>
      <c r="J240">
        <v>330</v>
      </c>
      <c r="K240">
        <v>3</v>
      </c>
      <c r="L240" s="1" t="s">
        <v>37</v>
      </c>
      <c r="M240">
        <v>56</v>
      </c>
      <c r="N240">
        <v>3</v>
      </c>
      <c r="O240">
        <v>1</v>
      </c>
      <c r="P240" s="1" t="s">
        <v>54</v>
      </c>
      <c r="Q240">
        <v>2</v>
      </c>
      <c r="R240" s="1" t="s">
        <v>45</v>
      </c>
      <c r="S240">
        <v>3931</v>
      </c>
      <c r="T240">
        <v>20990</v>
      </c>
      <c r="U240">
        <v>2</v>
      </c>
      <c r="V240" s="1" t="s">
        <v>40</v>
      </c>
      <c r="W240">
        <v>11</v>
      </c>
      <c r="X240">
        <v>3</v>
      </c>
      <c r="Y240">
        <v>1</v>
      </c>
      <c r="Z240">
        <v>80</v>
      </c>
      <c r="AA240">
        <v>1</v>
      </c>
      <c r="AB240">
        <v>6</v>
      </c>
      <c r="AC240">
        <v>5</v>
      </c>
      <c r="AD240">
        <v>3</v>
      </c>
      <c r="AE240">
        <v>4</v>
      </c>
      <c r="AF240">
        <v>3</v>
      </c>
      <c r="AG240">
        <v>1</v>
      </c>
      <c r="AH240">
        <v>2</v>
      </c>
      <c r="AI240">
        <f>IF(tbl_HRData[[#This Row],[Attrition]] = "Yes",1,0)</f>
        <v>0</v>
      </c>
      <c r="AJ240">
        <f>IF(tbl_HRData[[#This Row],[Attrition]] = "No",1,0)</f>
        <v>1</v>
      </c>
      <c r="AK240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240" s="1" t="str">
        <f>IF(tbl_HRData[[#This Row],[MonthlyIncome]]&lt;5000,"Low",
IF(tbl_HRData[[#This Row],[MonthlyIncome]]&lt;10000,"Medium",
IF(tbl_HRData[[#This Row],[MonthlyIncome]]&lt;15000,"Upper Medium","High")))</f>
        <v>Low</v>
      </c>
      <c r="AM240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241" spans="1:39" x14ac:dyDescent="0.35">
      <c r="A241" s="1">
        <v>240</v>
      </c>
      <c r="B241">
        <v>32</v>
      </c>
      <c r="C241" s="1" t="s">
        <v>33</v>
      </c>
      <c r="D241" s="1" t="s">
        <v>34</v>
      </c>
      <c r="E241">
        <v>515</v>
      </c>
      <c r="F241" s="1" t="s">
        <v>42</v>
      </c>
      <c r="G241">
        <v>1</v>
      </c>
      <c r="H241">
        <v>3</v>
      </c>
      <c r="I241" s="1" t="s">
        <v>36</v>
      </c>
      <c r="J241">
        <v>331</v>
      </c>
      <c r="K241">
        <v>4</v>
      </c>
      <c r="L241" s="1" t="s">
        <v>43</v>
      </c>
      <c r="M241">
        <v>62</v>
      </c>
      <c r="N241">
        <v>2</v>
      </c>
      <c r="O241">
        <v>1</v>
      </c>
      <c r="P241" s="1" t="s">
        <v>47</v>
      </c>
      <c r="Q241">
        <v>3</v>
      </c>
      <c r="R241" s="1" t="s">
        <v>39</v>
      </c>
      <c r="S241">
        <v>3730</v>
      </c>
      <c r="T241">
        <v>9571</v>
      </c>
      <c r="U241">
        <v>0</v>
      </c>
      <c r="V241" s="1" t="s">
        <v>33</v>
      </c>
      <c r="W241">
        <v>14</v>
      </c>
      <c r="X241">
        <v>3</v>
      </c>
      <c r="Y241">
        <v>4</v>
      </c>
      <c r="Z241">
        <v>80</v>
      </c>
      <c r="AA241">
        <v>0</v>
      </c>
      <c r="AB241">
        <v>4</v>
      </c>
      <c r="AC241">
        <v>2</v>
      </c>
      <c r="AD241">
        <v>1</v>
      </c>
      <c r="AE241">
        <v>3</v>
      </c>
      <c r="AF241">
        <v>2</v>
      </c>
      <c r="AG241">
        <v>1</v>
      </c>
      <c r="AH241">
        <v>2</v>
      </c>
      <c r="AI241">
        <f>IF(tbl_HRData[[#This Row],[Attrition]] = "Yes",1,0)</f>
        <v>1</v>
      </c>
      <c r="AJ241">
        <f>IF(tbl_HRData[[#This Row],[Attrition]] = "No",1,0)</f>
        <v>0</v>
      </c>
      <c r="AK241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241" s="1" t="str">
        <f>IF(tbl_HRData[[#This Row],[MonthlyIncome]]&lt;5000,"Low",
IF(tbl_HRData[[#This Row],[MonthlyIncome]]&lt;10000,"Medium",
IF(tbl_HRData[[#This Row],[MonthlyIncome]]&lt;15000,"Upper Medium","High")))</f>
        <v>Low</v>
      </c>
      <c r="AM241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242" spans="1:39" x14ac:dyDescent="0.35">
      <c r="A242" s="1">
        <v>241</v>
      </c>
      <c r="B242">
        <v>39</v>
      </c>
      <c r="C242" s="1" t="s">
        <v>40</v>
      </c>
      <c r="D242" s="1" t="s">
        <v>34</v>
      </c>
      <c r="E242">
        <v>1431</v>
      </c>
      <c r="F242" s="1" t="s">
        <v>42</v>
      </c>
      <c r="G242">
        <v>1</v>
      </c>
      <c r="H242">
        <v>4</v>
      </c>
      <c r="I242" s="1" t="s">
        <v>48</v>
      </c>
      <c r="J242">
        <v>332</v>
      </c>
      <c r="K242">
        <v>3</v>
      </c>
      <c r="L242" s="1" t="s">
        <v>37</v>
      </c>
      <c r="M242">
        <v>96</v>
      </c>
      <c r="N242">
        <v>3</v>
      </c>
      <c r="O242">
        <v>1</v>
      </c>
      <c r="P242" s="1" t="s">
        <v>47</v>
      </c>
      <c r="Q242">
        <v>3</v>
      </c>
      <c r="R242" s="1" t="s">
        <v>49</v>
      </c>
      <c r="S242">
        <v>2232</v>
      </c>
      <c r="T242">
        <v>15417</v>
      </c>
      <c r="U242">
        <v>7</v>
      </c>
      <c r="V242" s="1" t="s">
        <v>40</v>
      </c>
      <c r="W242">
        <v>14</v>
      </c>
      <c r="X242">
        <v>3</v>
      </c>
      <c r="Y242">
        <v>3</v>
      </c>
      <c r="Z242">
        <v>80</v>
      </c>
      <c r="AA242">
        <v>3</v>
      </c>
      <c r="AB242">
        <v>7</v>
      </c>
      <c r="AC242">
        <v>1</v>
      </c>
      <c r="AD242">
        <v>3</v>
      </c>
      <c r="AE242">
        <v>3</v>
      </c>
      <c r="AF242">
        <v>2</v>
      </c>
      <c r="AG242">
        <v>1</v>
      </c>
      <c r="AH242">
        <v>2</v>
      </c>
      <c r="AI242">
        <f>IF(tbl_HRData[[#This Row],[Attrition]] = "Yes",1,0)</f>
        <v>0</v>
      </c>
      <c r="AJ242">
        <f>IF(tbl_HRData[[#This Row],[Attrition]] = "No",1,0)</f>
        <v>1</v>
      </c>
      <c r="AK242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242" s="1" t="str">
        <f>IF(tbl_HRData[[#This Row],[MonthlyIncome]]&lt;5000,"Low",
IF(tbl_HRData[[#This Row],[MonthlyIncome]]&lt;10000,"Medium",
IF(tbl_HRData[[#This Row],[MonthlyIncome]]&lt;15000,"Upper Medium","High")))</f>
        <v>Low</v>
      </c>
      <c r="AM242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243" spans="1:39" x14ac:dyDescent="0.35">
      <c r="A243" s="1">
        <v>242</v>
      </c>
      <c r="B243">
        <v>32</v>
      </c>
      <c r="C243" s="1" t="s">
        <v>40</v>
      </c>
      <c r="D243" s="1" t="s">
        <v>52</v>
      </c>
      <c r="E243">
        <v>976</v>
      </c>
      <c r="F243" s="1" t="s">
        <v>35</v>
      </c>
      <c r="G243">
        <v>26</v>
      </c>
      <c r="H243">
        <v>4</v>
      </c>
      <c r="I243" s="1" t="s">
        <v>56</v>
      </c>
      <c r="J243">
        <v>333</v>
      </c>
      <c r="K243">
        <v>3</v>
      </c>
      <c r="L243" s="1" t="s">
        <v>43</v>
      </c>
      <c r="M243">
        <v>100</v>
      </c>
      <c r="N243">
        <v>3</v>
      </c>
      <c r="O243">
        <v>2</v>
      </c>
      <c r="P243" s="1" t="s">
        <v>38</v>
      </c>
      <c r="Q243">
        <v>4</v>
      </c>
      <c r="R243" s="1" t="s">
        <v>45</v>
      </c>
      <c r="S243">
        <v>4465</v>
      </c>
      <c r="T243">
        <v>12069</v>
      </c>
      <c r="U243">
        <v>0</v>
      </c>
      <c r="V243" s="1" t="s">
        <v>40</v>
      </c>
      <c r="W243">
        <v>18</v>
      </c>
      <c r="X243">
        <v>3</v>
      </c>
      <c r="Y243">
        <v>1</v>
      </c>
      <c r="Z243">
        <v>80</v>
      </c>
      <c r="AA243">
        <v>0</v>
      </c>
      <c r="AB243">
        <v>4</v>
      </c>
      <c r="AC243">
        <v>2</v>
      </c>
      <c r="AD243">
        <v>3</v>
      </c>
      <c r="AE243">
        <v>3</v>
      </c>
      <c r="AF243">
        <v>2</v>
      </c>
      <c r="AG243">
        <v>2</v>
      </c>
      <c r="AH243">
        <v>2</v>
      </c>
      <c r="AI243">
        <f>IF(tbl_HRData[[#This Row],[Attrition]] = "Yes",1,0)</f>
        <v>0</v>
      </c>
      <c r="AJ243">
        <f>IF(tbl_HRData[[#This Row],[Attrition]] = "No",1,0)</f>
        <v>1</v>
      </c>
      <c r="AK243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243" s="1" t="str">
        <f>IF(tbl_HRData[[#This Row],[MonthlyIncome]]&lt;5000,"Low",
IF(tbl_HRData[[#This Row],[MonthlyIncome]]&lt;10000,"Medium",
IF(tbl_HRData[[#This Row],[MonthlyIncome]]&lt;15000,"Upper Medium","High")))</f>
        <v>Low</v>
      </c>
      <c r="AM243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244" spans="1:39" x14ac:dyDescent="0.35">
      <c r="A244" s="1">
        <v>243</v>
      </c>
      <c r="B244">
        <v>41</v>
      </c>
      <c r="C244" s="1" t="s">
        <v>40</v>
      </c>
      <c r="D244" s="1" t="s">
        <v>34</v>
      </c>
      <c r="E244">
        <v>1411</v>
      </c>
      <c r="F244" s="1" t="s">
        <v>42</v>
      </c>
      <c r="G244">
        <v>19</v>
      </c>
      <c r="H244">
        <v>2</v>
      </c>
      <c r="I244" s="1" t="s">
        <v>36</v>
      </c>
      <c r="J244">
        <v>334</v>
      </c>
      <c r="K244">
        <v>3</v>
      </c>
      <c r="L244" s="1" t="s">
        <v>43</v>
      </c>
      <c r="M244">
        <v>36</v>
      </c>
      <c r="N244">
        <v>3</v>
      </c>
      <c r="O244">
        <v>2</v>
      </c>
      <c r="P244" s="1" t="s">
        <v>44</v>
      </c>
      <c r="Q244">
        <v>1</v>
      </c>
      <c r="R244" s="1" t="s">
        <v>49</v>
      </c>
      <c r="S244">
        <v>3072</v>
      </c>
      <c r="T244">
        <v>19877</v>
      </c>
      <c r="U244">
        <v>2</v>
      </c>
      <c r="V244" s="1" t="s">
        <v>40</v>
      </c>
      <c r="W244">
        <v>16</v>
      </c>
      <c r="X244">
        <v>3</v>
      </c>
      <c r="Y244">
        <v>1</v>
      </c>
      <c r="Z244">
        <v>80</v>
      </c>
      <c r="AA244">
        <v>2</v>
      </c>
      <c r="AB244">
        <v>17</v>
      </c>
      <c r="AC244">
        <v>2</v>
      </c>
      <c r="AD244">
        <v>2</v>
      </c>
      <c r="AE244">
        <v>1</v>
      </c>
      <c r="AF244">
        <v>0</v>
      </c>
      <c r="AG244">
        <v>0</v>
      </c>
      <c r="AH244">
        <v>0</v>
      </c>
      <c r="AI244">
        <f>IF(tbl_HRData[[#This Row],[Attrition]] = "Yes",1,0)</f>
        <v>0</v>
      </c>
      <c r="AJ244">
        <f>IF(tbl_HRData[[#This Row],[Attrition]] = "No",1,0)</f>
        <v>1</v>
      </c>
      <c r="AK244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244" s="1" t="str">
        <f>IF(tbl_HRData[[#This Row],[MonthlyIncome]]&lt;5000,"Low",
IF(tbl_HRData[[#This Row],[MonthlyIncome]]&lt;10000,"Medium",
IF(tbl_HRData[[#This Row],[MonthlyIncome]]&lt;15000,"Upper Medium","High")))</f>
        <v>Low</v>
      </c>
      <c r="AM244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245" spans="1:39" x14ac:dyDescent="0.35">
      <c r="A245" s="1">
        <v>244</v>
      </c>
      <c r="B245">
        <v>40</v>
      </c>
      <c r="C245" s="1" t="s">
        <v>40</v>
      </c>
      <c r="D245" s="1" t="s">
        <v>34</v>
      </c>
      <c r="E245">
        <v>1300</v>
      </c>
      <c r="F245" s="1" t="s">
        <v>42</v>
      </c>
      <c r="G245">
        <v>24</v>
      </c>
      <c r="H245">
        <v>2</v>
      </c>
      <c r="I245" s="1" t="s">
        <v>57</v>
      </c>
      <c r="J245">
        <v>335</v>
      </c>
      <c r="K245">
        <v>1</v>
      </c>
      <c r="L245" s="1" t="s">
        <v>43</v>
      </c>
      <c r="M245">
        <v>62</v>
      </c>
      <c r="N245">
        <v>3</v>
      </c>
      <c r="O245">
        <v>2</v>
      </c>
      <c r="P245" s="1" t="s">
        <v>44</v>
      </c>
      <c r="Q245">
        <v>4</v>
      </c>
      <c r="R245" s="1" t="s">
        <v>49</v>
      </c>
      <c r="S245">
        <v>3319</v>
      </c>
      <c r="T245">
        <v>24447</v>
      </c>
      <c r="U245">
        <v>1</v>
      </c>
      <c r="V245" s="1" t="s">
        <v>40</v>
      </c>
      <c r="W245">
        <v>17</v>
      </c>
      <c r="X245">
        <v>3</v>
      </c>
      <c r="Y245">
        <v>1</v>
      </c>
      <c r="Z245">
        <v>80</v>
      </c>
      <c r="AA245">
        <v>2</v>
      </c>
      <c r="AB245">
        <v>9</v>
      </c>
      <c r="AC245">
        <v>3</v>
      </c>
      <c r="AD245">
        <v>3</v>
      </c>
      <c r="AE245">
        <v>9</v>
      </c>
      <c r="AF245">
        <v>8</v>
      </c>
      <c r="AG245">
        <v>4</v>
      </c>
      <c r="AH245">
        <v>7</v>
      </c>
      <c r="AI245">
        <f>IF(tbl_HRData[[#This Row],[Attrition]] = "Yes",1,0)</f>
        <v>0</v>
      </c>
      <c r="AJ245">
        <f>IF(tbl_HRData[[#This Row],[Attrition]] = "No",1,0)</f>
        <v>1</v>
      </c>
      <c r="AK245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245" s="1" t="str">
        <f>IF(tbl_HRData[[#This Row],[MonthlyIncome]]&lt;5000,"Low",
IF(tbl_HRData[[#This Row],[MonthlyIncome]]&lt;10000,"Medium",
IF(tbl_HRData[[#This Row],[MonthlyIncome]]&lt;15000,"Upper Medium","High")))</f>
        <v>Low</v>
      </c>
      <c r="AM245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246" spans="1:39" x14ac:dyDescent="0.35">
      <c r="A246" s="1">
        <v>245</v>
      </c>
      <c r="B246">
        <v>45</v>
      </c>
      <c r="C246" s="1" t="s">
        <v>40</v>
      </c>
      <c r="D246" s="1" t="s">
        <v>34</v>
      </c>
      <c r="E246">
        <v>252</v>
      </c>
      <c r="F246" s="1" t="s">
        <v>42</v>
      </c>
      <c r="G246">
        <v>1</v>
      </c>
      <c r="H246">
        <v>3</v>
      </c>
      <c r="I246" s="1" t="s">
        <v>46</v>
      </c>
      <c r="J246">
        <v>336</v>
      </c>
      <c r="K246">
        <v>3</v>
      </c>
      <c r="L246" s="1" t="s">
        <v>43</v>
      </c>
      <c r="M246">
        <v>70</v>
      </c>
      <c r="N246">
        <v>4</v>
      </c>
      <c r="O246">
        <v>5</v>
      </c>
      <c r="P246" s="1" t="s">
        <v>53</v>
      </c>
      <c r="Q246">
        <v>4</v>
      </c>
      <c r="R246" s="1" t="s">
        <v>45</v>
      </c>
      <c r="S246">
        <v>19202</v>
      </c>
      <c r="T246">
        <v>15970</v>
      </c>
      <c r="U246">
        <v>0</v>
      </c>
      <c r="V246" s="1" t="s">
        <v>40</v>
      </c>
      <c r="W246">
        <v>11</v>
      </c>
      <c r="X246">
        <v>3</v>
      </c>
      <c r="Y246">
        <v>3</v>
      </c>
      <c r="Z246">
        <v>80</v>
      </c>
      <c r="AA246">
        <v>1</v>
      </c>
      <c r="AB246">
        <v>25</v>
      </c>
      <c r="AC246">
        <v>2</v>
      </c>
      <c r="AD246">
        <v>3</v>
      </c>
      <c r="AE246">
        <v>24</v>
      </c>
      <c r="AF246">
        <v>0</v>
      </c>
      <c r="AG246">
        <v>1</v>
      </c>
      <c r="AH246">
        <v>7</v>
      </c>
      <c r="AI246">
        <f>IF(tbl_HRData[[#This Row],[Attrition]] = "Yes",1,0)</f>
        <v>0</v>
      </c>
      <c r="AJ246">
        <f>IF(tbl_HRData[[#This Row],[Attrition]] = "No",1,0)</f>
        <v>1</v>
      </c>
      <c r="AK246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246" s="1" t="str">
        <f>IF(tbl_HRData[[#This Row],[MonthlyIncome]]&lt;5000,"Low",
IF(tbl_HRData[[#This Row],[MonthlyIncome]]&lt;10000,"Medium",
IF(tbl_HRData[[#This Row],[MonthlyIncome]]&lt;15000,"Upper Medium","High")))</f>
        <v>High</v>
      </c>
      <c r="AM246" s="1" t="str">
        <f>IF(tbl_HRData[[#This Row],[YearsAtCompany]]&lt;=5,"0-5 Years",
IF(tbl_HRData[[#This Row],[YearsAtCompany]]&lt;=10,"6-10 Years",
IF(tbl_HRData[[#This Row],[YearsAtCompany]]&lt;=20,"11-20 Years","21+ Years")))</f>
        <v>21+ Years</v>
      </c>
    </row>
    <row r="247" spans="1:39" x14ac:dyDescent="0.35">
      <c r="A247" s="1">
        <v>246</v>
      </c>
      <c r="B247">
        <v>31</v>
      </c>
      <c r="C247" s="1" t="s">
        <v>40</v>
      </c>
      <c r="D247" s="1" t="s">
        <v>41</v>
      </c>
      <c r="E247">
        <v>1327</v>
      </c>
      <c r="F247" s="1" t="s">
        <v>42</v>
      </c>
      <c r="G247">
        <v>3</v>
      </c>
      <c r="H247">
        <v>4</v>
      </c>
      <c r="I247" s="1" t="s">
        <v>48</v>
      </c>
      <c r="J247">
        <v>337</v>
      </c>
      <c r="K247">
        <v>2</v>
      </c>
      <c r="L247" s="1" t="s">
        <v>43</v>
      </c>
      <c r="M247">
        <v>73</v>
      </c>
      <c r="N247">
        <v>3</v>
      </c>
      <c r="O247">
        <v>3</v>
      </c>
      <c r="P247" s="1" t="s">
        <v>55</v>
      </c>
      <c r="Q247">
        <v>3</v>
      </c>
      <c r="R247" s="1" t="s">
        <v>49</v>
      </c>
      <c r="S247">
        <v>13675</v>
      </c>
      <c r="T247">
        <v>13523</v>
      </c>
      <c r="U247">
        <v>9</v>
      </c>
      <c r="V247" s="1" t="s">
        <v>40</v>
      </c>
      <c r="W247">
        <v>12</v>
      </c>
      <c r="X247">
        <v>3</v>
      </c>
      <c r="Y247">
        <v>1</v>
      </c>
      <c r="Z247">
        <v>80</v>
      </c>
      <c r="AA247">
        <v>1</v>
      </c>
      <c r="AB247">
        <v>9</v>
      </c>
      <c r="AC247">
        <v>3</v>
      </c>
      <c r="AD247">
        <v>3</v>
      </c>
      <c r="AE247">
        <v>2</v>
      </c>
      <c r="AF247">
        <v>2</v>
      </c>
      <c r="AG247">
        <v>2</v>
      </c>
      <c r="AH247">
        <v>2</v>
      </c>
      <c r="AI247">
        <f>IF(tbl_HRData[[#This Row],[Attrition]] = "Yes",1,0)</f>
        <v>0</v>
      </c>
      <c r="AJ247">
        <f>IF(tbl_HRData[[#This Row],[Attrition]] = "No",1,0)</f>
        <v>1</v>
      </c>
      <c r="AK247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247" s="1" t="str">
        <f>IF(tbl_HRData[[#This Row],[MonthlyIncome]]&lt;5000,"Low",
IF(tbl_HRData[[#This Row],[MonthlyIncome]]&lt;10000,"Medium",
IF(tbl_HRData[[#This Row],[MonthlyIncome]]&lt;15000,"Upper Medium","High")))</f>
        <v>Upper Medium</v>
      </c>
      <c r="AM247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248" spans="1:39" x14ac:dyDescent="0.35">
      <c r="A248" s="1">
        <v>247</v>
      </c>
      <c r="B248">
        <v>33</v>
      </c>
      <c r="C248" s="1" t="s">
        <v>40</v>
      </c>
      <c r="D248" s="1" t="s">
        <v>34</v>
      </c>
      <c r="E248">
        <v>832</v>
      </c>
      <c r="F248" s="1" t="s">
        <v>42</v>
      </c>
      <c r="G248">
        <v>5</v>
      </c>
      <c r="H248">
        <v>4</v>
      </c>
      <c r="I248" s="1" t="s">
        <v>36</v>
      </c>
      <c r="J248">
        <v>338</v>
      </c>
      <c r="K248">
        <v>3</v>
      </c>
      <c r="L248" s="1" t="s">
        <v>37</v>
      </c>
      <c r="M248">
        <v>63</v>
      </c>
      <c r="N248">
        <v>2</v>
      </c>
      <c r="O248">
        <v>1</v>
      </c>
      <c r="P248" s="1" t="s">
        <v>44</v>
      </c>
      <c r="Q248">
        <v>4</v>
      </c>
      <c r="R248" s="1" t="s">
        <v>45</v>
      </c>
      <c r="S248">
        <v>2911</v>
      </c>
      <c r="T248">
        <v>14776</v>
      </c>
      <c r="U248">
        <v>1</v>
      </c>
      <c r="V248" s="1" t="s">
        <v>40</v>
      </c>
      <c r="W248">
        <v>13</v>
      </c>
      <c r="X248">
        <v>3</v>
      </c>
      <c r="Y248">
        <v>3</v>
      </c>
      <c r="Z248">
        <v>80</v>
      </c>
      <c r="AA248">
        <v>1</v>
      </c>
      <c r="AB248">
        <v>2</v>
      </c>
      <c r="AC248">
        <v>2</v>
      </c>
      <c r="AD248">
        <v>2</v>
      </c>
      <c r="AE248">
        <v>2</v>
      </c>
      <c r="AF248">
        <v>2</v>
      </c>
      <c r="AG248">
        <v>0</v>
      </c>
      <c r="AH248">
        <v>2</v>
      </c>
      <c r="AI248">
        <f>IF(tbl_HRData[[#This Row],[Attrition]] = "Yes",1,0)</f>
        <v>0</v>
      </c>
      <c r="AJ248">
        <f>IF(tbl_HRData[[#This Row],[Attrition]] = "No",1,0)</f>
        <v>1</v>
      </c>
      <c r="AK248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248" s="1" t="str">
        <f>IF(tbl_HRData[[#This Row],[MonthlyIncome]]&lt;5000,"Low",
IF(tbl_HRData[[#This Row],[MonthlyIncome]]&lt;10000,"Medium",
IF(tbl_HRData[[#This Row],[MonthlyIncome]]&lt;15000,"Upper Medium","High")))</f>
        <v>Low</v>
      </c>
      <c r="AM248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249" spans="1:39" x14ac:dyDescent="0.35">
      <c r="A249" s="1">
        <v>248</v>
      </c>
      <c r="B249">
        <v>34</v>
      </c>
      <c r="C249" s="1" t="s">
        <v>40</v>
      </c>
      <c r="D249" s="1" t="s">
        <v>34</v>
      </c>
      <c r="E249">
        <v>470</v>
      </c>
      <c r="F249" s="1" t="s">
        <v>42</v>
      </c>
      <c r="G249">
        <v>2</v>
      </c>
      <c r="H249">
        <v>4</v>
      </c>
      <c r="I249" s="1" t="s">
        <v>36</v>
      </c>
      <c r="J249">
        <v>339</v>
      </c>
      <c r="K249">
        <v>4</v>
      </c>
      <c r="L249" s="1" t="s">
        <v>43</v>
      </c>
      <c r="M249">
        <v>84</v>
      </c>
      <c r="N249">
        <v>2</v>
      </c>
      <c r="O249">
        <v>2</v>
      </c>
      <c r="P249" s="1" t="s">
        <v>50</v>
      </c>
      <c r="Q249">
        <v>1</v>
      </c>
      <c r="R249" s="1" t="s">
        <v>45</v>
      </c>
      <c r="S249">
        <v>5957</v>
      </c>
      <c r="T249">
        <v>23687</v>
      </c>
      <c r="U249">
        <v>6</v>
      </c>
      <c r="V249" s="1" t="s">
        <v>40</v>
      </c>
      <c r="W249">
        <v>13</v>
      </c>
      <c r="X249">
        <v>3</v>
      </c>
      <c r="Y249">
        <v>2</v>
      </c>
      <c r="Z249">
        <v>80</v>
      </c>
      <c r="AA249">
        <v>1</v>
      </c>
      <c r="AB249">
        <v>13</v>
      </c>
      <c r="AC249">
        <v>3</v>
      </c>
      <c r="AD249">
        <v>3</v>
      </c>
      <c r="AE249">
        <v>11</v>
      </c>
      <c r="AF249">
        <v>9</v>
      </c>
      <c r="AG249">
        <v>5</v>
      </c>
      <c r="AH249">
        <v>9</v>
      </c>
      <c r="AI249">
        <f>IF(tbl_HRData[[#This Row],[Attrition]] = "Yes",1,0)</f>
        <v>0</v>
      </c>
      <c r="AJ249">
        <f>IF(tbl_HRData[[#This Row],[Attrition]] = "No",1,0)</f>
        <v>1</v>
      </c>
      <c r="AK249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249" s="1" t="str">
        <f>IF(tbl_HRData[[#This Row],[MonthlyIncome]]&lt;5000,"Low",
IF(tbl_HRData[[#This Row],[MonthlyIncome]]&lt;10000,"Medium",
IF(tbl_HRData[[#This Row],[MonthlyIncome]]&lt;15000,"Upper Medium","High")))</f>
        <v>Medium</v>
      </c>
      <c r="AM249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250" spans="1:39" x14ac:dyDescent="0.35">
      <c r="A250" s="1">
        <v>249</v>
      </c>
      <c r="B250">
        <v>37</v>
      </c>
      <c r="C250" s="1" t="s">
        <v>40</v>
      </c>
      <c r="D250" s="1" t="s">
        <v>34</v>
      </c>
      <c r="E250">
        <v>1017</v>
      </c>
      <c r="F250" s="1" t="s">
        <v>42</v>
      </c>
      <c r="G250">
        <v>1</v>
      </c>
      <c r="H250">
        <v>2</v>
      </c>
      <c r="I250" s="1" t="s">
        <v>48</v>
      </c>
      <c r="J250">
        <v>340</v>
      </c>
      <c r="K250">
        <v>3</v>
      </c>
      <c r="L250" s="1" t="s">
        <v>37</v>
      </c>
      <c r="M250">
        <v>83</v>
      </c>
      <c r="N250">
        <v>2</v>
      </c>
      <c r="O250">
        <v>1</v>
      </c>
      <c r="P250" s="1" t="s">
        <v>44</v>
      </c>
      <c r="Q250">
        <v>1</v>
      </c>
      <c r="R250" s="1" t="s">
        <v>45</v>
      </c>
      <c r="S250">
        <v>3920</v>
      </c>
      <c r="T250">
        <v>18697</v>
      </c>
      <c r="U250">
        <v>2</v>
      </c>
      <c r="V250" s="1" t="s">
        <v>40</v>
      </c>
      <c r="W250">
        <v>14</v>
      </c>
      <c r="X250">
        <v>3</v>
      </c>
      <c r="Y250">
        <v>1</v>
      </c>
      <c r="Z250">
        <v>80</v>
      </c>
      <c r="AA250">
        <v>1</v>
      </c>
      <c r="AB250">
        <v>17</v>
      </c>
      <c r="AC250">
        <v>2</v>
      </c>
      <c r="AD250">
        <v>2</v>
      </c>
      <c r="AE250">
        <v>3</v>
      </c>
      <c r="AF250">
        <v>1</v>
      </c>
      <c r="AG250">
        <v>0</v>
      </c>
      <c r="AH250">
        <v>2</v>
      </c>
      <c r="AI250">
        <f>IF(tbl_HRData[[#This Row],[Attrition]] = "Yes",1,0)</f>
        <v>0</v>
      </c>
      <c r="AJ250">
        <f>IF(tbl_HRData[[#This Row],[Attrition]] = "No",1,0)</f>
        <v>1</v>
      </c>
      <c r="AK250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250" s="1" t="str">
        <f>IF(tbl_HRData[[#This Row],[MonthlyIncome]]&lt;5000,"Low",
IF(tbl_HRData[[#This Row],[MonthlyIncome]]&lt;10000,"Medium",
IF(tbl_HRData[[#This Row],[MonthlyIncome]]&lt;15000,"Upper Medium","High")))</f>
        <v>Low</v>
      </c>
      <c r="AM250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251" spans="1:39" x14ac:dyDescent="0.35">
      <c r="A251" s="1">
        <v>250</v>
      </c>
      <c r="B251">
        <v>45</v>
      </c>
      <c r="C251" s="1" t="s">
        <v>40</v>
      </c>
      <c r="D251" s="1" t="s">
        <v>41</v>
      </c>
      <c r="E251">
        <v>1199</v>
      </c>
      <c r="F251" s="1" t="s">
        <v>42</v>
      </c>
      <c r="G251">
        <v>7</v>
      </c>
      <c r="H251">
        <v>4</v>
      </c>
      <c r="I251" s="1" t="s">
        <v>36</v>
      </c>
      <c r="J251">
        <v>341</v>
      </c>
      <c r="K251">
        <v>1</v>
      </c>
      <c r="L251" s="1" t="s">
        <v>43</v>
      </c>
      <c r="M251">
        <v>77</v>
      </c>
      <c r="N251">
        <v>4</v>
      </c>
      <c r="O251">
        <v>2</v>
      </c>
      <c r="P251" s="1" t="s">
        <v>50</v>
      </c>
      <c r="Q251">
        <v>3</v>
      </c>
      <c r="R251" s="1" t="s">
        <v>45</v>
      </c>
      <c r="S251">
        <v>6434</v>
      </c>
      <c r="T251">
        <v>5118</v>
      </c>
      <c r="U251">
        <v>4</v>
      </c>
      <c r="V251" s="1" t="s">
        <v>40</v>
      </c>
      <c r="W251">
        <v>17</v>
      </c>
      <c r="X251">
        <v>3</v>
      </c>
      <c r="Y251">
        <v>4</v>
      </c>
      <c r="Z251">
        <v>80</v>
      </c>
      <c r="AA251">
        <v>1</v>
      </c>
      <c r="AB251">
        <v>9</v>
      </c>
      <c r="AC251">
        <v>1</v>
      </c>
      <c r="AD251">
        <v>3</v>
      </c>
      <c r="AE251">
        <v>3</v>
      </c>
      <c r="AF251">
        <v>2</v>
      </c>
      <c r="AG251">
        <v>0</v>
      </c>
      <c r="AH251">
        <v>2</v>
      </c>
      <c r="AI251">
        <f>IF(tbl_HRData[[#This Row],[Attrition]] = "Yes",1,0)</f>
        <v>0</v>
      </c>
      <c r="AJ251">
        <f>IF(tbl_HRData[[#This Row],[Attrition]] = "No",1,0)</f>
        <v>1</v>
      </c>
      <c r="AK251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251" s="1" t="str">
        <f>IF(tbl_HRData[[#This Row],[MonthlyIncome]]&lt;5000,"Low",
IF(tbl_HRData[[#This Row],[MonthlyIncome]]&lt;10000,"Medium",
IF(tbl_HRData[[#This Row],[MonthlyIncome]]&lt;15000,"Upper Medium","High")))</f>
        <v>Medium</v>
      </c>
      <c r="AM251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252" spans="1:39" x14ac:dyDescent="0.35">
      <c r="A252" s="1">
        <v>251</v>
      </c>
      <c r="B252">
        <v>37</v>
      </c>
      <c r="C252" s="1" t="s">
        <v>33</v>
      </c>
      <c r="D252" s="1" t="s">
        <v>41</v>
      </c>
      <c r="E252">
        <v>504</v>
      </c>
      <c r="F252" s="1" t="s">
        <v>42</v>
      </c>
      <c r="G252">
        <v>10</v>
      </c>
      <c r="H252">
        <v>3</v>
      </c>
      <c r="I252" s="1" t="s">
        <v>48</v>
      </c>
      <c r="J252">
        <v>342</v>
      </c>
      <c r="K252">
        <v>1</v>
      </c>
      <c r="L252" s="1" t="s">
        <v>43</v>
      </c>
      <c r="M252">
        <v>61</v>
      </c>
      <c r="N252">
        <v>3</v>
      </c>
      <c r="O252">
        <v>3</v>
      </c>
      <c r="P252" s="1" t="s">
        <v>50</v>
      </c>
      <c r="Q252">
        <v>3</v>
      </c>
      <c r="R252" s="1" t="s">
        <v>49</v>
      </c>
      <c r="S252">
        <v>10048</v>
      </c>
      <c r="T252">
        <v>22573</v>
      </c>
      <c r="U252">
        <v>6</v>
      </c>
      <c r="V252" s="1" t="s">
        <v>40</v>
      </c>
      <c r="W252">
        <v>11</v>
      </c>
      <c r="X252">
        <v>3</v>
      </c>
      <c r="Y252">
        <v>2</v>
      </c>
      <c r="Z252">
        <v>80</v>
      </c>
      <c r="AA252">
        <v>2</v>
      </c>
      <c r="AB252">
        <v>17</v>
      </c>
      <c r="AC252">
        <v>5</v>
      </c>
      <c r="AD252">
        <v>3</v>
      </c>
      <c r="AE252">
        <v>1</v>
      </c>
      <c r="AF252">
        <v>0</v>
      </c>
      <c r="AG252">
        <v>0</v>
      </c>
      <c r="AH252">
        <v>0</v>
      </c>
      <c r="AI252">
        <f>IF(tbl_HRData[[#This Row],[Attrition]] = "Yes",1,0)</f>
        <v>1</v>
      </c>
      <c r="AJ252">
        <f>IF(tbl_HRData[[#This Row],[Attrition]] = "No",1,0)</f>
        <v>0</v>
      </c>
      <c r="AK252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252" s="1" t="str">
        <f>IF(tbl_HRData[[#This Row],[MonthlyIncome]]&lt;5000,"Low",
IF(tbl_HRData[[#This Row],[MonthlyIncome]]&lt;10000,"Medium",
IF(tbl_HRData[[#This Row],[MonthlyIncome]]&lt;15000,"Upper Medium","High")))</f>
        <v>Upper Medium</v>
      </c>
      <c r="AM252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253" spans="1:39" x14ac:dyDescent="0.35">
      <c r="A253" s="1">
        <v>252</v>
      </c>
      <c r="B253">
        <v>39</v>
      </c>
      <c r="C253" s="1" t="s">
        <v>40</v>
      </c>
      <c r="D253" s="1" t="s">
        <v>41</v>
      </c>
      <c r="E253">
        <v>505</v>
      </c>
      <c r="F253" s="1" t="s">
        <v>42</v>
      </c>
      <c r="G253">
        <v>2</v>
      </c>
      <c r="H253">
        <v>4</v>
      </c>
      <c r="I253" s="1" t="s">
        <v>57</v>
      </c>
      <c r="J253">
        <v>343</v>
      </c>
      <c r="K253">
        <v>3</v>
      </c>
      <c r="L253" s="1" t="s">
        <v>37</v>
      </c>
      <c r="M253">
        <v>64</v>
      </c>
      <c r="N253">
        <v>3</v>
      </c>
      <c r="O253">
        <v>3</v>
      </c>
      <c r="P253" s="1" t="s">
        <v>51</v>
      </c>
      <c r="Q253">
        <v>3</v>
      </c>
      <c r="R253" s="1" t="s">
        <v>39</v>
      </c>
      <c r="S253">
        <v>10938</v>
      </c>
      <c r="T253">
        <v>6420</v>
      </c>
      <c r="U253">
        <v>0</v>
      </c>
      <c r="V253" s="1" t="s">
        <v>40</v>
      </c>
      <c r="W253">
        <v>25</v>
      </c>
      <c r="X253">
        <v>4</v>
      </c>
      <c r="Y253">
        <v>4</v>
      </c>
      <c r="Z253">
        <v>80</v>
      </c>
      <c r="AA253">
        <v>0</v>
      </c>
      <c r="AB253">
        <v>20</v>
      </c>
      <c r="AC253">
        <v>1</v>
      </c>
      <c r="AD253">
        <v>3</v>
      </c>
      <c r="AE253">
        <v>19</v>
      </c>
      <c r="AF253">
        <v>6</v>
      </c>
      <c r="AG253">
        <v>11</v>
      </c>
      <c r="AH253">
        <v>8</v>
      </c>
      <c r="AI253">
        <f>IF(tbl_HRData[[#This Row],[Attrition]] = "Yes",1,0)</f>
        <v>0</v>
      </c>
      <c r="AJ253">
        <f>IF(tbl_HRData[[#This Row],[Attrition]] = "No",1,0)</f>
        <v>1</v>
      </c>
      <c r="AK253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253" s="1" t="str">
        <f>IF(tbl_HRData[[#This Row],[MonthlyIncome]]&lt;5000,"Low",
IF(tbl_HRData[[#This Row],[MonthlyIncome]]&lt;10000,"Medium",
IF(tbl_HRData[[#This Row],[MonthlyIncome]]&lt;15000,"Upper Medium","High")))</f>
        <v>Upper Medium</v>
      </c>
      <c r="AM253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254" spans="1:39" x14ac:dyDescent="0.35">
      <c r="A254" s="1">
        <v>253</v>
      </c>
      <c r="B254">
        <v>29</v>
      </c>
      <c r="C254" s="1" t="s">
        <v>40</v>
      </c>
      <c r="D254" s="1" t="s">
        <v>34</v>
      </c>
      <c r="E254">
        <v>665</v>
      </c>
      <c r="F254" s="1" t="s">
        <v>42</v>
      </c>
      <c r="G254">
        <v>15</v>
      </c>
      <c r="H254">
        <v>3</v>
      </c>
      <c r="I254" s="1" t="s">
        <v>36</v>
      </c>
      <c r="J254">
        <v>346</v>
      </c>
      <c r="K254">
        <v>3</v>
      </c>
      <c r="L254" s="1" t="s">
        <v>43</v>
      </c>
      <c r="M254">
        <v>60</v>
      </c>
      <c r="N254">
        <v>3</v>
      </c>
      <c r="O254">
        <v>1</v>
      </c>
      <c r="P254" s="1" t="s">
        <v>44</v>
      </c>
      <c r="Q254">
        <v>4</v>
      </c>
      <c r="R254" s="1" t="s">
        <v>39</v>
      </c>
      <c r="S254">
        <v>2340</v>
      </c>
      <c r="T254">
        <v>22673</v>
      </c>
      <c r="U254">
        <v>1</v>
      </c>
      <c r="V254" s="1" t="s">
        <v>40</v>
      </c>
      <c r="W254">
        <v>19</v>
      </c>
      <c r="X254">
        <v>3</v>
      </c>
      <c r="Y254">
        <v>1</v>
      </c>
      <c r="Z254">
        <v>80</v>
      </c>
      <c r="AA254">
        <v>0</v>
      </c>
      <c r="AB254">
        <v>6</v>
      </c>
      <c r="AC254">
        <v>1</v>
      </c>
      <c r="AD254">
        <v>3</v>
      </c>
      <c r="AE254">
        <v>6</v>
      </c>
      <c r="AF254">
        <v>5</v>
      </c>
      <c r="AG254">
        <v>1</v>
      </c>
      <c r="AH254">
        <v>5</v>
      </c>
      <c r="AI254">
        <f>IF(tbl_HRData[[#This Row],[Attrition]] = "Yes",1,0)</f>
        <v>0</v>
      </c>
      <c r="AJ254">
        <f>IF(tbl_HRData[[#This Row],[Attrition]] = "No",1,0)</f>
        <v>1</v>
      </c>
      <c r="AK254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254" s="1" t="str">
        <f>IF(tbl_HRData[[#This Row],[MonthlyIncome]]&lt;5000,"Low",
IF(tbl_HRData[[#This Row],[MonthlyIncome]]&lt;10000,"Medium",
IF(tbl_HRData[[#This Row],[MonthlyIncome]]&lt;15000,"Upper Medium","High")))</f>
        <v>Low</v>
      </c>
      <c r="AM254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255" spans="1:39" x14ac:dyDescent="0.35">
      <c r="A255" s="1">
        <v>254</v>
      </c>
      <c r="B255">
        <v>42</v>
      </c>
      <c r="C255" s="1" t="s">
        <v>40</v>
      </c>
      <c r="D255" s="1" t="s">
        <v>34</v>
      </c>
      <c r="E255">
        <v>916</v>
      </c>
      <c r="F255" s="1" t="s">
        <v>42</v>
      </c>
      <c r="G255">
        <v>17</v>
      </c>
      <c r="H255">
        <v>2</v>
      </c>
      <c r="I255" s="1" t="s">
        <v>36</v>
      </c>
      <c r="J255">
        <v>347</v>
      </c>
      <c r="K255">
        <v>4</v>
      </c>
      <c r="L255" s="1" t="s">
        <v>37</v>
      </c>
      <c r="M255">
        <v>82</v>
      </c>
      <c r="N255">
        <v>4</v>
      </c>
      <c r="O255">
        <v>2</v>
      </c>
      <c r="P255" s="1" t="s">
        <v>44</v>
      </c>
      <c r="Q255">
        <v>1</v>
      </c>
      <c r="R255" s="1" t="s">
        <v>39</v>
      </c>
      <c r="S255">
        <v>6545</v>
      </c>
      <c r="T255">
        <v>23016</v>
      </c>
      <c r="U255">
        <v>3</v>
      </c>
      <c r="V255" s="1" t="s">
        <v>33</v>
      </c>
      <c r="W255">
        <v>13</v>
      </c>
      <c r="X255">
        <v>3</v>
      </c>
      <c r="Y255">
        <v>3</v>
      </c>
      <c r="Z255">
        <v>80</v>
      </c>
      <c r="AA255">
        <v>0</v>
      </c>
      <c r="AB255">
        <v>10</v>
      </c>
      <c r="AC255">
        <v>1</v>
      </c>
      <c r="AD255">
        <v>3</v>
      </c>
      <c r="AE255">
        <v>3</v>
      </c>
      <c r="AF255">
        <v>2</v>
      </c>
      <c r="AG255">
        <v>0</v>
      </c>
      <c r="AH255">
        <v>2</v>
      </c>
      <c r="AI255">
        <f>IF(tbl_HRData[[#This Row],[Attrition]] = "Yes",1,0)</f>
        <v>0</v>
      </c>
      <c r="AJ255">
        <f>IF(tbl_HRData[[#This Row],[Attrition]] = "No",1,0)</f>
        <v>1</v>
      </c>
      <c r="AK255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255" s="1" t="str">
        <f>IF(tbl_HRData[[#This Row],[MonthlyIncome]]&lt;5000,"Low",
IF(tbl_HRData[[#This Row],[MonthlyIncome]]&lt;10000,"Medium",
IF(tbl_HRData[[#This Row],[MonthlyIncome]]&lt;15000,"Upper Medium","High")))</f>
        <v>Medium</v>
      </c>
      <c r="AM255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256" spans="1:39" x14ac:dyDescent="0.35">
      <c r="A256" s="1">
        <v>255</v>
      </c>
      <c r="B256">
        <v>29</v>
      </c>
      <c r="C256" s="1" t="s">
        <v>40</v>
      </c>
      <c r="D256" s="1" t="s">
        <v>34</v>
      </c>
      <c r="E256">
        <v>1247</v>
      </c>
      <c r="F256" s="1" t="s">
        <v>35</v>
      </c>
      <c r="G256">
        <v>20</v>
      </c>
      <c r="H256">
        <v>2</v>
      </c>
      <c r="I256" s="1" t="s">
        <v>56</v>
      </c>
      <c r="J256">
        <v>349</v>
      </c>
      <c r="K256">
        <v>4</v>
      </c>
      <c r="L256" s="1" t="s">
        <v>43</v>
      </c>
      <c r="M256">
        <v>45</v>
      </c>
      <c r="N256">
        <v>3</v>
      </c>
      <c r="O256">
        <v>2</v>
      </c>
      <c r="P256" s="1" t="s">
        <v>38</v>
      </c>
      <c r="Q256">
        <v>4</v>
      </c>
      <c r="R256" s="1" t="s">
        <v>49</v>
      </c>
      <c r="S256">
        <v>6931</v>
      </c>
      <c r="T256">
        <v>10732</v>
      </c>
      <c r="U256">
        <v>2</v>
      </c>
      <c r="V256" s="1" t="s">
        <v>40</v>
      </c>
      <c r="W256">
        <v>14</v>
      </c>
      <c r="X256">
        <v>3</v>
      </c>
      <c r="Y256">
        <v>4</v>
      </c>
      <c r="Z256">
        <v>80</v>
      </c>
      <c r="AA256">
        <v>1</v>
      </c>
      <c r="AB256">
        <v>10</v>
      </c>
      <c r="AC256">
        <v>2</v>
      </c>
      <c r="AD256">
        <v>3</v>
      </c>
      <c r="AE256">
        <v>3</v>
      </c>
      <c r="AF256">
        <v>2</v>
      </c>
      <c r="AG256">
        <v>0</v>
      </c>
      <c r="AH256">
        <v>2</v>
      </c>
      <c r="AI256">
        <f>IF(tbl_HRData[[#This Row],[Attrition]] = "Yes",1,0)</f>
        <v>0</v>
      </c>
      <c r="AJ256">
        <f>IF(tbl_HRData[[#This Row],[Attrition]] = "No",1,0)</f>
        <v>1</v>
      </c>
      <c r="AK256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256" s="1" t="str">
        <f>IF(tbl_HRData[[#This Row],[MonthlyIncome]]&lt;5000,"Low",
IF(tbl_HRData[[#This Row],[MonthlyIncome]]&lt;10000,"Medium",
IF(tbl_HRData[[#This Row],[MonthlyIncome]]&lt;15000,"Upper Medium","High")))</f>
        <v>Medium</v>
      </c>
      <c r="AM256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257" spans="1:39" x14ac:dyDescent="0.35">
      <c r="A257" s="1">
        <v>256</v>
      </c>
      <c r="B257">
        <v>25</v>
      </c>
      <c r="C257" s="1" t="s">
        <v>40</v>
      </c>
      <c r="D257" s="1" t="s">
        <v>34</v>
      </c>
      <c r="E257">
        <v>685</v>
      </c>
      <c r="F257" s="1" t="s">
        <v>42</v>
      </c>
      <c r="G257">
        <v>1</v>
      </c>
      <c r="H257">
        <v>3</v>
      </c>
      <c r="I257" s="1" t="s">
        <v>36</v>
      </c>
      <c r="J257">
        <v>350</v>
      </c>
      <c r="K257">
        <v>1</v>
      </c>
      <c r="L257" s="1" t="s">
        <v>37</v>
      </c>
      <c r="M257">
        <v>62</v>
      </c>
      <c r="N257">
        <v>3</v>
      </c>
      <c r="O257">
        <v>2</v>
      </c>
      <c r="P257" s="1" t="s">
        <v>50</v>
      </c>
      <c r="Q257">
        <v>3</v>
      </c>
      <c r="R257" s="1" t="s">
        <v>45</v>
      </c>
      <c r="S257">
        <v>4898</v>
      </c>
      <c r="T257">
        <v>7505</v>
      </c>
      <c r="U257">
        <v>0</v>
      </c>
      <c r="V257" s="1" t="s">
        <v>40</v>
      </c>
      <c r="W257">
        <v>12</v>
      </c>
      <c r="X257">
        <v>3</v>
      </c>
      <c r="Y257">
        <v>4</v>
      </c>
      <c r="Z257">
        <v>80</v>
      </c>
      <c r="AA257">
        <v>2</v>
      </c>
      <c r="AB257">
        <v>5</v>
      </c>
      <c r="AC257">
        <v>3</v>
      </c>
      <c r="AD257">
        <v>3</v>
      </c>
      <c r="AE257">
        <v>4</v>
      </c>
      <c r="AF257">
        <v>2</v>
      </c>
      <c r="AG257">
        <v>1</v>
      </c>
      <c r="AH257">
        <v>2</v>
      </c>
      <c r="AI257">
        <f>IF(tbl_HRData[[#This Row],[Attrition]] = "Yes",1,0)</f>
        <v>0</v>
      </c>
      <c r="AJ257">
        <f>IF(tbl_HRData[[#This Row],[Attrition]] = "No",1,0)</f>
        <v>1</v>
      </c>
      <c r="AK257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257" s="1" t="str">
        <f>IF(tbl_HRData[[#This Row],[MonthlyIncome]]&lt;5000,"Low",
IF(tbl_HRData[[#This Row],[MonthlyIncome]]&lt;10000,"Medium",
IF(tbl_HRData[[#This Row],[MonthlyIncome]]&lt;15000,"Upper Medium","High")))</f>
        <v>Low</v>
      </c>
      <c r="AM257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258" spans="1:39" x14ac:dyDescent="0.35">
      <c r="A258" s="1">
        <v>257</v>
      </c>
      <c r="B258">
        <v>42</v>
      </c>
      <c r="C258" s="1" t="s">
        <v>40</v>
      </c>
      <c r="D258" s="1" t="s">
        <v>34</v>
      </c>
      <c r="E258">
        <v>269</v>
      </c>
      <c r="F258" s="1" t="s">
        <v>42</v>
      </c>
      <c r="G258">
        <v>2</v>
      </c>
      <c r="H258">
        <v>3</v>
      </c>
      <c r="I258" s="1" t="s">
        <v>48</v>
      </c>
      <c r="J258">
        <v>351</v>
      </c>
      <c r="K258">
        <v>4</v>
      </c>
      <c r="L258" s="1" t="s">
        <v>37</v>
      </c>
      <c r="M258">
        <v>56</v>
      </c>
      <c r="N258">
        <v>2</v>
      </c>
      <c r="O258">
        <v>1</v>
      </c>
      <c r="P258" s="1" t="s">
        <v>47</v>
      </c>
      <c r="Q258">
        <v>1</v>
      </c>
      <c r="R258" s="1" t="s">
        <v>49</v>
      </c>
      <c r="S258">
        <v>2593</v>
      </c>
      <c r="T258">
        <v>8007</v>
      </c>
      <c r="U258">
        <v>0</v>
      </c>
      <c r="V258" s="1" t="s">
        <v>33</v>
      </c>
      <c r="W258">
        <v>11</v>
      </c>
      <c r="X258">
        <v>3</v>
      </c>
      <c r="Y258">
        <v>3</v>
      </c>
      <c r="Z258">
        <v>80</v>
      </c>
      <c r="AA258">
        <v>1</v>
      </c>
      <c r="AB258">
        <v>10</v>
      </c>
      <c r="AC258">
        <v>4</v>
      </c>
      <c r="AD258">
        <v>3</v>
      </c>
      <c r="AE258">
        <v>9</v>
      </c>
      <c r="AF258">
        <v>6</v>
      </c>
      <c r="AG258">
        <v>7</v>
      </c>
      <c r="AH258">
        <v>8</v>
      </c>
      <c r="AI258">
        <f>IF(tbl_HRData[[#This Row],[Attrition]] = "Yes",1,0)</f>
        <v>0</v>
      </c>
      <c r="AJ258">
        <f>IF(tbl_HRData[[#This Row],[Attrition]] = "No",1,0)</f>
        <v>1</v>
      </c>
      <c r="AK258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258" s="1" t="str">
        <f>IF(tbl_HRData[[#This Row],[MonthlyIncome]]&lt;5000,"Low",
IF(tbl_HRData[[#This Row],[MonthlyIncome]]&lt;10000,"Medium",
IF(tbl_HRData[[#This Row],[MonthlyIncome]]&lt;15000,"Upper Medium","High")))</f>
        <v>Low</v>
      </c>
      <c r="AM258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259" spans="1:39" x14ac:dyDescent="0.35">
      <c r="A259" s="1">
        <v>258</v>
      </c>
      <c r="B259">
        <v>40</v>
      </c>
      <c r="C259" s="1" t="s">
        <v>40</v>
      </c>
      <c r="D259" s="1" t="s">
        <v>34</v>
      </c>
      <c r="E259">
        <v>1416</v>
      </c>
      <c r="F259" s="1" t="s">
        <v>42</v>
      </c>
      <c r="G259">
        <v>2</v>
      </c>
      <c r="H259">
        <v>2</v>
      </c>
      <c r="I259" s="1" t="s">
        <v>48</v>
      </c>
      <c r="J259">
        <v>352</v>
      </c>
      <c r="K259">
        <v>1</v>
      </c>
      <c r="L259" s="1" t="s">
        <v>43</v>
      </c>
      <c r="M259">
        <v>49</v>
      </c>
      <c r="N259">
        <v>3</v>
      </c>
      <c r="O259">
        <v>5</v>
      </c>
      <c r="P259" s="1" t="s">
        <v>55</v>
      </c>
      <c r="Q259">
        <v>3</v>
      </c>
      <c r="R259" s="1" t="s">
        <v>49</v>
      </c>
      <c r="S259">
        <v>19436</v>
      </c>
      <c r="T259">
        <v>5949</v>
      </c>
      <c r="U259">
        <v>0</v>
      </c>
      <c r="V259" s="1" t="s">
        <v>40</v>
      </c>
      <c r="W259">
        <v>19</v>
      </c>
      <c r="X259">
        <v>3</v>
      </c>
      <c r="Y259">
        <v>4</v>
      </c>
      <c r="Z259">
        <v>80</v>
      </c>
      <c r="AA259">
        <v>1</v>
      </c>
      <c r="AB259">
        <v>22</v>
      </c>
      <c r="AC259">
        <v>5</v>
      </c>
      <c r="AD259">
        <v>3</v>
      </c>
      <c r="AE259">
        <v>21</v>
      </c>
      <c r="AF259">
        <v>7</v>
      </c>
      <c r="AG259">
        <v>3</v>
      </c>
      <c r="AH259">
        <v>9</v>
      </c>
      <c r="AI259">
        <f>IF(tbl_HRData[[#This Row],[Attrition]] = "Yes",1,0)</f>
        <v>0</v>
      </c>
      <c r="AJ259">
        <f>IF(tbl_HRData[[#This Row],[Attrition]] = "No",1,0)</f>
        <v>1</v>
      </c>
      <c r="AK259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259" s="1" t="str">
        <f>IF(tbl_HRData[[#This Row],[MonthlyIncome]]&lt;5000,"Low",
IF(tbl_HRData[[#This Row],[MonthlyIncome]]&lt;10000,"Medium",
IF(tbl_HRData[[#This Row],[MonthlyIncome]]&lt;15000,"Upper Medium","High")))</f>
        <v>High</v>
      </c>
      <c r="AM259" s="1" t="str">
        <f>IF(tbl_HRData[[#This Row],[YearsAtCompany]]&lt;=5,"0-5 Years",
IF(tbl_HRData[[#This Row],[YearsAtCompany]]&lt;=10,"6-10 Years",
IF(tbl_HRData[[#This Row],[YearsAtCompany]]&lt;=20,"11-20 Years","21+ Years")))</f>
        <v>21+ Years</v>
      </c>
    </row>
    <row r="260" spans="1:39" x14ac:dyDescent="0.35">
      <c r="A260" s="1">
        <v>259</v>
      </c>
      <c r="B260">
        <v>51</v>
      </c>
      <c r="C260" s="1" t="s">
        <v>40</v>
      </c>
      <c r="D260" s="1" t="s">
        <v>34</v>
      </c>
      <c r="E260">
        <v>833</v>
      </c>
      <c r="F260" s="1" t="s">
        <v>42</v>
      </c>
      <c r="G260">
        <v>1</v>
      </c>
      <c r="H260">
        <v>3</v>
      </c>
      <c r="I260" s="1" t="s">
        <v>36</v>
      </c>
      <c r="J260">
        <v>353</v>
      </c>
      <c r="K260">
        <v>3</v>
      </c>
      <c r="L260" s="1" t="s">
        <v>43</v>
      </c>
      <c r="M260">
        <v>96</v>
      </c>
      <c r="N260">
        <v>3</v>
      </c>
      <c r="O260">
        <v>1</v>
      </c>
      <c r="P260" s="1" t="s">
        <v>44</v>
      </c>
      <c r="Q260">
        <v>4</v>
      </c>
      <c r="R260" s="1" t="s">
        <v>45</v>
      </c>
      <c r="S260">
        <v>2723</v>
      </c>
      <c r="T260">
        <v>23231</v>
      </c>
      <c r="U260">
        <v>1</v>
      </c>
      <c r="V260" s="1" t="s">
        <v>40</v>
      </c>
      <c r="W260">
        <v>11</v>
      </c>
      <c r="X260">
        <v>3</v>
      </c>
      <c r="Y260">
        <v>2</v>
      </c>
      <c r="Z260">
        <v>80</v>
      </c>
      <c r="AA260">
        <v>0</v>
      </c>
      <c r="AB260">
        <v>1</v>
      </c>
      <c r="AC260">
        <v>0</v>
      </c>
      <c r="AD260">
        <v>2</v>
      </c>
      <c r="AE260">
        <v>1</v>
      </c>
      <c r="AF260">
        <v>0</v>
      </c>
      <c r="AG260">
        <v>0</v>
      </c>
      <c r="AH260">
        <v>0</v>
      </c>
      <c r="AI260">
        <f>IF(tbl_HRData[[#This Row],[Attrition]] = "Yes",1,0)</f>
        <v>0</v>
      </c>
      <c r="AJ260">
        <f>IF(tbl_HRData[[#This Row],[Attrition]] = "No",1,0)</f>
        <v>1</v>
      </c>
      <c r="AK260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260" s="1" t="str">
        <f>IF(tbl_HRData[[#This Row],[MonthlyIncome]]&lt;5000,"Low",
IF(tbl_HRData[[#This Row],[MonthlyIncome]]&lt;10000,"Medium",
IF(tbl_HRData[[#This Row],[MonthlyIncome]]&lt;15000,"Upper Medium","High")))</f>
        <v>Low</v>
      </c>
      <c r="AM260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261" spans="1:39" x14ac:dyDescent="0.35">
      <c r="A261" s="1">
        <v>260</v>
      </c>
      <c r="B261">
        <v>31</v>
      </c>
      <c r="C261" s="1" t="s">
        <v>33</v>
      </c>
      <c r="D261" s="1" t="s">
        <v>41</v>
      </c>
      <c r="E261">
        <v>307</v>
      </c>
      <c r="F261" s="1" t="s">
        <v>42</v>
      </c>
      <c r="G261">
        <v>29</v>
      </c>
      <c r="H261">
        <v>2</v>
      </c>
      <c r="I261" s="1" t="s">
        <v>48</v>
      </c>
      <c r="J261">
        <v>355</v>
      </c>
      <c r="K261">
        <v>3</v>
      </c>
      <c r="L261" s="1" t="s">
        <v>43</v>
      </c>
      <c r="M261">
        <v>71</v>
      </c>
      <c r="N261">
        <v>2</v>
      </c>
      <c r="O261">
        <v>1</v>
      </c>
      <c r="P261" s="1" t="s">
        <v>47</v>
      </c>
      <c r="Q261">
        <v>2</v>
      </c>
      <c r="R261" s="1" t="s">
        <v>39</v>
      </c>
      <c r="S261">
        <v>3479</v>
      </c>
      <c r="T261">
        <v>11652</v>
      </c>
      <c r="U261">
        <v>0</v>
      </c>
      <c r="V261" s="1" t="s">
        <v>40</v>
      </c>
      <c r="W261">
        <v>11</v>
      </c>
      <c r="X261">
        <v>3</v>
      </c>
      <c r="Y261">
        <v>2</v>
      </c>
      <c r="Z261">
        <v>80</v>
      </c>
      <c r="AA261">
        <v>0</v>
      </c>
      <c r="AB261">
        <v>6</v>
      </c>
      <c r="AC261">
        <v>2</v>
      </c>
      <c r="AD261">
        <v>4</v>
      </c>
      <c r="AE261">
        <v>5</v>
      </c>
      <c r="AF261">
        <v>4</v>
      </c>
      <c r="AG261">
        <v>1</v>
      </c>
      <c r="AH261">
        <v>4</v>
      </c>
      <c r="AI261">
        <f>IF(tbl_HRData[[#This Row],[Attrition]] = "Yes",1,0)</f>
        <v>1</v>
      </c>
      <c r="AJ261">
        <f>IF(tbl_HRData[[#This Row],[Attrition]] = "No",1,0)</f>
        <v>0</v>
      </c>
      <c r="AK261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261" s="1" t="str">
        <f>IF(tbl_HRData[[#This Row],[MonthlyIncome]]&lt;5000,"Low",
IF(tbl_HRData[[#This Row],[MonthlyIncome]]&lt;10000,"Medium",
IF(tbl_HRData[[#This Row],[MonthlyIncome]]&lt;15000,"Upper Medium","High")))</f>
        <v>Low</v>
      </c>
      <c r="AM261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262" spans="1:39" x14ac:dyDescent="0.35">
      <c r="A262" s="1">
        <v>261</v>
      </c>
      <c r="B262">
        <v>32</v>
      </c>
      <c r="C262" s="1" t="s">
        <v>40</v>
      </c>
      <c r="D262" s="1" t="s">
        <v>41</v>
      </c>
      <c r="E262">
        <v>1311</v>
      </c>
      <c r="F262" s="1" t="s">
        <v>42</v>
      </c>
      <c r="G262">
        <v>7</v>
      </c>
      <c r="H262">
        <v>3</v>
      </c>
      <c r="I262" s="1" t="s">
        <v>36</v>
      </c>
      <c r="J262">
        <v>359</v>
      </c>
      <c r="K262">
        <v>2</v>
      </c>
      <c r="L262" s="1" t="s">
        <v>43</v>
      </c>
      <c r="M262">
        <v>100</v>
      </c>
      <c r="N262">
        <v>4</v>
      </c>
      <c r="O262">
        <v>1</v>
      </c>
      <c r="P262" s="1" t="s">
        <v>47</v>
      </c>
      <c r="Q262">
        <v>2</v>
      </c>
      <c r="R262" s="1" t="s">
        <v>45</v>
      </c>
      <c r="S262">
        <v>2794</v>
      </c>
      <c r="T262">
        <v>26062</v>
      </c>
      <c r="U262">
        <v>1</v>
      </c>
      <c r="V262" s="1" t="s">
        <v>40</v>
      </c>
      <c r="W262">
        <v>20</v>
      </c>
      <c r="X262">
        <v>4</v>
      </c>
      <c r="Y262">
        <v>3</v>
      </c>
      <c r="Z262">
        <v>80</v>
      </c>
      <c r="AA262">
        <v>0</v>
      </c>
      <c r="AB262">
        <v>5</v>
      </c>
      <c r="AC262">
        <v>3</v>
      </c>
      <c r="AD262">
        <v>1</v>
      </c>
      <c r="AE262">
        <v>5</v>
      </c>
      <c r="AF262">
        <v>1</v>
      </c>
      <c r="AG262">
        <v>0</v>
      </c>
      <c r="AH262">
        <v>3</v>
      </c>
      <c r="AI262">
        <f>IF(tbl_HRData[[#This Row],[Attrition]] = "Yes",1,0)</f>
        <v>0</v>
      </c>
      <c r="AJ262">
        <f>IF(tbl_HRData[[#This Row],[Attrition]] = "No",1,0)</f>
        <v>1</v>
      </c>
      <c r="AK262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262" s="1" t="str">
        <f>IF(tbl_HRData[[#This Row],[MonthlyIncome]]&lt;5000,"Low",
IF(tbl_HRData[[#This Row],[MonthlyIncome]]&lt;10000,"Medium",
IF(tbl_HRData[[#This Row],[MonthlyIncome]]&lt;15000,"Upper Medium","High")))</f>
        <v>Low</v>
      </c>
      <c r="AM262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263" spans="1:39" x14ac:dyDescent="0.35">
      <c r="A263" s="1">
        <v>262</v>
      </c>
      <c r="B263">
        <v>38</v>
      </c>
      <c r="C263" s="1" t="s">
        <v>40</v>
      </c>
      <c r="D263" s="1" t="s">
        <v>52</v>
      </c>
      <c r="E263">
        <v>1327</v>
      </c>
      <c r="F263" s="1" t="s">
        <v>35</v>
      </c>
      <c r="G263">
        <v>2</v>
      </c>
      <c r="H263">
        <v>2</v>
      </c>
      <c r="I263" s="1" t="s">
        <v>36</v>
      </c>
      <c r="J263">
        <v>361</v>
      </c>
      <c r="K263">
        <v>4</v>
      </c>
      <c r="L263" s="1" t="s">
        <v>43</v>
      </c>
      <c r="M263">
        <v>39</v>
      </c>
      <c r="N263">
        <v>2</v>
      </c>
      <c r="O263">
        <v>2</v>
      </c>
      <c r="P263" s="1" t="s">
        <v>38</v>
      </c>
      <c r="Q263">
        <v>4</v>
      </c>
      <c r="R263" s="1" t="s">
        <v>45</v>
      </c>
      <c r="S263">
        <v>5249</v>
      </c>
      <c r="T263">
        <v>19682</v>
      </c>
      <c r="U263">
        <v>3</v>
      </c>
      <c r="V263" s="1" t="s">
        <v>40</v>
      </c>
      <c r="W263">
        <v>18</v>
      </c>
      <c r="X263">
        <v>3</v>
      </c>
      <c r="Y263">
        <v>4</v>
      </c>
      <c r="Z263">
        <v>80</v>
      </c>
      <c r="AA263">
        <v>1</v>
      </c>
      <c r="AB263">
        <v>13</v>
      </c>
      <c r="AC263">
        <v>0</v>
      </c>
      <c r="AD263">
        <v>3</v>
      </c>
      <c r="AE263">
        <v>8</v>
      </c>
      <c r="AF263">
        <v>7</v>
      </c>
      <c r="AG263">
        <v>7</v>
      </c>
      <c r="AH263">
        <v>5</v>
      </c>
      <c r="AI263">
        <f>IF(tbl_HRData[[#This Row],[Attrition]] = "Yes",1,0)</f>
        <v>0</v>
      </c>
      <c r="AJ263">
        <f>IF(tbl_HRData[[#This Row],[Attrition]] = "No",1,0)</f>
        <v>1</v>
      </c>
      <c r="AK263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263" s="1" t="str">
        <f>IF(tbl_HRData[[#This Row],[MonthlyIncome]]&lt;5000,"Low",
IF(tbl_HRData[[#This Row],[MonthlyIncome]]&lt;10000,"Medium",
IF(tbl_HRData[[#This Row],[MonthlyIncome]]&lt;15000,"Upper Medium","High")))</f>
        <v>Medium</v>
      </c>
      <c r="AM263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264" spans="1:39" x14ac:dyDescent="0.35">
      <c r="A264" s="1">
        <v>263</v>
      </c>
      <c r="B264">
        <v>32</v>
      </c>
      <c r="C264" s="1" t="s">
        <v>40</v>
      </c>
      <c r="D264" s="1" t="s">
        <v>34</v>
      </c>
      <c r="E264">
        <v>128</v>
      </c>
      <c r="F264" s="1" t="s">
        <v>42</v>
      </c>
      <c r="G264">
        <v>2</v>
      </c>
      <c r="H264">
        <v>1</v>
      </c>
      <c r="I264" s="1" t="s">
        <v>57</v>
      </c>
      <c r="J264">
        <v>362</v>
      </c>
      <c r="K264">
        <v>4</v>
      </c>
      <c r="L264" s="1" t="s">
        <v>43</v>
      </c>
      <c r="M264">
        <v>84</v>
      </c>
      <c r="N264">
        <v>2</v>
      </c>
      <c r="O264">
        <v>2</v>
      </c>
      <c r="P264" s="1" t="s">
        <v>47</v>
      </c>
      <c r="Q264">
        <v>1</v>
      </c>
      <c r="R264" s="1" t="s">
        <v>39</v>
      </c>
      <c r="S264">
        <v>2176</v>
      </c>
      <c r="T264">
        <v>19737</v>
      </c>
      <c r="U264">
        <v>4</v>
      </c>
      <c r="V264" s="1" t="s">
        <v>40</v>
      </c>
      <c r="W264">
        <v>13</v>
      </c>
      <c r="X264">
        <v>3</v>
      </c>
      <c r="Y264">
        <v>4</v>
      </c>
      <c r="Z264">
        <v>80</v>
      </c>
      <c r="AA264">
        <v>0</v>
      </c>
      <c r="AB264">
        <v>9</v>
      </c>
      <c r="AC264">
        <v>5</v>
      </c>
      <c r="AD264">
        <v>3</v>
      </c>
      <c r="AE264">
        <v>6</v>
      </c>
      <c r="AF264">
        <v>2</v>
      </c>
      <c r="AG264">
        <v>0</v>
      </c>
      <c r="AH264">
        <v>4</v>
      </c>
      <c r="AI264">
        <f>IF(tbl_HRData[[#This Row],[Attrition]] = "Yes",1,0)</f>
        <v>0</v>
      </c>
      <c r="AJ264">
        <f>IF(tbl_HRData[[#This Row],[Attrition]] = "No",1,0)</f>
        <v>1</v>
      </c>
      <c r="AK264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264" s="1" t="str">
        <f>IF(tbl_HRData[[#This Row],[MonthlyIncome]]&lt;5000,"Low",
IF(tbl_HRData[[#This Row],[MonthlyIncome]]&lt;10000,"Medium",
IF(tbl_HRData[[#This Row],[MonthlyIncome]]&lt;15000,"Upper Medium","High")))</f>
        <v>Low</v>
      </c>
      <c r="AM264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265" spans="1:39" x14ac:dyDescent="0.35">
      <c r="A265" s="1">
        <v>264</v>
      </c>
      <c r="B265">
        <v>46</v>
      </c>
      <c r="C265" s="1" t="s">
        <v>40</v>
      </c>
      <c r="D265" s="1" t="s">
        <v>34</v>
      </c>
      <c r="E265">
        <v>488</v>
      </c>
      <c r="F265" s="1" t="s">
        <v>35</v>
      </c>
      <c r="G265">
        <v>2</v>
      </c>
      <c r="H265">
        <v>3</v>
      </c>
      <c r="I265" s="1" t="s">
        <v>57</v>
      </c>
      <c r="J265">
        <v>363</v>
      </c>
      <c r="K265">
        <v>3</v>
      </c>
      <c r="L265" s="1" t="s">
        <v>37</v>
      </c>
      <c r="M265">
        <v>75</v>
      </c>
      <c r="N265">
        <v>1</v>
      </c>
      <c r="O265">
        <v>4</v>
      </c>
      <c r="P265" s="1" t="s">
        <v>53</v>
      </c>
      <c r="Q265">
        <v>2</v>
      </c>
      <c r="R265" s="1" t="s">
        <v>45</v>
      </c>
      <c r="S265">
        <v>16872</v>
      </c>
      <c r="T265">
        <v>14977</v>
      </c>
      <c r="U265">
        <v>3</v>
      </c>
      <c r="V265" s="1" t="s">
        <v>33</v>
      </c>
      <c r="W265">
        <v>12</v>
      </c>
      <c r="X265">
        <v>3</v>
      </c>
      <c r="Y265">
        <v>2</v>
      </c>
      <c r="Z265">
        <v>80</v>
      </c>
      <c r="AA265">
        <v>1</v>
      </c>
      <c r="AB265">
        <v>28</v>
      </c>
      <c r="AC265">
        <v>2</v>
      </c>
      <c r="AD265">
        <v>2</v>
      </c>
      <c r="AE265">
        <v>7</v>
      </c>
      <c r="AF265">
        <v>7</v>
      </c>
      <c r="AG265">
        <v>7</v>
      </c>
      <c r="AH265">
        <v>7</v>
      </c>
      <c r="AI265">
        <f>IF(tbl_HRData[[#This Row],[Attrition]] = "Yes",1,0)</f>
        <v>0</v>
      </c>
      <c r="AJ265">
        <f>IF(tbl_HRData[[#This Row],[Attrition]] = "No",1,0)</f>
        <v>1</v>
      </c>
      <c r="AK265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265" s="1" t="str">
        <f>IF(tbl_HRData[[#This Row],[MonthlyIncome]]&lt;5000,"Low",
IF(tbl_HRData[[#This Row],[MonthlyIncome]]&lt;10000,"Medium",
IF(tbl_HRData[[#This Row],[MonthlyIncome]]&lt;15000,"Upper Medium","High")))</f>
        <v>High</v>
      </c>
      <c r="AM265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266" spans="1:39" x14ac:dyDescent="0.35">
      <c r="A266" s="1">
        <v>265</v>
      </c>
      <c r="B266">
        <v>28</v>
      </c>
      <c r="C266" s="1" t="s">
        <v>33</v>
      </c>
      <c r="D266" s="1" t="s">
        <v>34</v>
      </c>
      <c r="E266">
        <v>529</v>
      </c>
      <c r="F266" s="1" t="s">
        <v>42</v>
      </c>
      <c r="G266">
        <v>2</v>
      </c>
      <c r="H266">
        <v>4</v>
      </c>
      <c r="I266" s="1" t="s">
        <v>36</v>
      </c>
      <c r="J266">
        <v>364</v>
      </c>
      <c r="K266">
        <v>1</v>
      </c>
      <c r="L266" s="1" t="s">
        <v>43</v>
      </c>
      <c r="M266">
        <v>79</v>
      </c>
      <c r="N266">
        <v>3</v>
      </c>
      <c r="O266">
        <v>1</v>
      </c>
      <c r="P266" s="1" t="s">
        <v>47</v>
      </c>
      <c r="Q266">
        <v>3</v>
      </c>
      <c r="R266" s="1" t="s">
        <v>39</v>
      </c>
      <c r="S266">
        <v>3485</v>
      </c>
      <c r="T266">
        <v>14935</v>
      </c>
      <c r="U266">
        <v>2</v>
      </c>
      <c r="V266" s="1" t="s">
        <v>40</v>
      </c>
      <c r="W266">
        <v>11</v>
      </c>
      <c r="X266">
        <v>3</v>
      </c>
      <c r="Y266">
        <v>3</v>
      </c>
      <c r="Z266">
        <v>80</v>
      </c>
      <c r="AA266">
        <v>0</v>
      </c>
      <c r="AB266">
        <v>5</v>
      </c>
      <c r="AC266">
        <v>5</v>
      </c>
      <c r="AD266">
        <v>1</v>
      </c>
      <c r="AE266">
        <v>0</v>
      </c>
      <c r="AF266">
        <v>0</v>
      </c>
      <c r="AG266">
        <v>0</v>
      </c>
      <c r="AH266">
        <v>0</v>
      </c>
      <c r="AI266">
        <f>IF(tbl_HRData[[#This Row],[Attrition]] = "Yes",1,0)</f>
        <v>1</v>
      </c>
      <c r="AJ266">
        <f>IF(tbl_HRData[[#This Row],[Attrition]] = "No",1,0)</f>
        <v>0</v>
      </c>
      <c r="AK266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266" s="1" t="str">
        <f>IF(tbl_HRData[[#This Row],[MonthlyIncome]]&lt;5000,"Low",
IF(tbl_HRData[[#This Row],[MonthlyIncome]]&lt;10000,"Medium",
IF(tbl_HRData[[#This Row],[MonthlyIncome]]&lt;15000,"Upper Medium","High")))</f>
        <v>Low</v>
      </c>
      <c r="AM266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267" spans="1:39" x14ac:dyDescent="0.35">
      <c r="A267" s="1">
        <v>266</v>
      </c>
      <c r="B267">
        <v>29</v>
      </c>
      <c r="C267" s="1" t="s">
        <v>40</v>
      </c>
      <c r="D267" s="1" t="s">
        <v>34</v>
      </c>
      <c r="E267">
        <v>1210</v>
      </c>
      <c r="F267" s="1" t="s">
        <v>35</v>
      </c>
      <c r="G267">
        <v>2</v>
      </c>
      <c r="H267">
        <v>3</v>
      </c>
      <c r="I267" s="1" t="s">
        <v>48</v>
      </c>
      <c r="J267">
        <v>366</v>
      </c>
      <c r="K267">
        <v>1</v>
      </c>
      <c r="L267" s="1" t="s">
        <v>43</v>
      </c>
      <c r="M267">
        <v>78</v>
      </c>
      <c r="N267">
        <v>2</v>
      </c>
      <c r="O267">
        <v>2</v>
      </c>
      <c r="P267" s="1" t="s">
        <v>38</v>
      </c>
      <c r="Q267">
        <v>2</v>
      </c>
      <c r="R267" s="1" t="s">
        <v>45</v>
      </c>
      <c r="S267">
        <v>6644</v>
      </c>
      <c r="T267">
        <v>3687</v>
      </c>
      <c r="U267">
        <v>2</v>
      </c>
      <c r="V267" s="1" t="s">
        <v>40</v>
      </c>
      <c r="W267">
        <v>19</v>
      </c>
      <c r="X267">
        <v>3</v>
      </c>
      <c r="Y267">
        <v>2</v>
      </c>
      <c r="Z267">
        <v>80</v>
      </c>
      <c r="AA267">
        <v>2</v>
      </c>
      <c r="AB267">
        <v>10</v>
      </c>
      <c r="AC267">
        <v>2</v>
      </c>
      <c r="AD267">
        <v>3</v>
      </c>
      <c r="AE267">
        <v>0</v>
      </c>
      <c r="AF267">
        <v>0</v>
      </c>
      <c r="AG267">
        <v>0</v>
      </c>
      <c r="AH267">
        <v>0</v>
      </c>
      <c r="AI267">
        <f>IF(tbl_HRData[[#This Row],[Attrition]] = "Yes",1,0)</f>
        <v>0</v>
      </c>
      <c r="AJ267">
        <f>IF(tbl_HRData[[#This Row],[Attrition]] = "No",1,0)</f>
        <v>1</v>
      </c>
      <c r="AK267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267" s="1" t="str">
        <f>IF(tbl_HRData[[#This Row],[MonthlyIncome]]&lt;5000,"Low",
IF(tbl_HRData[[#This Row],[MonthlyIncome]]&lt;10000,"Medium",
IF(tbl_HRData[[#This Row],[MonthlyIncome]]&lt;15000,"Upper Medium","High")))</f>
        <v>Medium</v>
      </c>
      <c r="AM267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268" spans="1:39" x14ac:dyDescent="0.35">
      <c r="A268" s="1">
        <v>267</v>
      </c>
      <c r="B268">
        <v>31</v>
      </c>
      <c r="C268" s="1" t="s">
        <v>40</v>
      </c>
      <c r="D268" s="1" t="s">
        <v>34</v>
      </c>
      <c r="E268">
        <v>1463</v>
      </c>
      <c r="F268" s="1" t="s">
        <v>42</v>
      </c>
      <c r="G268">
        <v>23</v>
      </c>
      <c r="H268">
        <v>3</v>
      </c>
      <c r="I268" s="1" t="s">
        <v>48</v>
      </c>
      <c r="J268">
        <v>367</v>
      </c>
      <c r="K268">
        <v>2</v>
      </c>
      <c r="L268" s="1" t="s">
        <v>43</v>
      </c>
      <c r="M268">
        <v>64</v>
      </c>
      <c r="N268">
        <v>2</v>
      </c>
      <c r="O268">
        <v>2</v>
      </c>
      <c r="P268" s="1" t="s">
        <v>51</v>
      </c>
      <c r="Q268">
        <v>4</v>
      </c>
      <c r="R268" s="1" t="s">
        <v>45</v>
      </c>
      <c r="S268">
        <v>5582</v>
      </c>
      <c r="T268">
        <v>14408</v>
      </c>
      <c r="U268">
        <v>0</v>
      </c>
      <c r="V268" s="1" t="s">
        <v>40</v>
      </c>
      <c r="W268">
        <v>21</v>
      </c>
      <c r="X268">
        <v>4</v>
      </c>
      <c r="Y268">
        <v>2</v>
      </c>
      <c r="Z268">
        <v>80</v>
      </c>
      <c r="AA268">
        <v>1</v>
      </c>
      <c r="AB268">
        <v>10</v>
      </c>
      <c r="AC268">
        <v>2</v>
      </c>
      <c r="AD268">
        <v>3</v>
      </c>
      <c r="AE268">
        <v>9</v>
      </c>
      <c r="AF268">
        <v>0</v>
      </c>
      <c r="AG268">
        <v>7</v>
      </c>
      <c r="AH268">
        <v>8</v>
      </c>
      <c r="AI268">
        <f>IF(tbl_HRData[[#This Row],[Attrition]] = "Yes",1,0)</f>
        <v>0</v>
      </c>
      <c r="AJ268">
        <f>IF(tbl_HRData[[#This Row],[Attrition]] = "No",1,0)</f>
        <v>1</v>
      </c>
      <c r="AK268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268" s="1" t="str">
        <f>IF(tbl_HRData[[#This Row],[MonthlyIncome]]&lt;5000,"Low",
IF(tbl_HRData[[#This Row],[MonthlyIncome]]&lt;10000,"Medium",
IF(tbl_HRData[[#This Row],[MonthlyIncome]]&lt;15000,"Upper Medium","High")))</f>
        <v>Medium</v>
      </c>
      <c r="AM268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269" spans="1:39" x14ac:dyDescent="0.35">
      <c r="A269" s="1">
        <v>268</v>
      </c>
      <c r="B269">
        <v>25</v>
      </c>
      <c r="C269" s="1" t="s">
        <v>40</v>
      </c>
      <c r="D269" s="1" t="s">
        <v>52</v>
      </c>
      <c r="E269">
        <v>675</v>
      </c>
      <c r="F269" s="1" t="s">
        <v>42</v>
      </c>
      <c r="G269">
        <v>5</v>
      </c>
      <c r="H269">
        <v>2</v>
      </c>
      <c r="I269" s="1" t="s">
        <v>36</v>
      </c>
      <c r="J269">
        <v>369</v>
      </c>
      <c r="K269">
        <v>2</v>
      </c>
      <c r="L269" s="1" t="s">
        <v>43</v>
      </c>
      <c r="M269">
        <v>85</v>
      </c>
      <c r="N269">
        <v>4</v>
      </c>
      <c r="O269">
        <v>2</v>
      </c>
      <c r="P269" s="1" t="s">
        <v>51</v>
      </c>
      <c r="Q269">
        <v>1</v>
      </c>
      <c r="R269" s="1" t="s">
        <v>49</v>
      </c>
      <c r="S269">
        <v>4000</v>
      </c>
      <c r="T269">
        <v>18384</v>
      </c>
      <c r="U269">
        <v>1</v>
      </c>
      <c r="V269" s="1" t="s">
        <v>40</v>
      </c>
      <c r="W269">
        <v>12</v>
      </c>
      <c r="X269">
        <v>3</v>
      </c>
      <c r="Y269">
        <v>4</v>
      </c>
      <c r="Z269">
        <v>80</v>
      </c>
      <c r="AA269">
        <v>2</v>
      </c>
      <c r="AB269">
        <v>6</v>
      </c>
      <c r="AC269">
        <v>2</v>
      </c>
      <c r="AD269">
        <v>3</v>
      </c>
      <c r="AE269">
        <v>6</v>
      </c>
      <c r="AF269">
        <v>3</v>
      </c>
      <c r="AG269">
        <v>1</v>
      </c>
      <c r="AH269">
        <v>5</v>
      </c>
      <c r="AI269">
        <f>IF(tbl_HRData[[#This Row],[Attrition]] = "Yes",1,0)</f>
        <v>0</v>
      </c>
      <c r="AJ269">
        <f>IF(tbl_HRData[[#This Row],[Attrition]] = "No",1,0)</f>
        <v>1</v>
      </c>
      <c r="AK269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269" s="1" t="str">
        <f>IF(tbl_HRData[[#This Row],[MonthlyIncome]]&lt;5000,"Low",
IF(tbl_HRData[[#This Row],[MonthlyIncome]]&lt;10000,"Medium",
IF(tbl_HRData[[#This Row],[MonthlyIncome]]&lt;15000,"Upper Medium","High")))</f>
        <v>Low</v>
      </c>
      <c r="AM269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270" spans="1:39" x14ac:dyDescent="0.35">
      <c r="A270" s="1">
        <v>269</v>
      </c>
      <c r="B270">
        <v>45</v>
      </c>
      <c r="C270" s="1" t="s">
        <v>40</v>
      </c>
      <c r="D270" s="1" t="s">
        <v>34</v>
      </c>
      <c r="E270">
        <v>1385</v>
      </c>
      <c r="F270" s="1" t="s">
        <v>42</v>
      </c>
      <c r="G270">
        <v>20</v>
      </c>
      <c r="H270">
        <v>2</v>
      </c>
      <c r="I270" s="1" t="s">
        <v>48</v>
      </c>
      <c r="J270">
        <v>372</v>
      </c>
      <c r="K270">
        <v>3</v>
      </c>
      <c r="L270" s="1" t="s">
        <v>43</v>
      </c>
      <c r="M270">
        <v>79</v>
      </c>
      <c r="N270">
        <v>3</v>
      </c>
      <c r="O270">
        <v>4</v>
      </c>
      <c r="P270" s="1" t="s">
        <v>51</v>
      </c>
      <c r="Q270">
        <v>4</v>
      </c>
      <c r="R270" s="1" t="s">
        <v>45</v>
      </c>
      <c r="S270">
        <v>13496</v>
      </c>
      <c r="T270">
        <v>7501</v>
      </c>
      <c r="U270">
        <v>0</v>
      </c>
      <c r="V270" s="1" t="s">
        <v>33</v>
      </c>
      <c r="W270">
        <v>14</v>
      </c>
      <c r="X270">
        <v>3</v>
      </c>
      <c r="Y270">
        <v>2</v>
      </c>
      <c r="Z270">
        <v>80</v>
      </c>
      <c r="AA270">
        <v>0</v>
      </c>
      <c r="AB270">
        <v>21</v>
      </c>
      <c r="AC270">
        <v>2</v>
      </c>
      <c r="AD270">
        <v>3</v>
      </c>
      <c r="AE270">
        <v>20</v>
      </c>
      <c r="AF270">
        <v>7</v>
      </c>
      <c r="AG270">
        <v>4</v>
      </c>
      <c r="AH270">
        <v>10</v>
      </c>
      <c r="AI270">
        <f>IF(tbl_HRData[[#This Row],[Attrition]] = "Yes",1,0)</f>
        <v>0</v>
      </c>
      <c r="AJ270">
        <f>IF(tbl_HRData[[#This Row],[Attrition]] = "No",1,0)</f>
        <v>1</v>
      </c>
      <c r="AK270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270" s="1" t="str">
        <f>IF(tbl_HRData[[#This Row],[MonthlyIncome]]&lt;5000,"Low",
IF(tbl_HRData[[#This Row],[MonthlyIncome]]&lt;10000,"Medium",
IF(tbl_HRData[[#This Row],[MonthlyIncome]]&lt;15000,"Upper Medium","High")))</f>
        <v>Upper Medium</v>
      </c>
      <c r="AM270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271" spans="1:39" x14ac:dyDescent="0.35">
      <c r="A271" s="1">
        <v>270</v>
      </c>
      <c r="B271">
        <v>36</v>
      </c>
      <c r="C271" s="1" t="s">
        <v>40</v>
      </c>
      <c r="D271" s="1" t="s">
        <v>34</v>
      </c>
      <c r="E271">
        <v>1403</v>
      </c>
      <c r="F271" s="1" t="s">
        <v>42</v>
      </c>
      <c r="G271">
        <v>6</v>
      </c>
      <c r="H271">
        <v>3</v>
      </c>
      <c r="I271" s="1" t="s">
        <v>36</v>
      </c>
      <c r="J271">
        <v>373</v>
      </c>
      <c r="K271">
        <v>4</v>
      </c>
      <c r="L271" s="1" t="s">
        <v>43</v>
      </c>
      <c r="M271">
        <v>47</v>
      </c>
      <c r="N271">
        <v>3</v>
      </c>
      <c r="O271">
        <v>1</v>
      </c>
      <c r="P271" s="1" t="s">
        <v>47</v>
      </c>
      <c r="Q271">
        <v>4</v>
      </c>
      <c r="R271" s="1" t="s">
        <v>45</v>
      </c>
      <c r="S271">
        <v>3210</v>
      </c>
      <c r="T271">
        <v>20251</v>
      </c>
      <c r="U271">
        <v>0</v>
      </c>
      <c r="V271" s="1" t="s">
        <v>40</v>
      </c>
      <c r="W271">
        <v>11</v>
      </c>
      <c r="X271">
        <v>3</v>
      </c>
      <c r="Y271">
        <v>3</v>
      </c>
      <c r="Z271">
        <v>80</v>
      </c>
      <c r="AA271">
        <v>1</v>
      </c>
      <c r="AB271">
        <v>16</v>
      </c>
      <c r="AC271">
        <v>4</v>
      </c>
      <c r="AD271">
        <v>3</v>
      </c>
      <c r="AE271">
        <v>15</v>
      </c>
      <c r="AF271">
        <v>13</v>
      </c>
      <c r="AG271">
        <v>10</v>
      </c>
      <c r="AH271">
        <v>11</v>
      </c>
      <c r="AI271">
        <f>IF(tbl_HRData[[#This Row],[Attrition]] = "Yes",1,0)</f>
        <v>0</v>
      </c>
      <c r="AJ271">
        <f>IF(tbl_HRData[[#This Row],[Attrition]] = "No",1,0)</f>
        <v>1</v>
      </c>
      <c r="AK271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271" s="1" t="str">
        <f>IF(tbl_HRData[[#This Row],[MonthlyIncome]]&lt;5000,"Low",
IF(tbl_HRData[[#This Row],[MonthlyIncome]]&lt;10000,"Medium",
IF(tbl_HRData[[#This Row],[MonthlyIncome]]&lt;15000,"Upper Medium","High")))</f>
        <v>Low</v>
      </c>
      <c r="AM271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272" spans="1:39" x14ac:dyDescent="0.35">
      <c r="A272" s="1">
        <v>271</v>
      </c>
      <c r="B272">
        <v>55</v>
      </c>
      <c r="C272" s="1" t="s">
        <v>40</v>
      </c>
      <c r="D272" s="1" t="s">
        <v>34</v>
      </c>
      <c r="E272">
        <v>452</v>
      </c>
      <c r="F272" s="1" t="s">
        <v>42</v>
      </c>
      <c r="G272">
        <v>1</v>
      </c>
      <c r="H272">
        <v>3</v>
      </c>
      <c r="I272" s="1" t="s">
        <v>48</v>
      </c>
      <c r="J272">
        <v>374</v>
      </c>
      <c r="K272">
        <v>4</v>
      </c>
      <c r="L272" s="1" t="s">
        <v>43</v>
      </c>
      <c r="M272">
        <v>81</v>
      </c>
      <c r="N272">
        <v>3</v>
      </c>
      <c r="O272">
        <v>5</v>
      </c>
      <c r="P272" s="1" t="s">
        <v>53</v>
      </c>
      <c r="Q272">
        <v>1</v>
      </c>
      <c r="R272" s="1" t="s">
        <v>39</v>
      </c>
      <c r="S272">
        <v>19045</v>
      </c>
      <c r="T272">
        <v>18938</v>
      </c>
      <c r="U272">
        <v>0</v>
      </c>
      <c r="V272" s="1" t="s">
        <v>33</v>
      </c>
      <c r="W272">
        <v>14</v>
      </c>
      <c r="X272">
        <v>3</v>
      </c>
      <c r="Y272">
        <v>3</v>
      </c>
      <c r="Z272">
        <v>80</v>
      </c>
      <c r="AA272">
        <v>0</v>
      </c>
      <c r="AB272">
        <v>37</v>
      </c>
      <c r="AC272">
        <v>2</v>
      </c>
      <c r="AD272">
        <v>3</v>
      </c>
      <c r="AE272">
        <v>36</v>
      </c>
      <c r="AF272">
        <v>10</v>
      </c>
      <c r="AG272">
        <v>4</v>
      </c>
      <c r="AH272">
        <v>13</v>
      </c>
      <c r="AI272">
        <f>IF(tbl_HRData[[#This Row],[Attrition]] = "Yes",1,0)</f>
        <v>0</v>
      </c>
      <c r="AJ272">
        <f>IF(tbl_HRData[[#This Row],[Attrition]] = "No",1,0)</f>
        <v>1</v>
      </c>
      <c r="AK272" t="str">
        <f>IF(tbl_HRData[[#This Row],[Age]] &lt; 25, "Under 25", IF(tbl_HRData[[#This Row],[Age]] &lt;= 34, "25-34", IF(tbl_HRData[[#This Row],[Age]] &lt;= 44, "35-44", IF(tbl_HRData[[#This Row],[Age]] &lt;= 54, "45-54", "55+"))))</f>
        <v>55+</v>
      </c>
      <c r="AL272" s="1" t="str">
        <f>IF(tbl_HRData[[#This Row],[MonthlyIncome]]&lt;5000,"Low",
IF(tbl_HRData[[#This Row],[MonthlyIncome]]&lt;10000,"Medium",
IF(tbl_HRData[[#This Row],[MonthlyIncome]]&lt;15000,"Upper Medium","High")))</f>
        <v>High</v>
      </c>
      <c r="AM272" s="1" t="str">
        <f>IF(tbl_HRData[[#This Row],[YearsAtCompany]]&lt;=5,"0-5 Years",
IF(tbl_HRData[[#This Row],[YearsAtCompany]]&lt;=10,"6-10 Years",
IF(tbl_HRData[[#This Row],[YearsAtCompany]]&lt;=20,"11-20 Years","21+ Years")))</f>
        <v>21+ Years</v>
      </c>
    </row>
    <row r="273" spans="1:39" x14ac:dyDescent="0.35">
      <c r="A273" s="1">
        <v>272</v>
      </c>
      <c r="B273">
        <v>47</v>
      </c>
      <c r="C273" s="1" t="s">
        <v>33</v>
      </c>
      <c r="D273" s="1" t="s">
        <v>52</v>
      </c>
      <c r="E273">
        <v>666</v>
      </c>
      <c r="F273" s="1" t="s">
        <v>42</v>
      </c>
      <c r="G273">
        <v>29</v>
      </c>
      <c r="H273">
        <v>4</v>
      </c>
      <c r="I273" s="1" t="s">
        <v>36</v>
      </c>
      <c r="J273">
        <v>376</v>
      </c>
      <c r="K273">
        <v>1</v>
      </c>
      <c r="L273" s="1" t="s">
        <v>43</v>
      </c>
      <c r="M273">
        <v>88</v>
      </c>
      <c r="N273">
        <v>3</v>
      </c>
      <c r="O273">
        <v>3</v>
      </c>
      <c r="P273" s="1" t="s">
        <v>53</v>
      </c>
      <c r="Q273">
        <v>2</v>
      </c>
      <c r="R273" s="1" t="s">
        <v>45</v>
      </c>
      <c r="S273">
        <v>11849</v>
      </c>
      <c r="T273">
        <v>10268</v>
      </c>
      <c r="U273">
        <v>1</v>
      </c>
      <c r="V273" s="1" t="s">
        <v>33</v>
      </c>
      <c r="W273">
        <v>12</v>
      </c>
      <c r="X273">
        <v>3</v>
      </c>
      <c r="Y273">
        <v>4</v>
      </c>
      <c r="Z273">
        <v>80</v>
      </c>
      <c r="AA273">
        <v>1</v>
      </c>
      <c r="AB273">
        <v>10</v>
      </c>
      <c r="AC273">
        <v>2</v>
      </c>
      <c r="AD273">
        <v>2</v>
      </c>
      <c r="AE273">
        <v>10</v>
      </c>
      <c r="AF273">
        <v>7</v>
      </c>
      <c r="AG273">
        <v>9</v>
      </c>
      <c r="AH273">
        <v>9</v>
      </c>
      <c r="AI273">
        <f>IF(tbl_HRData[[#This Row],[Attrition]] = "Yes",1,0)</f>
        <v>1</v>
      </c>
      <c r="AJ273">
        <f>IF(tbl_HRData[[#This Row],[Attrition]] = "No",1,0)</f>
        <v>0</v>
      </c>
      <c r="AK273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273" s="1" t="str">
        <f>IF(tbl_HRData[[#This Row],[MonthlyIncome]]&lt;5000,"Low",
IF(tbl_HRData[[#This Row],[MonthlyIncome]]&lt;10000,"Medium",
IF(tbl_HRData[[#This Row],[MonthlyIncome]]&lt;15000,"Upper Medium","High")))</f>
        <v>Upper Medium</v>
      </c>
      <c r="AM273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274" spans="1:39" x14ac:dyDescent="0.35">
      <c r="A274" s="1">
        <v>273</v>
      </c>
      <c r="B274">
        <v>28</v>
      </c>
      <c r="C274" s="1" t="s">
        <v>40</v>
      </c>
      <c r="D274" s="1" t="s">
        <v>34</v>
      </c>
      <c r="E274">
        <v>1158</v>
      </c>
      <c r="F274" s="1" t="s">
        <v>42</v>
      </c>
      <c r="G274">
        <v>9</v>
      </c>
      <c r="H274">
        <v>3</v>
      </c>
      <c r="I274" s="1" t="s">
        <v>48</v>
      </c>
      <c r="J274">
        <v>377</v>
      </c>
      <c r="K274">
        <v>4</v>
      </c>
      <c r="L274" s="1" t="s">
        <v>43</v>
      </c>
      <c r="M274">
        <v>94</v>
      </c>
      <c r="N274">
        <v>3</v>
      </c>
      <c r="O274">
        <v>1</v>
      </c>
      <c r="P274" s="1" t="s">
        <v>44</v>
      </c>
      <c r="Q274">
        <v>4</v>
      </c>
      <c r="R274" s="1" t="s">
        <v>45</v>
      </c>
      <c r="S274">
        <v>2070</v>
      </c>
      <c r="T274">
        <v>2613</v>
      </c>
      <c r="U274">
        <v>1</v>
      </c>
      <c r="V274" s="1" t="s">
        <v>40</v>
      </c>
      <c r="W274">
        <v>23</v>
      </c>
      <c r="X274">
        <v>4</v>
      </c>
      <c r="Y274">
        <v>4</v>
      </c>
      <c r="Z274">
        <v>80</v>
      </c>
      <c r="AA274">
        <v>1</v>
      </c>
      <c r="AB274">
        <v>5</v>
      </c>
      <c r="AC274">
        <v>3</v>
      </c>
      <c r="AD274">
        <v>2</v>
      </c>
      <c r="AE274">
        <v>5</v>
      </c>
      <c r="AF274">
        <v>2</v>
      </c>
      <c r="AG274">
        <v>0</v>
      </c>
      <c r="AH274">
        <v>4</v>
      </c>
      <c r="AI274">
        <f>IF(tbl_HRData[[#This Row],[Attrition]] = "Yes",1,0)</f>
        <v>0</v>
      </c>
      <c r="AJ274">
        <f>IF(tbl_HRData[[#This Row],[Attrition]] = "No",1,0)</f>
        <v>1</v>
      </c>
      <c r="AK274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274" s="1" t="str">
        <f>IF(tbl_HRData[[#This Row],[MonthlyIncome]]&lt;5000,"Low",
IF(tbl_HRData[[#This Row],[MonthlyIncome]]&lt;10000,"Medium",
IF(tbl_HRData[[#This Row],[MonthlyIncome]]&lt;15000,"Upper Medium","High")))</f>
        <v>Low</v>
      </c>
      <c r="AM274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275" spans="1:39" x14ac:dyDescent="0.35">
      <c r="A275" s="1">
        <v>274</v>
      </c>
      <c r="B275">
        <v>37</v>
      </c>
      <c r="C275" s="1" t="s">
        <v>40</v>
      </c>
      <c r="D275" s="1" t="s">
        <v>34</v>
      </c>
      <c r="E275">
        <v>228</v>
      </c>
      <c r="F275" s="1" t="s">
        <v>35</v>
      </c>
      <c r="G275">
        <v>6</v>
      </c>
      <c r="H275">
        <v>4</v>
      </c>
      <c r="I275" s="1" t="s">
        <v>48</v>
      </c>
      <c r="J275">
        <v>378</v>
      </c>
      <c r="K275">
        <v>3</v>
      </c>
      <c r="L275" s="1" t="s">
        <v>43</v>
      </c>
      <c r="M275">
        <v>98</v>
      </c>
      <c r="N275">
        <v>3</v>
      </c>
      <c r="O275">
        <v>2</v>
      </c>
      <c r="P275" s="1" t="s">
        <v>38</v>
      </c>
      <c r="Q275">
        <v>4</v>
      </c>
      <c r="R275" s="1" t="s">
        <v>45</v>
      </c>
      <c r="S275">
        <v>6502</v>
      </c>
      <c r="T275">
        <v>22825</v>
      </c>
      <c r="U275">
        <v>4</v>
      </c>
      <c r="V275" s="1" t="s">
        <v>40</v>
      </c>
      <c r="W275">
        <v>14</v>
      </c>
      <c r="X275">
        <v>3</v>
      </c>
      <c r="Y275">
        <v>2</v>
      </c>
      <c r="Z275">
        <v>80</v>
      </c>
      <c r="AA275">
        <v>1</v>
      </c>
      <c r="AB275">
        <v>7</v>
      </c>
      <c r="AC275">
        <v>5</v>
      </c>
      <c r="AD275">
        <v>4</v>
      </c>
      <c r="AE275">
        <v>5</v>
      </c>
      <c r="AF275">
        <v>4</v>
      </c>
      <c r="AG275">
        <v>0</v>
      </c>
      <c r="AH275">
        <v>1</v>
      </c>
      <c r="AI275">
        <f>IF(tbl_HRData[[#This Row],[Attrition]] = "Yes",1,0)</f>
        <v>0</v>
      </c>
      <c r="AJ275">
        <f>IF(tbl_HRData[[#This Row],[Attrition]] = "No",1,0)</f>
        <v>1</v>
      </c>
      <c r="AK275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275" s="1" t="str">
        <f>IF(tbl_HRData[[#This Row],[MonthlyIncome]]&lt;5000,"Low",
IF(tbl_HRData[[#This Row],[MonthlyIncome]]&lt;10000,"Medium",
IF(tbl_HRData[[#This Row],[MonthlyIncome]]&lt;15000,"Upper Medium","High")))</f>
        <v>Medium</v>
      </c>
      <c r="AM275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276" spans="1:39" x14ac:dyDescent="0.35">
      <c r="A276" s="1">
        <v>275</v>
      </c>
      <c r="B276">
        <v>21</v>
      </c>
      <c r="C276" s="1" t="s">
        <v>40</v>
      </c>
      <c r="D276" s="1" t="s">
        <v>34</v>
      </c>
      <c r="E276">
        <v>996</v>
      </c>
      <c r="F276" s="1" t="s">
        <v>42</v>
      </c>
      <c r="G276">
        <v>3</v>
      </c>
      <c r="H276">
        <v>2</v>
      </c>
      <c r="I276" s="1" t="s">
        <v>48</v>
      </c>
      <c r="J276">
        <v>379</v>
      </c>
      <c r="K276">
        <v>4</v>
      </c>
      <c r="L276" s="1" t="s">
        <v>43</v>
      </c>
      <c r="M276">
        <v>100</v>
      </c>
      <c r="N276">
        <v>2</v>
      </c>
      <c r="O276">
        <v>1</v>
      </c>
      <c r="P276" s="1" t="s">
        <v>44</v>
      </c>
      <c r="Q276">
        <v>3</v>
      </c>
      <c r="R276" s="1" t="s">
        <v>39</v>
      </c>
      <c r="S276">
        <v>3230</v>
      </c>
      <c r="T276">
        <v>10531</v>
      </c>
      <c r="U276">
        <v>1</v>
      </c>
      <c r="V276" s="1" t="s">
        <v>40</v>
      </c>
      <c r="W276">
        <v>17</v>
      </c>
      <c r="X276">
        <v>3</v>
      </c>
      <c r="Y276">
        <v>1</v>
      </c>
      <c r="Z276">
        <v>80</v>
      </c>
      <c r="AA276">
        <v>0</v>
      </c>
      <c r="AB276">
        <v>3</v>
      </c>
      <c r="AC276">
        <v>4</v>
      </c>
      <c r="AD276">
        <v>4</v>
      </c>
      <c r="AE276">
        <v>3</v>
      </c>
      <c r="AF276">
        <v>2</v>
      </c>
      <c r="AG276">
        <v>1</v>
      </c>
      <c r="AH276">
        <v>0</v>
      </c>
      <c r="AI276">
        <f>IF(tbl_HRData[[#This Row],[Attrition]] = "Yes",1,0)</f>
        <v>0</v>
      </c>
      <c r="AJ276">
        <f>IF(tbl_HRData[[#This Row],[Attrition]] = "No",1,0)</f>
        <v>1</v>
      </c>
      <c r="AK276" t="str">
        <f>IF(tbl_HRData[[#This Row],[Age]] &lt; 25, "Under 25", IF(tbl_HRData[[#This Row],[Age]] &lt;= 34, "25-34", IF(tbl_HRData[[#This Row],[Age]] &lt;= 44, "35-44", IF(tbl_HRData[[#This Row],[Age]] &lt;= 54, "45-54", "55+"))))</f>
        <v>Under 25</v>
      </c>
      <c r="AL276" s="1" t="str">
        <f>IF(tbl_HRData[[#This Row],[MonthlyIncome]]&lt;5000,"Low",
IF(tbl_HRData[[#This Row],[MonthlyIncome]]&lt;10000,"Medium",
IF(tbl_HRData[[#This Row],[MonthlyIncome]]&lt;15000,"Upper Medium","High")))</f>
        <v>Low</v>
      </c>
      <c r="AM276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277" spans="1:39" x14ac:dyDescent="0.35">
      <c r="A277" s="1">
        <v>276</v>
      </c>
      <c r="B277">
        <v>37</v>
      </c>
      <c r="C277" s="1" t="s">
        <v>40</v>
      </c>
      <c r="D277" s="1" t="s">
        <v>52</v>
      </c>
      <c r="E277">
        <v>728</v>
      </c>
      <c r="F277" s="1" t="s">
        <v>42</v>
      </c>
      <c r="G277">
        <v>1</v>
      </c>
      <c r="H277">
        <v>4</v>
      </c>
      <c r="I277" s="1" t="s">
        <v>48</v>
      </c>
      <c r="J277">
        <v>380</v>
      </c>
      <c r="K277">
        <v>1</v>
      </c>
      <c r="L277" s="1" t="s">
        <v>37</v>
      </c>
      <c r="M277">
        <v>80</v>
      </c>
      <c r="N277">
        <v>3</v>
      </c>
      <c r="O277">
        <v>3</v>
      </c>
      <c r="P277" s="1" t="s">
        <v>55</v>
      </c>
      <c r="Q277">
        <v>4</v>
      </c>
      <c r="R277" s="1" t="s">
        <v>49</v>
      </c>
      <c r="S277">
        <v>13603</v>
      </c>
      <c r="T277">
        <v>11677</v>
      </c>
      <c r="U277">
        <v>2</v>
      </c>
      <c r="V277" s="1" t="s">
        <v>33</v>
      </c>
      <c r="W277">
        <v>18</v>
      </c>
      <c r="X277">
        <v>3</v>
      </c>
      <c r="Y277">
        <v>1</v>
      </c>
      <c r="Z277">
        <v>80</v>
      </c>
      <c r="AA277">
        <v>2</v>
      </c>
      <c r="AB277">
        <v>15</v>
      </c>
      <c r="AC277">
        <v>2</v>
      </c>
      <c r="AD277">
        <v>3</v>
      </c>
      <c r="AE277">
        <v>5</v>
      </c>
      <c r="AF277">
        <v>2</v>
      </c>
      <c r="AG277">
        <v>0</v>
      </c>
      <c r="AH277">
        <v>2</v>
      </c>
      <c r="AI277">
        <f>IF(tbl_HRData[[#This Row],[Attrition]] = "Yes",1,0)</f>
        <v>0</v>
      </c>
      <c r="AJ277">
        <f>IF(tbl_HRData[[#This Row],[Attrition]] = "No",1,0)</f>
        <v>1</v>
      </c>
      <c r="AK277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277" s="1" t="str">
        <f>IF(tbl_HRData[[#This Row],[MonthlyIncome]]&lt;5000,"Low",
IF(tbl_HRData[[#This Row],[MonthlyIncome]]&lt;10000,"Medium",
IF(tbl_HRData[[#This Row],[MonthlyIncome]]&lt;15000,"Upper Medium","High")))</f>
        <v>Upper Medium</v>
      </c>
      <c r="AM277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278" spans="1:39" x14ac:dyDescent="0.35">
      <c r="A278" s="1">
        <v>277</v>
      </c>
      <c r="B278">
        <v>35</v>
      </c>
      <c r="C278" s="1" t="s">
        <v>40</v>
      </c>
      <c r="D278" s="1" t="s">
        <v>34</v>
      </c>
      <c r="E278">
        <v>1315</v>
      </c>
      <c r="F278" s="1" t="s">
        <v>42</v>
      </c>
      <c r="G278">
        <v>22</v>
      </c>
      <c r="H278">
        <v>3</v>
      </c>
      <c r="I278" s="1" t="s">
        <v>36</v>
      </c>
      <c r="J278">
        <v>381</v>
      </c>
      <c r="K278">
        <v>2</v>
      </c>
      <c r="L278" s="1" t="s">
        <v>37</v>
      </c>
      <c r="M278">
        <v>71</v>
      </c>
      <c r="N278">
        <v>4</v>
      </c>
      <c r="O278">
        <v>3</v>
      </c>
      <c r="P278" s="1" t="s">
        <v>53</v>
      </c>
      <c r="Q278">
        <v>2</v>
      </c>
      <c r="R278" s="1" t="s">
        <v>49</v>
      </c>
      <c r="S278">
        <v>11996</v>
      </c>
      <c r="T278">
        <v>19100</v>
      </c>
      <c r="U278">
        <v>7</v>
      </c>
      <c r="V278" s="1" t="s">
        <v>40</v>
      </c>
      <c r="W278">
        <v>18</v>
      </c>
      <c r="X278">
        <v>3</v>
      </c>
      <c r="Y278">
        <v>2</v>
      </c>
      <c r="Z278">
        <v>80</v>
      </c>
      <c r="AA278">
        <v>1</v>
      </c>
      <c r="AB278">
        <v>10</v>
      </c>
      <c r="AC278">
        <v>6</v>
      </c>
      <c r="AD278">
        <v>2</v>
      </c>
      <c r="AE278">
        <v>7</v>
      </c>
      <c r="AF278">
        <v>7</v>
      </c>
      <c r="AG278">
        <v>6</v>
      </c>
      <c r="AH278">
        <v>2</v>
      </c>
      <c r="AI278">
        <f>IF(tbl_HRData[[#This Row],[Attrition]] = "Yes",1,0)</f>
        <v>0</v>
      </c>
      <c r="AJ278">
        <f>IF(tbl_HRData[[#This Row],[Attrition]] = "No",1,0)</f>
        <v>1</v>
      </c>
      <c r="AK278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278" s="1" t="str">
        <f>IF(tbl_HRData[[#This Row],[MonthlyIncome]]&lt;5000,"Low",
IF(tbl_HRData[[#This Row],[MonthlyIncome]]&lt;10000,"Medium",
IF(tbl_HRData[[#This Row],[MonthlyIncome]]&lt;15000,"Upper Medium","High")))</f>
        <v>Upper Medium</v>
      </c>
      <c r="AM278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279" spans="1:39" x14ac:dyDescent="0.35">
      <c r="A279" s="1">
        <v>278</v>
      </c>
      <c r="B279">
        <v>38</v>
      </c>
      <c r="C279" s="1" t="s">
        <v>40</v>
      </c>
      <c r="D279" s="1" t="s">
        <v>34</v>
      </c>
      <c r="E279">
        <v>322</v>
      </c>
      <c r="F279" s="1" t="s">
        <v>35</v>
      </c>
      <c r="G279">
        <v>7</v>
      </c>
      <c r="H279">
        <v>2</v>
      </c>
      <c r="I279" s="1" t="s">
        <v>48</v>
      </c>
      <c r="J279">
        <v>382</v>
      </c>
      <c r="K279">
        <v>1</v>
      </c>
      <c r="L279" s="1" t="s">
        <v>37</v>
      </c>
      <c r="M279">
        <v>44</v>
      </c>
      <c r="N279">
        <v>4</v>
      </c>
      <c r="O279">
        <v>2</v>
      </c>
      <c r="P279" s="1" t="s">
        <v>38</v>
      </c>
      <c r="Q279">
        <v>1</v>
      </c>
      <c r="R279" s="1" t="s">
        <v>49</v>
      </c>
      <c r="S279">
        <v>5605</v>
      </c>
      <c r="T279">
        <v>19191</v>
      </c>
      <c r="U279">
        <v>1</v>
      </c>
      <c r="V279" s="1" t="s">
        <v>33</v>
      </c>
      <c r="W279">
        <v>24</v>
      </c>
      <c r="X279">
        <v>4</v>
      </c>
      <c r="Y279">
        <v>3</v>
      </c>
      <c r="Z279">
        <v>80</v>
      </c>
      <c r="AA279">
        <v>1</v>
      </c>
      <c r="AB279">
        <v>8</v>
      </c>
      <c r="AC279">
        <v>3</v>
      </c>
      <c r="AD279">
        <v>3</v>
      </c>
      <c r="AE279">
        <v>8</v>
      </c>
      <c r="AF279">
        <v>0</v>
      </c>
      <c r="AG279">
        <v>7</v>
      </c>
      <c r="AH279">
        <v>7</v>
      </c>
      <c r="AI279">
        <f>IF(tbl_HRData[[#This Row],[Attrition]] = "Yes",1,0)</f>
        <v>0</v>
      </c>
      <c r="AJ279">
        <f>IF(tbl_HRData[[#This Row],[Attrition]] = "No",1,0)</f>
        <v>1</v>
      </c>
      <c r="AK279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279" s="1" t="str">
        <f>IF(tbl_HRData[[#This Row],[MonthlyIncome]]&lt;5000,"Low",
IF(tbl_HRData[[#This Row],[MonthlyIncome]]&lt;10000,"Medium",
IF(tbl_HRData[[#This Row],[MonthlyIncome]]&lt;15000,"Upper Medium","High")))</f>
        <v>Medium</v>
      </c>
      <c r="AM279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280" spans="1:39" x14ac:dyDescent="0.35">
      <c r="A280" s="1">
        <v>279</v>
      </c>
      <c r="B280">
        <v>26</v>
      </c>
      <c r="C280" s="1" t="s">
        <v>40</v>
      </c>
      <c r="D280" s="1" t="s">
        <v>41</v>
      </c>
      <c r="E280">
        <v>1479</v>
      </c>
      <c r="F280" s="1" t="s">
        <v>42</v>
      </c>
      <c r="G280">
        <v>1</v>
      </c>
      <c r="H280">
        <v>3</v>
      </c>
      <c r="I280" s="1" t="s">
        <v>36</v>
      </c>
      <c r="J280">
        <v>384</v>
      </c>
      <c r="K280">
        <v>3</v>
      </c>
      <c r="L280" s="1" t="s">
        <v>37</v>
      </c>
      <c r="M280">
        <v>84</v>
      </c>
      <c r="N280">
        <v>3</v>
      </c>
      <c r="O280">
        <v>2</v>
      </c>
      <c r="P280" s="1" t="s">
        <v>50</v>
      </c>
      <c r="Q280">
        <v>2</v>
      </c>
      <c r="R280" s="1" t="s">
        <v>49</v>
      </c>
      <c r="S280">
        <v>6397</v>
      </c>
      <c r="T280">
        <v>26767</v>
      </c>
      <c r="U280">
        <v>1</v>
      </c>
      <c r="V280" s="1" t="s">
        <v>40</v>
      </c>
      <c r="W280">
        <v>20</v>
      </c>
      <c r="X280">
        <v>4</v>
      </c>
      <c r="Y280">
        <v>1</v>
      </c>
      <c r="Z280">
        <v>80</v>
      </c>
      <c r="AA280">
        <v>1</v>
      </c>
      <c r="AB280">
        <v>6</v>
      </c>
      <c r="AC280">
        <v>6</v>
      </c>
      <c r="AD280">
        <v>1</v>
      </c>
      <c r="AE280">
        <v>6</v>
      </c>
      <c r="AF280">
        <v>5</v>
      </c>
      <c r="AG280">
        <v>1</v>
      </c>
      <c r="AH280">
        <v>4</v>
      </c>
      <c r="AI280">
        <f>IF(tbl_HRData[[#This Row],[Attrition]] = "Yes",1,0)</f>
        <v>0</v>
      </c>
      <c r="AJ280">
        <f>IF(tbl_HRData[[#This Row],[Attrition]] = "No",1,0)</f>
        <v>1</v>
      </c>
      <c r="AK280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280" s="1" t="str">
        <f>IF(tbl_HRData[[#This Row],[MonthlyIncome]]&lt;5000,"Low",
IF(tbl_HRData[[#This Row],[MonthlyIncome]]&lt;10000,"Medium",
IF(tbl_HRData[[#This Row],[MonthlyIncome]]&lt;15000,"Upper Medium","High")))</f>
        <v>Medium</v>
      </c>
      <c r="AM280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281" spans="1:39" x14ac:dyDescent="0.35">
      <c r="A281" s="1">
        <v>280</v>
      </c>
      <c r="B281">
        <v>50</v>
      </c>
      <c r="C281" s="1" t="s">
        <v>40</v>
      </c>
      <c r="D281" s="1" t="s">
        <v>34</v>
      </c>
      <c r="E281">
        <v>797</v>
      </c>
      <c r="F281" s="1" t="s">
        <v>42</v>
      </c>
      <c r="G281">
        <v>4</v>
      </c>
      <c r="H281">
        <v>1</v>
      </c>
      <c r="I281" s="1" t="s">
        <v>36</v>
      </c>
      <c r="J281">
        <v>385</v>
      </c>
      <c r="K281">
        <v>1</v>
      </c>
      <c r="L281" s="1" t="s">
        <v>43</v>
      </c>
      <c r="M281">
        <v>96</v>
      </c>
      <c r="N281">
        <v>3</v>
      </c>
      <c r="O281">
        <v>5</v>
      </c>
      <c r="P281" s="1" t="s">
        <v>55</v>
      </c>
      <c r="Q281">
        <v>2</v>
      </c>
      <c r="R281" s="1" t="s">
        <v>49</v>
      </c>
      <c r="S281">
        <v>19144</v>
      </c>
      <c r="T281">
        <v>15815</v>
      </c>
      <c r="U281">
        <v>3</v>
      </c>
      <c r="V281" s="1" t="s">
        <v>40</v>
      </c>
      <c r="W281">
        <v>14</v>
      </c>
      <c r="X281">
        <v>3</v>
      </c>
      <c r="Y281">
        <v>1</v>
      </c>
      <c r="Z281">
        <v>80</v>
      </c>
      <c r="AA281">
        <v>2</v>
      </c>
      <c r="AB281">
        <v>28</v>
      </c>
      <c r="AC281">
        <v>4</v>
      </c>
      <c r="AD281">
        <v>2</v>
      </c>
      <c r="AE281">
        <v>10</v>
      </c>
      <c r="AF281">
        <v>4</v>
      </c>
      <c r="AG281">
        <v>1</v>
      </c>
      <c r="AH281">
        <v>6</v>
      </c>
      <c r="AI281">
        <f>IF(tbl_HRData[[#This Row],[Attrition]] = "Yes",1,0)</f>
        <v>0</v>
      </c>
      <c r="AJ281">
        <f>IF(tbl_HRData[[#This Row],[Attrition]] = "No",1,0)</f>
        <v>1</v>
      </c>
      <c r="AK281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281" s="1" t="str">
        <f>IF(tbl_HRData[[#This Row],[MonthlyIncome]]&lt;5000,"Low",
IF(tbl_HRData[[#This Row],[MonthlyIncome]]&lt;10000,"Medium",
IF(tbl_HRData[[#This Row],[MonthlyIncome]]&lt;15000,"Upper Medium","High")))</f>
        <v>High</v>
      </c>
      <c r="AM281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282" spans="1:39" x14ac:dyDescent="0.35">
      <c r="A282" s="1">
        <v>281</v>
      </c>
      <c r="B282">
        <v>53</v>
      </c>
      <c r="C282" s="1" t="s">
        <v>40</v>
      </c>
      <c r="D282" s="1" t="s">
        <v>34</v>
      </c>
      <c r="E282">
        <v>1070</v>
      </c>
      <c r="F282" s="1" t="s">
        <v>42</v>
      </c>
      <c r="G282">
        <v>3</v>
      </c>
      <c r="H282">
        <v>4</v>
      </c>
      <c r="I282" s="1" t="s">
        <v>48</v>
      </c>
      <c r="J282">
        <v>386</v>
      </c>
      <c r="K282">
        <v>3</v>
      </c>
      <c r="L282" s="1" t="s">
        <v>43</v>
      </c>
      <c r="M282">
        <v>45</v>
      </c>
      <c r="N282">
        <v>3</v>
      </c>
      <c r="O282">
        <v>4</v>
      </c>
      <c r="P282" s="1" t="s">
        <v>55</v>
      </c>
      <c r="Q282">
        <v>3</v>
      </c>
      <c r="R282" s="1" t="s">
        <v>45</v>
      </c>
      <c r="S282">
        <v>17584</v>
      </c>
      <c r="T282">
        <v>21016</v>
      </c>
      <c r="U282">
        <v>3</v>
      </c>
      <c r="V282" s="1" t="s">
        <v>33</v>
      </c>
      <c r="W282">
        <v>16</v>
      </c>
      <c r="X282">
        <v>3</v>
      </c>
      <c r="Y282">
        <v>4</v>
      </c>
      <c r="Z282">
        <v>80</v>
      </c>
      <c r="AA282">
        <v>3</v>
      </c>
      <c r="AB282">
        <v>21</v>
      </c>
      <c r="AC282">
        <v>5</v>
      </c>
      <c r="AD282">
        <v>2</v>
      </c>
      <c r="AE282">
        <v>5</v>
      </c>
      <c r="AF282">
        <v>3</v>
      </c>
      <c r="AG282">
        <v>1</v>
      </c>
      <c r="AH282">
        <v>3</v>
      </c>
      <c r="AI282">
        <f>IF(tbl_HRData[[#This Row],[Attrition]] = "Yes",1,0)</f>
        <v>0</v>
      </c>
      <c r="AJ282">
        <f>IF(tbl_HRData[[#This Row],[Attrition]] = "No",1,0)</f>
        <v>1</v>
      </c>
      <c r="AK282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282" s="1" t="str">
        <f>IF(tbl_HRData[[#This Row],[MonthlyIncome]]&lt;5000,"Low",
IF(tbl_HRData[[#This Row],[MonthlyIncome]]&lt;10000,"Medium",
IF(tbl_HRData[[#This Row],[MonthlyIncome]]&lt;15000,"Upper Medium","High")))</f>
        <v>High</v>
      </c>
      <c r="AM282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283" spans="1:39" x14ac:dyDescent="0.35">
      <c r="A283" s="1">
        <v>282</v>
      </c>
      <c r="B283">
        <v>42</v>
      </c>
      <c r="C283" s="1" t="s">
        <v>40</v>
      </c>
      <c r="D283" s="1" t="s">
        <v>34</v>
      </c>
      <c r="E283">
        <v>635</v>
      </c>
      <c r="F283" s="1" t="s">
        <v>35</v>
      </c>
      <c r="G283">
        <v>1</v>
      </c>
      <c r="H283">
        <v>1</v>
      </c>
      <c r="I283" s="1" t="s">
        <v>36</v>
      </c>
      <c r="J283">
        <v>387</v>
      </c>
      <c r="K283">
        <v>2</v>
      </c>
      <c r="L283" s="1" t="s">
        <v>43</v>
      </c>
      <c r="M283">
        <v>99</v>
      </c>
      <c r="N283">
        <v>3</v>
      </c>
      <c r="O283">
        <v>2</v>
      </c>
      <c r="P283" s="1" t="s">
        <v>38</v>
      </c>
      <c r="Q283">
        <v>3</v>
      </c>
      <c r="R283" s="1" t="s">
        <v>45</v>
      </c>
      <c r="S283">
        <v>4907</v>
      </c>
      <c r="T283">
        <v>24532</v>
      </c>
      <c r="U283">
        <v>1</v>
      </c>
      <c r="V283" s="1" t="s">
        <v>40</v>
      </c>
      <c r="W283">
        <v>25</v>
      </c>
      <c r="X283">
        <v>4</v>
      </c>
      <c r="Y283">
        <v>3</v>
      </c>
      <c r="Z283">
        <v>80</v>
      </c>
      <c r="AA283">
        <v>0</v>
      </c>
      <c r="AB283">
        <v>20</v>
      </c>
      <c r="AC283">
        <v>3</v>
      </c>
      <c r="AD283">
        <v>3</v>
      </c>
      <c r="AE283">
        <v>20</v>
      </c>
      <c r="AF283">
        <v>16</v>
      </c>
      <c r="AG283">
        <v>11</v>
      </c>
      <c r="AH283">
        <v>6</v>
      </c>
      <c r="AI283">
        <f>IF(tbl_HRData[[#This Row],[Attrition]] = "Yes",1,0)</f>
        <v>0</v>
      </c>
      <c r="AJ283">
        <f>IF(tbl_HRData[[#This Row],[Attrition]] = "No",1,0)</f>
        <v>1</v>
      </c>
      <c r="AK283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283" s="1" t="str">
        <f>IF(tbl_HRData[[#This Row],[MonthlyIncome]]&lt;5000,"Low",
IF(tbl_HRData[[#This Row],[MonthlyIncome]]&lt;10000,"Medium",
IF(tbl_HRData[[#This Row],[MonthlyIncome]]&lt;15000,"Upper Medium","High")))</f>
        <v>Low</v>
      </c>
      <c r="AM283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284" spans="1:39" x14ac:dyDescent="0.35">
      <c r="A284" s="1">
        <v>283</v>
      </c>
      <c r="B284">
        <v>29</v>
      </c>
      <c r="C284" s="1" t="s">
        <v>40</v>
      </c>
      <c r="D284" s="1" t="s">
        <v>41</v>
      </c>
      <c r="E284">
        <v>442</v>
      </c>
      <c r="F284" s="1" t="s">
        <v>35</v>
      </c>
      <c r="G284">
        <v>2</v>
      </c>
      <c r="H284">
        <v>2</v>
      </c>
      <c r="I284" s="1" t="s">
        <v>36</v>
      </c>
      <c r="J284">
        <v>388</v>
      </c>
      <c r="K284">
        <v>2</v>
      </c>
      <c r="L284" s="1" t="s">
        <v>43</v>
      </c>
      <c r="M284">
        <v>44</v>
      </c>
      <c r="N284">
        <v>3</v>
      </c>
      <c r="O284">
        <v>2</v>
      </c>
      <c r="P284" s="1" t="s">
        <v>38</v>
      </c>
      <c r="Q284">
        <v>4</v>
      </c>
      <c r="R284" s="1" t="s">
        <v>39</v>
      </c>
      <c r="S284">
        <v>4554</v>
      </c>
      <c r="T284">
        <v>20260</v>
      </c>
      <c r="U284">
        <v>1</v>
      </c>
      <c r="V284" s="1" t="s">
        <v>40</v>
      </c>
      <c r="W284">
        <v>18</v>
      </c>
      <c r="X284">
        <v>3</v>
      </c>
      <c r="Y284">
        <v>1</v>
      </c>
      <c r="Z284">
        <v>80</v>
      </c>
      <c r="AA284">
        <v>0</v>
      </c>
      <c r="AB284">
        <v>10</v>
      </c>
      <c r="AC284">
        <v>3</v>
      </c>
      <c r="AD284">
        <v>2</v>
      </c>
      <c r="AE284">
        <v>10</v>
      </c>
      <c r="AF284">
        <v>7</v>
      </c>
      <c r="AG284">
        <v>0</v>
      </c>
      <c r="AH284">
        <v>9</v>
      </c>
      <c r="AI284">
        <f>IF(tbl_HRData[[#This Row],[Attrition]] = "Yes",1,0)</f>
        <v>0</v>
      </c>
      <c r="AJ284">
        <f>IF(tbl_HRData[[#This Row],[Attrition]] = "No",1,0)</f>
        <v>1</v>
      </c>
      <c r="AK284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284" s="1" t="str">
        <f>IF(tbl_HRData[[#This Row],[MonthlyIncome]]&lt;5000,"Low",
IF(tbl_HRData[[#This Row],[MonthlyIncome]]&lt;10000,"Medium",
IF(tbl_HRData[[#This Row],[MonthlyIncome]]&lt;15000,"Upper Medium","High")))</f>
        <v>Low</v>
      </c>
      <c r="AM284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285" spans="1:39" x14ac:dyDescent="0.35">
      <c r="A285" s="1">
        <v>284</v>
      </c>
      <c r="B285">
        <v>55</v>
      </c>
      <c r="C285" s="1" t="s">
        <v>40</v>
      </c>
      <c r="D285" s="1" t="s">
        <v>34</v>
      </c>
      <c r="E285">
        <v>147</v>
      </c>
      <c r="F285" s="1" t="s">
        <v>42</v>
      </c>
      <c r="G285">
        <v>20</v>
      </c>
      <c r="H285">
        <v>2</v>
      </c>
      <c r="I285" s="1" t="s">
        <v>57</v>
      </c>
      <c r="J285">
        <v>389</v>
      </c>
      <c r="K285">
        <v>2</v>
      </c>
      <c r="L285" s="1" t="s">
        <v>43</v>
      </c>
      <c r="M285">
        <v>37</v>
      </c>
      <c r="N285">
        <v>3</v>
      </c>
      <c r="O285">
        <v>2</v>
      </c>
      <c r="P285" s="1" t="s">
        <v>47</v>
      </c>
      <c r="Q285">
        <v>4</v>
      </c>
      <c r="R285" s="1" t="s">
        <v>45</v>
      </c>
      <c r="S285">
        <v>5415</v>
      </c>
      <c r="T285">
        <v>15972</v>
      </c>
      <c r="U285">
        <v>3</v>
      </c>
      <c r="V285" s="1" t="s">
        <v>33</v>
      </c>
      <c r="W285">
        <v>19</v>
      </c>
      <c r="X285">
        <v>3</v>
      </c>
      <c r="Y285">
        <v>4</v>
      </c>
      <c r="Z285">
        <v>80</v>
      </c>
      <c r="AA285">
        <v>1</v>
      </c>
      <c r="AB285">
        <v>12</v>
      </c>
      <c r="AC285">
        <v>4</v>
      </c>
      <c r="AD285">
        <v>3</v>
      </c>
      <c r="AE285">
        <v>10</v>
      </c>
      <c r="AF285">
        <v>7</v>
      </c>
      <c r="AG285">
        <v>0</v>
      </c>
      <c r="AH285">
        <v>8</v>
      </c>
      <c r="AI285">
        <f>IF(tbl_HRData[[#This Row],[Attrition]] = "Yes",1,0)</f>
        <v>0</v>
      </c>
      <c r="AJ285">
        <f>IF(tbl_HRData[[#This Row],[Attrition]] = "No",1,0)</f>
        <v>1</v>
      </c>
      <c r="AK285" t="str">
        <f>IF(tbl_HRData[[#This Row],[Age]] &lt; 25, "Under 25", IF(tbl_HRData[[#This Row],[Age]] &lt;= 34, "25-34", IF(tbl_HRData[[#This Row],[Age]] &lt;= 44, "35-44", IF(tbl_HRData[[#This Row],[Age]] &lt;= 54, "45-54", "55+"))))</f>
        <v>55+</v>
      </c>
      <c r="AL285" s="1" t="str">
        <f>IF(tbl_HRData[[#This Row],[MonthlyIncome]]&lt;5000,"Low",
IF(tbl_HRData[[#This Row],[MonthlyIncome]]&lt;10000,"Medium",
IF(tbl_HRData[[#This Row],[MonthlyIncome]]&lt;15000,"Upper Medium","High")))</f>
        <v>Medium</v>
      </c>
      <c r="AM285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286" spans="1:39" x14ac:dyDescent="0.35">
      <c r="A286" s="1">
        <v>285</v>
      </c>
      <c r="B286">
        <v>26</v>
      </c>
      <c r="C286" s="1" t="s">
        <v>40</v>
      </c>
      <c r="D286" s="1" t="s">
        <v>41</v>
      </c>
      <c r="E286">
        <v>496</v>
      </c>
      <c r="F286" s="1" t="s">
        <v>42</v>
      </c>
      <c r="G286">
        <v>11</v>
      </c>
      <c r="H286">
        <v>2</v>
      </c>
      <c r="I286" s="1" t="s">
        <v>48</v>
      </c>
      <c r="J286">
        <v>390</v>
      </c>
      <c r="K286">
        <v>1</v>
      </c>
      <c r="L286" s="1" t="s">
        <v>43</v>
      </c>
      <c r="M286">
        <v>60</v>
      </c>
      <c r="N286">
        <v>3</v>
      </c>
      <c r="O286">
        <v>2</v>
      </c>
      <c r="P286" s="1" t="s">
        <v>51</v>
      </c>
      <c r="Q286">
        <v>1</v>
      </c>
      <c r="R286" s="1" t="s">
        <v>45</v>
      </c>
      <c r="S286">
        <v>4741</v>
      </c>
      <c r="T286">
        <v>22722</v>
      </c>
      <c r="U286">
        <v>1</v>
      </c>
      <c r="V286" s="1" t="s">
        <v>33</v>
      </c>
      <c r="W286">
        <v>13</v>
      </c>
      <c r="X286">
        <v>3</v>
      </c>
      <c r="Y286">
        <v>3</v>
      </c>
      <c r="Z286">
        <v>80</v>
      </c>
      <c r="AA286">
        <v>1</v>
      </c>
      <c r="AB286">
        <v>5</v>
      </c>
      <c r="AC286">
        <v>3</v>
      </c>
      <c r="AD286">
        <v>3</v>
      </c>
      <c r="AE286">
        <v>5</v>
      </c>
      <c r="AF286">
        <v>3</v>
      </c>
      <c r="AG286">
        <v>3</v>
      </c>
      <c r="AH286">
        <v>3</v>
      </c>
      <c r="AI286">
        <f>IF(tbl_HRData[[#This Row],[Attrition]] = "Yes",1,0)</f>
        <v>0</v>
      </c>
      <c r="AJ286">
        <f>IF(tbl_HRData[[#This Row],[Attrition]] = "No",1,0)</f>
        <v>1</v>
      </c>
      <c r="AK286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286" s="1" t="str">
        <f>IF(tbl_HRData[[#This Row],[MonthlyIncome]]&lt;5000,"Low",
IF(tbl_HRData[[#This Row],[MonthlyIncome]]&lt;10000,"Medium",
IF(tbl_HRData[[#This Row],[MonthlyIncome]]&lt;15000,"Upper Medium","High")))</f>
        <v>Low</v>
      </c>
      <c r="AM286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287" spans="1:39" x14ac:dyDescent="0.35">
      <c r="A287" s="1">
        <v>286</v>
      </c>
      <c r="B287">
        <v>37</v>
      </c>
      <c r="C287" s="1" t="s">
        <v>40</v>
      </c>
      <c r="D287" s="1" t="s">
        <v>34</v>
      </c>
      <c r="E287">
        <v>1372</v>
      </c>
      <c r="F287" s="1" t="s">
        <v>42</v>
      </c>
      <c r="G287">
        <v>1</v>
      </c>
      <c r="H287">
        <v>3</v>
      </c>
      <c r="I287" s="1" t="s">
        <v>36</v>
      </c>
      <c r="J287">
        <v>391</v>
      </c>
      <c r="K287">
        <v>4</v>
      </c>
      <c r="L287" s="1" t="s">
        <v>37</v>
      </c>
      <c r="M287">
        <v>42</v>
      </c>
      <c r="N287">
        <v>3</v>
      </c>
      <c r="O287">
        <v>1</v>
      </c>
      <c r="P287" s="1" t="s">
        <v>44</v>
      </c>
      <c r="Q287">
        <v>4</v>
      </c>
      <c r="R287" s="1" t="s">
        <v>39</v>
      </c>
      <c r="S287">
        <v>2115</v>
      </c>
      <c r="T287">
        <v>15881</v>
      </c>
      <c r="U287">
        <v>1</v>
      </c>
      <c r="V287" s="1" t="s">
        <v>40</v>
      </c>
      <c r="W287">
        <v>12</v>
      </c>
      <c r="X287">
        <v>3</v>
      </c>
      <c r="Y287">
        <v>2</v>
      </c>
      <c r="Z287">
        <v>80</v>
      </c>
      <c r="AA287">
        <v>0</v>
      </c>
      <c r="AB287">
        <v>17</v>
      </c>
      <c r="AC287">
        <v>3</v>
      </c>
      <c r="AD287">
        <v>3</v>
      </c>
      <c r="AE287">
        <v>17</v>
      </c>
      <c r="AF287">
        <v>12</v>
      </c>
      <c r="AG287">
        <v>5</v>
      </c>
      <c r="AH287">
        <v>7</v>
      </c>
      <c r="AI287">
        <f>IF(tbl_HRData[[#This Row],[Attrition]] = "Yes",1,0)</f>
        <v>0</v>
      </c>
      <c r="AJ287">
        <f>IF(tbl_HRData[[#This Row],[Attrition]] = "No",1,0)</f>
        <v>1</v>
      </c>
      <c r="AK287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287" s="1" t="str">
        <f>IF(tbl_HRData[[#This Row],[MonthlyIncome]]&lt;5000,"Low",
IF(tbl_HRData[[#This Row],[MonthlyIncome]]&lt;10000,"Medium",
IF(tbl_HRData[[#This Row],[MonthlyIncome]]&lt;15000,"Upper Medium","High")))</f>
        <v>Low</v>
      </c>
      <c r="AM287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288" spans="1:39" x14ac:dyDescent="0.35">
      <c r="A288" s="1">
        <v>287</v>
      </c>
      <c r="B288">
        <v>44</v>
      </c>
      <c r="C288" s="1" t="s">
        <v>33</v>
      </c>
      <c r="D288" s="1" t="s">
        <v>41</v>
      </c>
      <c r="E288">
        <v>920</v>
      </c>
      <c r="F288" s="1" t="s">
        <v>42</v>
      </c>
      <c r="G288">
        <v>24</v>
      </c>
      <c r="H288">
        <v>3</v>
      </c>
      <c r="I288" s="1" t="s">
        <v>36</v>
      </c>
      <c r="J288">
        <v>392</v>
      </c>
      <c r="K288">
        <v>4</v>
      </c>
      <c r="L288" s="1" t="s">
        <v>43</v>
      </c>
      <c r="M288">
        <v>43</v>
      </c>
      <c r="N288">
        <v>3</v>
      </c>
      <c r="O288">
        <v>1</v>
      </c>
      <c r="P288" s="1" t="s">
        <v>47</v>
      </c>
      <c r="Q288">
        <v>3</v>
      </c>
      <c r="R288" s="1" t="s">
        <v>49</v>
      </c>
      <c r="S288">
        <v>3161</v>
      </c>
      <c r="T288">
        <v>19920</v>
      </c>
      <c r="U288">
        <v>3</v>
      </c>
      <c r="V288" s="1" t="s">
        <v>33</v>
      </c>
      <c r="W288">
        <v>22</v>
      </c>
      <c r="X288">
        <v>4</v>
      </c>
      <c r="Y288">
        <v>4</v>
      </c>
      <c r="Z288">
        <v>80</v>
      </c>
      <c r="AA288">
        <v>1</v>
      </c>
      <c r="AB288">
        <v>19</v>
      </c>
      <c r="AC288">
        <v>0</v>
      </c>
      <c r="AD288">
        <v>1</v>
      </c>
      <c r="AE288">
        <v>1</v>
      </c>
      <c r="AF288">
        <v>0</v>
      </c>
      <c r="AG288">
        <v>0</v>
      </c>
      <c r="AH288">
        <v>0</v>
      </c>
      <c r="AI288">
        <f>IF(tbl_HRData[[#This Row],[Attrition]] = "Yes",1,0)</f>
        <v>1</v>
      </c>
      <c r="AJ288">
        <f>IF(tbl_HRData[[#This Row],[Attrition]] = "No",1,0)</f>
        <v>0</v>
      </c>
      <c r="AK288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288" s="1" t="str">
        <f>IF(tbl_HRData[[#This Row],[MonthlyIncome]]&lt;5000,"Low",
IF(tbl_HRData[[#This Row],[MonthlyIncome]]&lt;10000,"Medium",
IF(tbl_HRData[[#This Row],[MonthlyIncome]]&lt;15000,"Upper Medium","High")))</f>
        <v>Low</v>
      </c>
      <c r="AM288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289" spans="1:39" x14ac:dyDescent="0.35">
      <c r="A289" s="1">
        <v>288</v>
      </c>
      <c r="B289">
        <v>38</v>
      </c>
      <c r="C289" s="1" t="s">
        <v>40</v>
      </c>
      <c r="D289" s="1" t="s">
        <v>34</v>
      </c>
      <c r="E289">
        <v>688</v>
      </c>
      <c r="F289" s="1" t="s">
        <v>42</v>
      </c>
      <c r="G289">
        <v>23</v>
      </c>
      <c r="H289">
        <v>4</v>
      </c>
      <c r="I289" s="1" t="s">
        <v>36</v>
      </c>
      <c r="J289">
        <v>393</v>
      </c>
      <c r="K289">
        <v>4</v>
      </c>
      <c r="L289" s="1" t="s">
        <v>43</v>
      </c>
      <c r="M289">
        <v>82</v>
      </c>
      <c r="N289">
        <v>3</v>
      </c>
      <c r="O289">
        <v>2</v>
      </c>
      <c r="P289" s="1" t="s">
        <v>51</v>
      </c>
      <c r="Q289">
        <v>4</v>
      </c>
      <c r="R289" s="1" t="s">
        <v>49</v>
      </c>
      <c r="S289">
        <v>5745</v>
      </c>
      <c r="T289">
        <v>18899</v>
      </c>
      <c r="U289">
        <v>9</v>
      </c>
      <c r="V289" s="1" t="s">
        <v>40</v>
      </c>
      <c r="W289">
        <v>14</v>
      </c>
      <c r="X289">
        <v>3</v>
      </c>
      <c r="Y289">
        <v>2</v>
      </c>
      <c r="Z289">
        <v>80</v>
      </c>
      <c r="AA289">
        <v>1</v>
      </c>
      <c r="AB289">
        <v>10</v>
      </c>
      <c r="AC289">
        <v>2</v>
      </c>
      <c r="AD289">
        <v>3</v>
      </c>
      <c r="AE289">
        <v>2</v>
      </c>
      <c r="AF289">
        <v>2</v>
      </c>
      <c r="AG289">
        <v>1</v>
      </c>
      <c r="AH289">
        <v>2</v>
      </c>
      <c r="AI289">
        <f>IF(tbl_HRData[[#This Row],[Attrition]] = "Yes",1,0)</f>
        <v>0</v>
      </c>
      <c r="AJ289">
        <f>IF(tbl_HRData[[#This Row],[Attrition]] = "No",1,0)</f>
        <v>1</v>
      </c>
      <c r="AK289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289" s="1" t="str">
        <f>IF(tbl_HRData[[#This Row],[MonthlyIncome]]&lt;5000,"Low",
IF(tbl_HRData[[#This Row],[MonthlyIncome]]&lt;10000,"Medium",
IF(tbl_HRData[[#This Row],[MonthlyIncome]]&lt;15000,"Upper Medium","High")))</f>
        <v>Medium</v>
      </c>
      <c r="AM289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290" spans="1:39" x14ac:dyDescent="0.35">
      <c r="A290" s="1">
        <v>289</v>
      </c>
      <c r="B290">
        <v>26</v>
      </c>
      <c r="C290" s="1" t="s">
        <v>33</v>
      </c>
      <c r="D290" s="1" t="s">
        <v>34</v>
      </c>
      <c r="E290">
        <v>1449</v>
      </c>
      <c r="F290" s="1" t="s">
        <v>42</v>
      </c>
      <c r="G290">
        <v>16</v>
      </c>
      <c r="H290">
        <v>4</v>
      </c>
      <c r="I290" s="1" t="s">
        <v>48</v>
      </c>
      <c r="J290">
        <v>394</v>
      </c>
      <c r="K290">
        <v>1</v>
      </c>
      <c r="L290" s="1" t="s">
        <v>43</v>
      </c>
      <c r="M290">
        <v>45</v>
      </c>
      <c r="N290">
        <v>3</v>
      </c>
      <c r="O290">
        <v>1</v>
      </c>
      <c r="P290" s="1" t="s">
        <v>47</v>
      </c>
      <c r="Q290">
        <v>2</v>
      </c>
      <c r="R290" s="1" t="s">
        <v>49</v>
      </c>
      <c r="S290">
        <v>2373</v>
      </c>
      <c r="T290">
        <v>14180</v>
      </c>
      <c r="U290">
        <v>2</v>
      </c>
      <c r="V290" s="1" t="s">
        <v>33</v>
      </c>
      <c r="W290">
        <v>13</v>
      </c>
      <c r="X290">
        <v>3</v>
      </c>
      <c r="Y290">
        <v>4</v>
      </c>
      <c r="Z290">
        <v>80</v>
      </c>
      <c r="AA290">
        <v>1</v>
      </c>
      <c r="AB290">
        <v>5</v>
      </c>
      <c r="AC290">
        <v>2</v>
      </c>
      <c r="AD290">
        <v>3</v>
      </c>
      <c r="AE290">
        <v>3</v>
      </c>
      <c r="AF290">
        <v>2</v>
      </c>
      <c r="AG290">
        <v>0</v>
      </c>
      <c r="AH290">
        <v>2</v>
      </c>
      <c r="AI290">
        <f>IF(tbl_HRData[[#This Row],[Attrition]] = "Yes",1,0)</f>
        <v>1</v>
      </c>
      <c r="AJ290">
        <f>IF(tbl_HRData[[#This Row],[Attrition]] = "No",1,0)</f>
        <v>0</v>
      </c>
      <c r="AK290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290" s="1" t="str">
        <f>IF(tbl_HRData[[#This Row],[MonthlyIncome]]&lt;5000,"Low",
IF(tbl_HRData[[#This Row],[MonthlyIncome]]&lt;10000,"Medium",
IF(tbl_HRData[[#This Row],[MonthlyIncome]]&lt;15000,"Upper Medium","High")))</f>
        <v>Low</v>
      </c>
      <c r="AM290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291" spans="1:39" x14ac:dyDescent="0.35">
      <c r="A291" s="1">
        <v>290</v>
      </c>
      <c r="B291">
        <v>28</v>
      </c>
      <c r="C291" s="1" t="s">
        <v>40</v>
      </c>
      <c r="D291" s="1" t="s">
        <v>34</v>
      </c>
      <c r="E291">
        <v>1117</v>
      </c>
      <c r="F291" s="1" t="s">
        <v>42</v>
      </c>
      <c r="G291">
        <v>8</v>
      </c>
      <c r="H291">
        <v>2</v>
      </c>
      <c r="I291" s="1" t="s">
        <v>36</v>
      </c>
      <c r="J291">
        <v>395</v>
      </c>
      <c r="K291">
        <v>4</v>
      </c>
      <c r="L291" s="1" t="s">
        <v>37</v>
      </c>
      <c r="M291">
        <v>66</v>
      </c>
      <c r="N291">
        <v>3</v>
      </c>
      <c r="O291">
        <v>1</v>
      </c>
      <c r="P291" s="1" t="s">
        <v>44</v>
      </c>
      <c r="Q291">
        <v>4</v>
      </c>
      <c r="R291" s="1" t="s">
        <v>39</v>
      </c>
      <c r="S291">
        <v>3310</v>
      </c>
      <c r="T291">
        <v>4488</v>
      </c>
      <c r="U291">
        <v>1</v>
      </c>
      <c r="V291" s="1" t="s">
        <v>40</v>
      </c>
      <c r="W291">
        <v>21</v>
      </c>
      <c r="X291">
        <v>4</v>
      </c>
      <c r="Y291">
        <v>4</v>
      </c>
      <c r="Z291">
        <v>80</v>
      </c>
      <c r="AA291">
        <v>0</v>
      </c>
      <c r="AB291">
        <v>5</v>
      </c>
      <c r="AC291">
        <v>3</v>
      </c>
      <c r="AD291">
        <v>3</v>
      </c>
      <c r="AE291">
        <v>5</v>
      </c>
      <c r="AF291">
        <v>3</v>
      </c>
      <c r="AG291">
        <v>0</v>
      </c>
      <c r="AH291">
        <v>2</v>
      </c>
      <c r="AI291">
        <f>IF(tbl_HRData[[#This Row],[Attrition]] = "Yes",1,0)</f>
        <v>0</v>
      </c>
      <c r="AJ291">
        <f>IF(tbl_HRData[[#This Row],[Attrition]] = "No",1,0)</f>
        <v>1</v>
      </c>
      <c r="AK291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291" s="1" t="str">
        <f>IF(tbl_HRData[[#This Row],[MonthlyIncome]]&lt;5000,"Low",
IF(tbl_HRData[[#This Row],[MonthlyIncome]]&lt;10000,"Medium",
IF(tbl_HRData[[#This Row],[MonthlyIncome]]&lt;15000,"Upper Medium","High")))</f>
        <v>Low</v>
      </c>
      <c r="AM291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292" spans="1:39" x14ac:dyDescent="0.35">
      <c r="A292" s="1">
        <v>291</v>
      </c>
      <c r="B292">
        <v>49</v>
      </c>
      <c r="C292" s="1" t="s">
        <v>40</v>
      </c>
      <c r="D292" s="1" t="s">
        <v>41</v>
      </c>
      <c r="E292">
        <v>636</v>
      </c>
      <c r="F292" s="1" t="s">
        <v>42</v>
      </c>
      <c r="G292">
        <v>10</v>
      </c>
      <c r="H292">
        <v>4</v>
      </c>
      <c r="I292" s="1" t="s">
        <v>36</v>
      </c>
      <c r="J292">
        <v>396</v>
      </c>
      <c r="K292">
        <v>3</v>
      </c>
      <c r="L292" s="1" t="s">
        <v>37</v>
      </c>
      <c r="M292">
        <v>35</v>
      </c>
      <c r="N292">
        <v>3</v>
      </c>
      <c r="O292">
        <v>5</v>
      </c>
      <c r="P292" s="1" t="s">
        <v>55</v>
      </c>
      <c r="Q292">
        <v>1</v>
      </c>
      <c r="R292" s="1" t="s">
        <v>39</v>
      </c>
      <c r="S292">
        <v>18665</v>
      </c>
      <c r="T292">
        <v>25594</v>
      </c>
      <c r="U292">
        <v>9</v>
      </c>
      <c r="V292" s="1" t="s">
        <v>33</v>
      </c>
      <c r="W292">
        <v>11</v>
      </c>
      <c r="X292">
        <v>3</v>
      </c>
      <c r="Y292">
        <v>4</v>
      </c>
      <c r="Z292">
        <v>80</v>
      </c>
      <c r="AA292">
        <v>0</v>
      </c>
      <c r="AB292">
        <v>22</v>
      </c>
      <c r="AC292">
        <v>4</v>
      </c>
      <c r="AD292">
        <v>3</v>
      </c>
      <c r="AE292">
        <v>3</v>
      </c>
      <c r="AF292">
        <v>2</v>
      </c>
      <c r="AG292">
        <v>1</v>
      </c>
      <c r="AH292">
        <v>2</v>
      </c>
      <c r="AI292">
        <f>IF(tbl_HRData[[#This Row],[Attrition]] = "Yes",1,0)</f>
        <v>0</v>
      </c>
      <c r="AJ292">
        <f>IF(tbl_HRData[[#This Row],[Attrition]] = "No",1,0)</f>
        <v>1</v>
      </c>
      <c r="AK292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292" s="1" t="str">
        <f>IF(tbl_HRData[[#This Row],[MonthlyIncome]]&lt;5000,"Low",
IF(tbl_HRData[[#This Row],[MonthlyIncome]]&lt;10000,"Medium",
IF(tbl_HRData[[#This Row],[MonthlyIncome]]&lt;15000,"Upper Medium","High")))</f>
        <v>High</v>
      </c>
      <c r="AM292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293" spans="1:39" x14ac:dyDescent="0.35">
      <c r="A293" s="1">
        <v>292</v>
      </c>
      <c r="B293">
        <v>36</v>
      </c>
      <c r="C293" s="1" t="s">
        <v>40</v>
      </c>
      <c r="D293" s="1" t="s">
        <v>34</v>
      </c>
      <c r="E293">
        <v>506</v>
      </c>
      <c r="F293" s="1" t="s">
        <v>42</v>
      </c>
      <c r="G293">
        <v>3</v>
      </c>
      <c r="H293">
        <v>3</v>
      </c>
      <c r="I293" s="1" t="s">
        <v>57</v>
      </c>
      <c r="J293">
        <v>397</v>
      </c>
      <c r="K293">
        <v>3</v>
      </c>
      <c r="L293" s="1" t="s">
        <v>43</v>
      </c>
      <c r="M293">
        <v>30</v>
      </c>
      <c r="N293">
        <v>3</v>
      </c>
      <c r="O293">
        <v>2</v>
      </c>
      <c r="P293" s="1" t="s">
        <v>44</v>
      </c>
      <c r="Q293">
        <v>2</v>
      </c>
      <c r="R293" s="1" t="s">
        <v>39</v>
      </c>
      <c r="S293">
        <v>4485</v>
      </c>
      <c r="T293">
        <v>26285</v>
      </c>
      <c r="U293">
        <v>4</v>
      </c>
      <c r="V293" s="1" t="s">
        <v>40</v>
      </c>
      <c r="W293">
        <v>12</v>
      </c>
      <c r="X293">
        <v>3</v>
      </c>
      <c r="Y293">
        <v>4</v>
      </c>
      <c r="Z293">
        <v>80</v>
      </c>
      <c r="AA293">
        <v>0</v>
      </c>
      <c r="AB293">
        <v>10</v>
      </c>
      <c r="AC293">
        <v>2</v>
      </c>
      <c r="AD293">
        <v>3</v>
      </c>
      <c r="AE293">
        <v>8</v>
      </c>
      <c r="AF293">
        <v>0</v>
      </c>
      <c r="AG293">
        <v>7</v>
      </c>
      <c r="AH293">
        <v>7</v>
      </c>
      <c r="AI293">
        <f>IF(tbl_HRData[[#This Row],[Attrition]] = "Yes",1,0)</f>
        <v>0</v>
      </c>
      <c r="AJ293">
        <f>IF(tbl_HRData[[#This Row],[Attrition]] = "No",1,0)</f>
        <v>1</v>
      </c>
      <c r="AK293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293" s="1" t="str">
        <f>IF(tbl_HRData[[#This Row],[MonthlyIncome]]&lt;5000,"Low",
IF(tbl_HRData[[#This Row],[MonthlyIncome]]&lt;10000,"Medium",
IF(tbl_HRData[[#This Row],[MonthlyIncome]]&lt;15000,"Upper Medium","High")))</f>
        <v>Low</v>
      </c>
      <c r="AM293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294" spans="1:39" x14ac:dyDescent="0.35">
      <c r="A294" s="1">
        <v>293</v>
      </c>
      <c r="B294">
        <v>31</v>
      </c>
      <c r="C294" s="1" t="s">
        <v>40</v>
      </c>
      <c r="D294" s="1" t="s">
        <v>41</v>
      </c>
      <c r="E294">
        <v>444</v>
      </c>
      <c r="F294" s="1" t="s">
        <v>35</v>
      </c>
      <c r="G294">
        <v>5</v>
      </c>
      <c r="H294">
        <v>3</v>
      </c>
      <c r="I294" s="1" t="s">
        <v>56</v>
      </c>
      <c r="J294">
        <v>399</v>
      </c>
      <c r="K294">
        <v>4</v>
      </c>
      <c r="L294" s="1" t="s">
        <v>37</v>
      </c>
      <c r="M294">
        <v>84</v>
      </c>
      <c r="N294">
        <v>3</v>
      </c>
      <c r="O294">
        <v>1</v>
      </c>
      <c r="P294" s="1" t="s">
        <v>54</v>
      </c>
      <c r="Q294">
        <v>2</v>
      </c>
      <c r="R294" s="1" t="s">
        <v>49</v>
      </c>
      <c r="S294">
        <v>2789</v>
      </c>
      <c r="T294">
        <v>3909</v>
      </c>
      <c r="U294">
        <v>1</v>
      </c>
      <c r="V294" s="1" t="s">
        <v>40</v>
      </c>
      <c r="W294">
        <v>11</v>
      </c>
      <c r="X294">
        <v>3</v>
      </c>
      <c r="Y294">
        <v>3</v>
      </c>
      <c r="Z294">
        <v>80</v>
      </c>
      <c r="AA294">
        <v>1</v>
      </c>
      <c r="AB294">
        <v>2</v>
      </c>
      <c r="AC294">
        <v>5</v>
      </c>
      <c r="AD294">
        <v>2</v>
      </c>
      <c r="AE294">
        <v>2</v>
      </c>
      <c r="AF294">
        <v>2</v>
      </c>
      <c r="AG294">
        <v>2</v>
      </c>
      <c r="AH294">
        <v>2</v>
      </c>
      <c r="AI294">
        <f>IF(tbl_HRData[[#This Row],[Attrition]] = "Yes",1,0)</f>
        <v>0</v>
      </c>
      <c r="AJ294">
        <f>IF(tbl_HRData[[#This Row],[Attrition]] = "No",1,0)</f>
        <v>1</v>
      </c>
      <c r="AK294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294" s="1" t="str">
        <f>IF(tbl_HRData[[#This Row],[MonthlyIncome]]&lt;5000,"Low",
IF(tbl_HRData[[#This Row],[MonthlyIncome]]&lt;10000,"Medium",
IF(tbl_HRData[[#This Row],[MonthlyIncome]]&lt;15000,"Upper Medium","High")))</f>
        <v>Low</v>
      </c>
      <c r="AM294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295" spans="1:39" x14ac:dyDescent="0.35">
      <c r="A295" s="1">
        <v>294</v>
      </c>
      <c r="B295">
        <v>26</v>
      </c>
      <c r="C295" s="1" t="s">
        <v>33</v>
      </c>
      <c r="D295" s="1" t="s">
        <v>34</v>
      </c>
      <c r="E295">
        <v>950</v>
      </c>
      <c r="F295" s="1" t="s">
        <v>35</v>
      </c>
      <c r="G295">
        <v>4</v>
      </c>
      <c r="H295">
        <v>4</v>
      </c>
      <c r="I295" s="1" t="s">
        <v>56</v>
      </c>
      <c r="J295">
        <v>401</v>
      </c>
      <c r="K295">
        <v>4</v>
      </c>
      <c r="L295" s="1" t="s">
        <v>43</v>
      </c>
      <c r="M295">
        <v>48</v>
      </c>
      <c r="N295">
        <v>2</v>
      </c>
      <c r="O295">
        <v>2</v>
      </c>
      <c r="P295" s="1" t="s">
        <v>38</v>
      </c>
      <c r="Q295">
        <v>4</v>
      </c>
      <c r="R295" s="1" t="s">
        <v>39</v>
      </c>
      <c r="S295">
        <v>5828</v>
      </c>
      <c r="T295">
        <v>8450</v>
      </c>
      <c r="U295">
        <v>1</v>
      </c>
      <c r="V295" s="1" t="s">
        <v>33</v>
      </c>
      <c r="W295">
        <v>12</v>
      </c>
      <c r="X295">
        <v>3</v>
      </c>
      <c r="Y295">
        <v>2</v>
      </c>
      <c r="Z295">
        <v>80</v>
      </c>
      <c r="AA295">
        <v>0</v>
      </c>
      <c r="AB295">
        <v>8</v>
      </c>
      <c r="AC295">
        <v>0</v>
      </c>
      <c r="AD295">
        <v>3</v>
      </c>
      <c r="AE295">
        <v>8</v>
      </c>
      <c r="AF295">
        <v>7</v>
      </c>
      <c r="AG295">
        <v>7</v>
      </c>
      <c r="AH295">
        <v>4</v>
      </c>
      <c r="AI295">
        <f>IF(tbl_HRData[[#This Row],[Attrition]] = "Yes",1,0)</f>
        <v>1</v>
      </c>
      <c r="AJ295">
        <f>IF(tbl_HRData[[#This Row],[Attrition]] = "No",1,0)</f>
        <v>0</v>
      </c>
      <c r="AK295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295" s="1" t="str">
        <f>IF(tbl_HRData[[#This Row],[MonthlyIncome]]&lt;5000,"Low",
IF(tbl_HRData[[#This Row],[MonthlyIncome]]&lt;10000,"Medium",
IF(tbl_HRData[[#This Row],[MonthlyIncome]]&lt;15000,"Upper Medium","High")))</f>
        <v>Medium</v>
      </c>
      <c r="AM295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296" spans="1:39" x14ac:dyDescent="0.35">
      <c r="A296" s="1">
        <v>295</v>
      </c>
      <c r="B296">
        <v>37</v>
      </c>
      <c r="C296" s="1" t="s">
        <v>40</v>
      </c>
      <c r="D296" s="1" t="s">
        <v>41</v>
      </c>
      <c r="E296">
        <v>889</v>
      </c>
      <c r="F296" s="1" t="s">
        <v>42</v>
      </c>
      <c r="G296">
        <v>9</v>
      </c>
      <c r="H296">
        <v>3</v>
      </c>
      <c r="I296" s="1" t="s">
        <v>48</v>
      </c>
      <c r="J296">
        <v>403</v>
      </c>
      <c r="K296">
        <v>2</v>
      </c>
      <c r="L296" s="1" t="s">
        <v>43</v>
      </c>
      <c r="M296">
        <v>53</v>
      </c>
      <c r="N296">
        <v>3</v>
      </c>
      <c r="O296">
        <v>1</v>
      </c>
      <c r="P296" s="1" t="s">
        <v>44</v>
      </c>
      <c r="Q296">
        <v>4</v>
      </c>
      <c r="R296" s="1" t="s">
        <v>45</v>
      </c>
      <c r="S296">
        <v>2326</v>
      </c>
      <c r="T296">
        <v>11411</v>
      </c>
      <c r="U296">
        <v>1</v>
      </c>
      <c r="V296" s="1" t="s">
        <v>33</v>
      </c>
      <c r="W296">
        <v>12</v>
      </c>
      <c r="X296">
        <v>3</v>
      </c>
      <c r="Y296">
        <v>3</v>
      </c>
      <c r="Z296">
        <v>80</v>
      </c>
      <c r="AA296">
        <v>3</v>
      </c>
      <c r="AB296">
        <v>4</v>
      </c>
      <c r="AC296">
        <v>3</v>
      </c>
      <c r="AD296">
        <v>2</v>
      </c>
      <c r="AE296">
        <v>4</v>
      </c>
      <c r="AF296">
        <v>2</v>
      </c>
      <c r="AG296">
        <v>1</v>
      </c>
      <c r="AH296">
        <v>2</v>
      </c>
      <c r="AI296">
        <f>IF(tbl_HRData[[#This Row],[Attrition]] = "Yes",1,0)</f>
        <v>0</v>
      </c>
      <c r="AJ296">
        <f>IF(tbl_HRData[[#This Row],[Attrition]] = "No",1,0)</f>
        <v>1</v>
      </c>
      <c r="AK296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296" s="1" t="str">
        <f>IF(tbl_HRData[[#This Row],[MonthlyIncome]]&lt;5000,"Low",
IF(tbl_HRData[[#This Row],[MonthlyIncome]]&lt;10000,"Medium",
IF(tbl_HRData[[#This Row],[MonthlyIncome]]&lt;15000,"Upper Medium","High")))</f>
        <v>Low</v>
      </c>
      <c r="AM296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297" spans="1:39" x14ac:dyDescent="0.35">
      <c r="A297" s="1">
        <v>296</v>
      </c>
      <c r="B297">
        <v>42</v>
      </c>
      <c r="C297" s="1" t="s">
        <v>40</v>
      </c>
      <c r="D297" s="1" t="s">
        <v>41</v>
      </c>
      <c r="E297">
        <v>555</v>
      </c>
      <c r="F297" s="1" t="s">
        <v>35</v>
      </c>
      <c r="G297">
        <v>26</v>
      </c>
      <c r="H297">
        <v>3</v>
      </c>
      <c r="I297" s="1" t="s">
        <v>56</v>
      </c>
      <c r="J297">
        <v>404</v>
      </c>
      <c r="K297">
        <v>3</v>
      </c>
      <c r="L297" s="1" t="s">
        <v>37</v>
      </c>
      <c r="M297">
        <v>77</v>
      </c>
      <c r="N297">
        <v>3</v>
      </c>
      <c r="O297">
        <v>4</v>
      </c>
      <c r="P297" s="1" t="s">
        <v>38</v>
      </c>
      <c r="Q297">
        <v>2</v>
      </c>
      <c r="R297" s="1" t="s">
        <v>45</v>
      </c>
      <c r="S297">
        <v>13525</v>
      </c>
      <c r="T297">
        <v>14864</v>
      </c>
      <c r="U297">
        <v>5</v>
      </c>
      <c r="V297" s="1" t="s">
        <v>40</v>
      </c>
      <c r="W297">
        <v>14</v>
      </c>
      <c r="X297">
        <v>3</v>
      </c>
      <c r="Y297">
        <v>4</v>
      </c>
      <c r="Z297">
        <v>80</v>
      </c>
      <c r="AA297">
        <v>1</v>
      </c>
      <c r="AB297">
        <v>23</v>
      </c>
      <c r="AC297">
        <v>2</v>
      </c>
      <c r="AD297">
        <v>4</v>
      </c>
      <c r="AE297">
        <v>20</v>
      </c>
      <c r="AF297">
        <v>4</v>
      </c>
      <c r="AG297">
        <v>4</v>
      </c>
      <c r="AH297">
        <v>8</v>
      </c>
      <c r="AI297">
        <f>IF(tbl_HRData[[#This Row],[Attrition]] = "Yes",1,0)</f>
        <v>0</v>
      </c>
      <c r="AJ297">
        <f>IF(tbl_HRData[[#This Row],[Attrition]] = "No",1,0)</f>
        <v>1</v>
      </c>
      <c r="AK297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297" s="1" t="str">
        <f>IF(tbl_HRData[[#This Row],[MonthlyIncome]]&lt;5000,"Low",
IF(tbl_HRData[[#This Row],[MonthlyIncome]]&lt;10000,"Medium",
IF(tbl_HRData[[#This Row],[MonthlyIncome]]&lt;15000,"Upper Medium","High")))</f>
        <v>Upper Medium</v>
      </c>
      <c r="AM297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298" spans="1:39" x14ac:dyDescent="0.35">
      <c r="A298" s="1">
        <v>297</v>
      </c>
      <c r="B298">
        <v>18</v>
      </c>
      <c r="C298" s="1" t="s">
        <v>33</v>
      </c>
      <c r="D298" s="1" t="s">
        <v>34</v>
      </c>
      <c r="E298">
        <v>230</v>
      </c>
      <c r="F298" s="1" t="s">
        <v>42</v>
      </c>
      <c r="G298">
        <v>3</v>
      </c>
      <c r="H298">
        <v>3</v>
      </c>
      <c r="I298" s="1" t="s">
        <v>36</v>
      </c>
      <c r="J298">
        <v>405</v>
      </c>
      <c r="K298">
        <v>3</v>
      </c>
      <c r="L298" s="1" t="s">
        <v>43</v>
      </c>
      <c r="M298">
        <v>54</v>
      </c>
      <c r="N298">
        <v>3</v>
      </c>
      <c r="O298">
        <v>1</v>
      </c>
      <c r="P298" s="1" t="s">
        <v>47</v>
      </c>
      <c r="Q298">
        <v>3</v>
      </c>
      <c r="R298" s="1" t="s">
        <v>39</v>
      </c>
      <c r="S298">
        <v>1420</v>
      </c>
      <c r="T298">
        <v>25233</v>
      </c>
      <c r="U298">
        <v>1</v>
      </c>
      <c r="V298" s="1" t="s">
        <v>40</v>
      </c>
      <c r="W298">
        <v>13</v>
      </c>
      <c r="X298">
        <v>3</v>
      </c>
      <c r="Y298">
        <v>3</v>
      </c>
      <c r="Z298">
        <v>80</v>
      </c>
      <c r="AA298">
        <v>0</v>
      </c>
      <c r="AB298">
        <v>0</v>
      </c>
      <c r="AC298">
        <v>2</v>
      </c>
      <c r="AD298">
        <v>3</v>
      </c>
      <c r="AE298">
        <v>0</v>
      </c>
      <c r="AF298">
        <v>0</v>
      </c>
      <c r="AG298">
        <v>0</v>
      </c>
      <c r="AH298">
        <v>0</v>
      </c>
      <c r="AI298">
        <f>IF(tbl_HRData[[#This Row],[Attrition]] = "Yes",1,0)</f>
        <v>1</v>
      </c>
      <c r="AJ298">
        <f>IF(tbl_HRData[[#This Row],[Attrition]] = "No",1,0)</f>
        <v>0</v>
      </c>
      <c r="AK298" t="str">
        <f>IF(tbl_HRData[[#This Row],[Age]] &lt; 25, "Under 25", IF(tbl_HRData[[#This Row],[Age]] &lt;= 34, "25-34", IF(tbl_HRData[[#This Row],[Age]] &lt;= 44, "35-44", IF(tbl_HRData[[#This Row],[Age]] &lt;= 54, "45-54", "55+"))))</f>
        <v>Under 25</v>
      </c>
      <c r="AL298" s="1" t="str">
        <f>IF(tbl_HRData[[#This Row],[MonthlyIncome]]&lt;5000,"Low",
IF(tbl_HRData[[#This Row],[MonthlyIncome]]&lt;10000,"Medium",
IF(tbl_HRData[[#This Row],[MonthlyIncome]]&lt;15000,"Upper Medium","High")))</f>
        <v>Low</v>
      </c>
      <c r="AM298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299" spans="1:39" x14ac:dyDescent="0.35">
      <c r="A299" s="1">
        <v>298</v>
      </c>
      <c r="B299">
        <v>35</v>
      </c>
      <c r="C299" s="1" t="s">
        <v>40</v>
      </c>
      <c r="D299" s="1" t="s">
        <v>34</v>
      </c>
      <c r="E299">
        <v>1232</v>
      </c>
      <c r="F299" s="1" t="s">
        <v>35</v>
      </c>
      <c r="G299">
        <v>16</v>
      </c>
      <c r="H299">
        <v>3</v>
      </c>
      <c r="I299" s="1" t="s">
        <v>56</v>
      </c>
      <c r="J299">
        <v>406</v>
      </c>
      <c r="K299">
        <v>3</v>
      </c>
      <c r="L299" s="1" t="s">
        <v>43</v>
      </c>
      <c r="M299">
        <v>96</v>
      </c>
      <c r="N299">
        <v>3</v>
      </c>
      <c r="O299">
        <v>3</v>
      </c>
      <c r="P299" s="1" t="s">
        <v>38</v>
      </c>
      <c r="Q299">
        <v>2</v>
      </c>
      <c r="R299" s="1" t="s">
        <v>45</v>
      </c>
      <c r="S299">
        <v>8020</v>
      </c>
      <c r="T299">
        <v>5100</v>
      </c>
      <c r="U299">
        <v>0</v>
      </c>
      <c r="V299" s="1" t="s">
        <v>40</v>
      </c>
      <c r="W299">
        <v>15</v>
      </c>
      <c r="X299">
        <v>3</v>
      </c>
      <c r="Y299">
        <v>3</v>
      </c>
      <c r="Z299">
        <v>80</v>
      </c>
      <c r="AA299">
        <v>2</v>
      </c>
      <c r="AB299">
        <v>12</v>
      </c>
      <c r="AC299">
        <v>3</v>
      </c>
      <c r="AD299">
        <v>2</v>
      </c>
      <c r="AE299">
        <v>11</v>
      </c>
      <c r="AF299">
        <v>9</v>
      </c>
      <c r="AG299">
        <v>6</v>
      </c>
      <c r="AH299">
        <v>9</v>
      </c>
      <c r="AI299">
        <f>IF(tbl_HRData[[#This Row],[Attrition]] = "Yes",1,0)</f>
        <v>0</v>
      </c>
      <c r="AJ299">
        <f>IF(tbl_HRData[[#This Row],[Attrition]] = "No",1,0)</f>
        <v>1</v>
      </c>
      <c r="AK299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299" s="1" t="str">
        <f>IF(tbl_HRData[[#This Row],[MonthlyIncome]]&lt;5000,"Low",
IF(tbl_HRData[[#This Row],[MonthlyIncome]]&lt;10000,"Medium",
IF(tbl_HRData[[#This Row],[MonthlyIncome]]&lt;15000,"Upper Medium","High")))</f>
        <v>Medium</v>
      </c>
      <c r="AM299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300" spans="1:39" x14ac:dyDescent="0.35">
      <c r="A300" s="1">
        <v>299</v>
      </c>
      <c r="B300">
        <v>36</v>
      </c>
      <c r="C300" s="1" t="s">
        <v>40</v>
      </c>
      <c r="D300" s="1" t="s">
        <v>41</v>
      </c>
      <c r="E300">
        <v>566</v>
      </c>
      <c r="F300" s="1" t="s">
        <v>42</v>
      </c>
      <c r="G300">
        <v>18</v>
      </c>
      <c r="H300">
        <v>4</v>
      </c>
      <c r="I300" s="1" t="s">
        <v>36</v>
      </c>
      <c r="J300">
        <v>407</v>
      </c>
      <c r="K300">
        <v>3</v>
      </c>
      <c r="L300" s="1" t="s">
        <v>43</v>
      </c>
      <c r="M300">
        <v>81</v>
      </c>
      <c r="N300">
        <v>4</v>
      </c>
      <c r="O300">
        <v>1</v>
      </c>
      <c r="P300" s="1" t="s">
        <v>47</v>
      </c>
      <c r="Q300">
        <v>4</v>
      </c>
      <c r="R300" s="1" t="s">
        <v>45</v>
      </c>
      <c r="S300">
        <v>3688</v>
      </c>
      <c r="T300">
        <v>7122</v>
      </c>
      <c r="U300">
        <v>4</v>
      </c>
      <c r="V300" s="1" t="s">
        <v>40</v>
      </c>
      <c r="W300">
        <v>18</v>
      </c>
      <c r="X300">
        <v>3</v>
      </c>
      <c r="Y300">
        <v>4</v>
      </c>
      <c r="Z300">
        <v>80</v>
      </c>
      <c r="AA300">
        <v>2</v>
      </c>
      <c r="AB300">
        <v>4</v>
      </c>
      <c r="AC300">
        <v>2</v>
      </c>
      <c r="AD300">
        <v>3</v>
      </c>
      <c r="AE300">
        <v>1</v>
      </c>
      <c r="AF300">
        <v>0</v>
      </c>
      <c r="AG300">
        <v>0</v>
      </c>
      <c r="AH300">
        <v>0</v>
      </c>
      <c r="AI300">
        <f>IF(tbl_HRData[[#This Row],[Attrition]] = "Yes",1,0)</f>
        <v>0</v>
      </c>
      <c r="AJ300">
        <f>IF(tbl_HRData[[#This Row],[Attrition]] = "No",1,0)</f>
        <v>1</v>
      </c>
      <c r="AK300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300" s="1" t="str">
        <f>IF(tbl_HRData[[#This Row],[MonthlyIncome]]&lt;5000,"Low",
IF(tbl_HRData[[#This Row],[MonthlyIncome]]&lt;10000,"Medium",
IF(tbl_HRData[[#This Row],[MonthlyIncome]]&lt;15000,"Upper Medium","High")))</f>
        <v>Low</v>
      </c>
      <c r="AM300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301" spans="1:39" x14ac:dyDescent="0.35">
      <c r="A301" s="1">
        <v>300</v>
      </c>
      <c r="B301">
        <v>51</v>
      </c>
      <c r="C301" s="1" t="s">
        <v>40</v>
      </c>
      <c r="D301" s="1" t="s">
        <v>34</v>
      </c>
      <c r="E301">
        <v>1302</v>
      </c>
      <c r="F301" s="1" t="s">
        <v>42</v>
      </c>
      <c r="G301">
        <v>2</v>
      </c>
      <c r="H301">
        <v>3</v>
      </c>
      <c r="I301" s="1" t="s">
        <v>48</v>
      </c>
      <c r="J301">
        <v>408</v>
      </c>
      <c r="K301">
        <v>4</v>
      </c>
      <c r="L301" s="1" t="s">
        <v>43</v>
      </c>
      <c r="M301">
        <v>84</v>
      </c>
      <c r="N301">
        <v>1</v>
      </c>
      <c r="O301">
        <v>2</v>
      </c>
      <c r="P301" s="1" t="s">
        <v>50</v>
      </c>
      <c r="Q301">
        <v>2</v>
      </c>
      <c r="R301" s="1" t="s">
        <v>49</v>
      </c>
      <c r="S301">
        <v>5482</v>
      </c>
      <c r="T301">
        <v>16321</v>
      </c>
      <c r="U301">
        <v>5</v>
      </c>
      <c r="V301" s="1" t="s">
        <v>40</v>
      </c>
      <c r="W301">
        <v>18</v>
      </c>
      <c r="X301">
        <v>3</v>
      </c>
      <c r="Y301">
        <v>4</v>
      </c>
      <c r="Z301">
        <v>80</v>
      </c>
      <c r="AA301">
        <v>1</v>
      </c>
      <c r="AB301">
        <v>13</v>
      </c>
      <c r="AC301">
        <v>3</v>
      </c>
      <c r="AD301">
        <v>3</v>
      </c>
      <c r="AE301">
        <v>4</v>
      </c>
      <c r="AF301">
        <v>1</v>
      </c>
      <c r="AG301">
        <v>1</v>
      </c>
      <c r="AH301">
        <v>2</v>
      </c>
      <c r="AI301">
        <f>IF(tbl_HRData[[#This Row],[Attrition]] = "Yes",1,0)</f>
        <v>0</v>
      </c>
      <c r="AJ301">
        <f>IF(tbl_HRData[[#This Row],[Attrition]] = "No",1,0)</f>
        <v>1</v>
      </c>
      <c r="AK301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301" s="1" t="str">
        <f>IF(tbl_HRData[[#This Row],[MonthlyIncome]]&lt;5000,"Low",
IF(tbl_HRData[[#This Row],[MonthlyIncome]]&lt;10000,"Medium",
IF(tbl_HRData[[#This Row],[MonthlyIncome]]&lt;15000,"Upper Medium","High")))</f>
        <v>Medium</v>
      </c>
      <c r="AM301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302" spans="1:39" x14ac:dyDescent="0.35">
      <c r="A302" s="1">
        <v>301</v>
      </c>
      <c r="B302">
        <v>41</v>
      </c>
      <c r="C302" s="1" t="s">
        <v>40</v>
      </c>
      <c r="D302" s="1" t="s">
        <v>34</v>
      </c>
      <c r="E302">
        <v>334</v>
      </c>
      <c r="F302" s="1" t="s">
        <v>35</v>
      </c>
      <c r="G302">
        <v>2</v>
      </c>
      <c r="H302">
        <v>4</v>
      </c>
      <c r="I302" s="1" t="s">
        <v>36</v>
      </c>
      <c r="J302">
        <v>410</v>
      </c>
      <c r="K302">
        <v>4</v>
      </c>
      <c r="L302" s="1" t="s">
        <v>43</v>
      </c>
      <c r="M302">
        <v>88</v>
      </c>
      <c r="N302">
        <v>3</v>
      </c>
      <c r="O302">
        <v>4</v>
      </c>
      <c r="P302" s="1" t="s">
        <v>53</v>
      </c>
      <c r="Q302">
        <v>2</v>
      </c>
      <c r="R302" s="1" t="s">
        <v>39</v>
      </c>
      <c r="S302">
        <v>16015</v>
      </c>
      <c r="T302">
        <v>15896</v>
      </c>
      <c r="U302">
        <v>1</v>
      </c>
      <c r="V302" s="1" t="s">
        <v>40</v>
      </c>
      <c r="W302">
        <v>19</v>
      </c>
      <c r="X302">
        <v>3</v>
      </c>
      <c r="Y302">
        <v>2</v>
      </c>
      <c r="Z302">
        <v>80</v>
      </c>
      <c r="AA302">
        <v>0</v>
      </c>
      <c r="AB302">
        <v>22</v>
      </c>
      <c r="AC302">
        <v>2</v>
      </c>
      <c r="AD302">
        <v>3</v>
      </c>
      <c r="AE302">
        <v>22</v>
      </c>
      <c r="AF302">
        <v>10</v>
      </c>
      <c r="AG302">
        <v>0</v>
      </c>
      <c r="AH302">
        <v>4</v>
      </c>
      <c r="AI302">
        <f>IF(tbl_HRData[[#This Row],[Attrition]] = "Yes",1,0)</f>
        <v>0</v>
      </c>
      <c r="AJ302">
        <f>IF(tbl_HRData[[#This Row],[Attrition]] = "No",1,0)</f>
        <v>1</v>
      </c>
      <c r="AK302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302" s="1" t="str">
        <f>IF(tbl_HRData[[#This Row],[MonthlyIncome]]&lt;5000,"Low",
IF(tbl_HRData[[#This Row],[MonthlyIncome]]&lt;10000,"Medium",
IF(tbl_HRData[[#This Row],[MonthlyIncome]]&lt;15000,"Upper Medium","High")))</f>
        <v>High</v>
      </c>
      <c r="AM302" s="1" t="str">
        <f>IF(tbl_HRData[[#This Row],[YearsAtCompany]]&lt;=5,"0-5 Years",
IF(tbl_HRData[[#This Row],[YearsAtCompany]]&lt;=10,"6-10 Years",
IF(tbl_HRData[[#This Row],[YearsAtCompany]]&lt;=20,"11-20 Years","21+ Years")))</f>
        <v>21+ Years</v>
      </c>
    </row>
    <row r="303" spans="1:39" x14ac:dyDescent="0.35">
      <c r="A303" s="1">
        <v>302</v>
      </c>
      <c r="B303">
        <v>18</v>
      </c>
      <c r="C303" s="1" t="s">
        <v>40</v>
      </c>
      <c r="D303" s="1" t="s">
        <v>34</v>
      </c>
      <c r="E303">
        <v>812</v>
      </c>
      <c r="F303" s="1" t="s">
        <v>35</v>
      </c>
      <c r="G303">
        <v>10</v>
      </c>
      <c r="H303">
        <v>3</v>
      </c>
      <c r="I303" s="1" t="s">
        <v>48</v>
      </c>
      <c r="J303">
        <v>411</v>
      </c>
      <c r="K303">
        <v>4</v>
      </c>
      <c r="L303" s="1" t="s">
        <v>37</v>
      </c>
      <c r="M303">
        <v>69</v>
      </c>
      <c r="N303">
        <v>2</v>
      </c>
      <c r="O303">
        <v>1</v>
      </c>
      <c r="P303" s="1" t="s">
        <v>54</v>
      </c>
      <c r="Q303">
        <v>3</v>
      </c>
      <c r="R303" s="1" t="s">
        <v>39</v>
      </c>
      <c r="S303">
        <v>1200</v>
      </c>
      <c r="T303">
        <v>9724</v>
      </c>
      <c r="U303">
        <v>1</v>
      </c>
      <c r="V303" s="1" t="s">
        <v>40</v>
      </c>
      <c r="W303">
        <v>12</v>
      </c>
      <c r="X303">
        <v>3</v>
      </c>
      <c r="Y303">
        <v>1</v>
      </c>
      <c r="Z303">
        <v>80</v>
      </c>
      <c r="AA303">
        <v>0</v>
      </c>
      <c r="AB303">
        <v>0</v>
      </c>
      <c r="AC303">
        <v>2</v>
      </c>
      <c r="AD303">
        <v>3</v>
      </c>
      <c r="AE303">
        <v>0</v>
      </c>
      <c r="AF303">
        <v>0</v>
      </c>
      <c r="AG303">
        <v>0</v>
      </c>
      <c r="AH303">
        <v>0</v>
      </c>
      <c r="AI303">
        <f>IF(tbl_HRData[[#This Row],[Attrition]] = "Yes",1,0)</f>
        <v>0</v>
      </c>
      <c r="AJ303">
        <f>IF(tbl_HRData[[#This Row],[Attrition]] = "No",1,0)</f>
        <v>1</v>
      </c>
      <c r="AK303" t="str">
        <f>IF(tbl_HRData[[#This Row],[Age]] &lt; 25, "Under 25", IF(tbl_HRData[[#This Row],[Age]] &lt;= 34, "25-34", IF(tbl_HRData[[#This Row],[Age]] &lt;= 44, "35-44", IF(tbl_HRData[[#This Row],[Age]] &lt;= 54, "45-54", "55+"))))</f>
        <v>Under 25</v>
      </c>
      <c r="AL303" s="1" t="str">
        <f>IF(tbl_HRData[[#This Row],[MonthlyIncome]]&lt;5000,"Low",
IF(tbl_HRData[[#This Row],[MonthlyIncome]]&lt;10000,"Medium",
IF(tbl_HRData[[#This Row],[MonthlyIncome]]&lt;15000,"Upper Medium","High")))</f>
        <v>Low</v>
      </c>
      <c r="AM303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304" spans="1:39" x14ac:dyDescent="0.35">
      <c r="A304" s="1">
        <v>303</v>
      </c>
      <c r="B304">
        <v>28</v>
      </c>
      <c r="C304" s="1" t="s">
        <v>40</v>
      </c>
      <c r="D304" s="1" t="s">
        <v>34</v>
      </c>
      <c r="E304">
        <v>1476</v>
      </c>
      <c r="F304" s="1" t="s">
        <v>42</v>
      </c>
      <c r="G304">
        <v>16</v>
      </c>
      <c r="H304">
        <v>2</v>
      </c>
      <c r="I304" s="1" t="s">
        <v>48</v>
      </c>
      <c r="J304">
        <v>412</v>
      </c>
      <c r="K304">
        <v>2</v>
      </c>
      <c r="L304" s="1" t="s">
        <v>43</v>
      </c>
      <c r="M304">
        <v>68</v>
      </c>
      <c r="N304">
        <v>4</v>
      </c>
      <c r="O304">
        <v>2</v>
      </c>
      <c r="P304" s="1" t="s">
        <v>51</v>
      </c>
      <c r="Q304">
        <v>1</v>
      </c>
      <c r="R304" s="1" t="s">
        <v>39</v>
      </c>
      <c r="S304">
        <v>5661</v>
      </c>
      <c r="T304">
        <v>4824</v>
      </c>
      <c r="U304">
        <v>0</v>
      </c>
      <c r="V304" s="1" t="s">
        <v>40</v>
      </c>
      <c r="W304">
        <v>19</v>
      </c>
      <c r="X304">
        <v>3</v>
      </c>
      <c r="Y304">
        <v>3</v>
      </c>
      <c r="Z304">
        <v>80</v>
      </c>
      <c r="AA304">
        <v>0</v>
      </c>
      <c r="AB304">
        <v>9</v>
      </c>
      <c r="AC304">
        <v>2</v>
      </c>
      <c r="AD304">
        <v>3</v>
      </c>
      <c r="AE304">
        <v>8</v>
      </c>
      <c r="AF304">
        <v>3</v>
      </c>
      <c r="AG304">
        <v>0</v>
      </c>
      <c r="AH304">
        <v>7</v>
      </c>
      <c r="AI304">
        <f>IF(tbl_HRData[[#This Row],[Attrition]] = "Yes",1,0)</f>
        <v>0</v>
      </c>
      <c r="AJ304">
        <f>IF(tbl_HRData[[#This Row],[Attrition]] = "No",1,0)</f>
        <v>1</v>
      </c>
      <c r="AK304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304" s="1" t="str">
        <f>IF(tbl_HRData[[#This Row],[MonthlyIncome]]&lt;5000,"Low",
IF(tbl_HRData[[#This Row],[MonthlyIncome]]&lt;10000,"Medium",
IF(tbl_HRData[[#This Row],[MonthlyIncome]]&lt;15000,"Upper Medium","High")))</f>
        <v>Medium</v>
      </c>
      <c r="AM304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305" spans="1:39" x14ac:dyDescent="0.35">
      <c r="A305" s="1">
        <v>304</v>
      </c>
      <c r="B305">
        <v>31</v>
      </c>
      <c r="C305" s="1" t="s">
        <v>40</v>
      </c>
      <c r="D305" s="1" t="s">
        <v>34</v>
      </c>
      <c r="E305">
        <v>218</v>
      </c>
      <c r="F305" s="1" t="s">
        <v>35</v>
      </c>
      <c r="G305">
        <v>7</v>
      </c>
      <c r="H305">
        <v>3</v>
      </c>
      <c r="I305" s="1" t="s">
        <v>57</v>
      </c>
      <c r="J305">
        <v>416</v>
      </c>
      <c r="K305">
        <v>2</v>
      </c>
      <c r="L305" s="1" t="s">
        <v>43</v>
      </c>
      <c r="M305">
        <v>100</v>
      </c>
      <c r="N305">
        <v>4</v>
      </c>
      <c r="O305">
        <v>2</v>
      </c>
      <c r="P305" s="1" t="s">
        <v>38</v>
      </c>
      <c r="Q305">
        <v>4</v>
      </c>
      <c r="R305" s="1" t="s">
        <v>45</v>
      </c>
      <c r="S305">
        <v>6929</v>
      </c>
      <c r="T305">
        <v>12241</v>
      </c>
      <c r="U305">
        <v>4</v>
      </c>
      <c r="V305" s="1" t="s">
        <v>40</v>
      </c>
      <c r="W305">
        <v>11</v>
      </c>
      <c r="X305">
        <v>3</v>
      </c>
      <c r="Y305">
        <v>2</v>
      </c>
      <c r="Z305">
        <v>80</v>
      </c>
      <c r="AA305">
        <v>1</v>
      </c>
      <c r="AB305">
        <v>10</v>
      </c>
      <c r="AC305">
        <v>3</v>
      </c>
      <c r="AD305">
        <v>2</v>
      </c>
      <c r="AE305">
        <v>8</v>
      </c>
      <c r="AF305">
        <v>7</v>
      </c>
      <c r="AG305">
        <v>7</v>
      </c>
      <c r="AH305">
        <v>7</v>
      </c>
      <c r="AI305">
        <f>IF(tbl_HRData[[#This Row],[Attrition]] = "Yes",1,0)</f>
        <v>0</v>
      </c>
      <c r="AJ305">
        <f>IF(tbl_HRData[[#This Row],[Attrition]] = "No",1,0)</f>
        <v>1</v>
      </c>
      <c r="AK305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305" s="1" t="str">
        <f>IF(tbl_HRData[[#This Row],[MonthlyIncome]]&lt;5000,"Low",
IF(tbl_HRData[[#This Row],[MonthlyIncome]]&lt;10000,"Medium",
IF(tbl_HRData[[#This Row],[MonthlyIncome]]&lt;15000,"Upper Medium","High")))</f>
        <v>Medium</v>
      </c>
      <c r="AM305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306" spans="1:39" x14ac:dyDescent="0.35">
      <c r="A306" s="1">
        <v>305</v>
      </c>
      <c r="B306">
        <v>39</v>
      </c>
      <c r="C306" s="1" t="s">
        <v>40</v>
      </c>
      <c r="D306" s="1" t="s">
        <v>34</v>
      </c>
      <c r="E306">
        <v>1132</v>
      </c>
      <c r="F306" s="1" t="s">
        <v>42</v>
      </c>
      <c r="G306">
        <v>1</v>
      </c>
      <c r="H306">
        <v>3</v>
      </c>
      <c r="I306" s="1" t="s">
        <v>48</v>
      </c>
      <c r="J306">
        <v>417</v>
      </c>
      <c r="K306">
        <v>3</v>
      </c>
      <c r="L306" s="1" t="s">
        <v>43</v>
      </c>
      <c r="M306">
        <v>48</v>
      </c>
      <c r="N306">
        <v>4</v>
      </c>
      <c r="O306">
        <v>3</v>
      </c>
      <c r="P306" s="1" t="s">
        <v>51</v>
      </c>
      <c r="Q306">
        <v>4</v>
      </c>
      <c r="R306" s="1" t="s">
        <v>49</v>
      </c>
      <c r="S306">
        <v>9613</v>
      </c>
      <c r="T306">
        <v>10942</v>
      </c>
      <c r="U306">
        <v>0</v>
      </c>
      <c r="V306" s="1" t="s">
        <v>40</v>
      </c>
      <c r="W306">
        <v>17</v>
      </c>
      <c r="X306">
        <v>3</v>
      </c>
      <c r="Y306">
        <v>1</v>
      </c>
      <c r="Z306">
        <v>80</v>
      </c>
      <c r="AA306">
        <v>3</v>
      </c>
      <c r="AB306">
        <v>19</v>
      </c>
      <c r="AC306">
        <v>5</v>
      </c>
      <c r="AD306">
        <v>2</v>
      </c>
      <c r="AE306">
        <v>18</v>
      </c>
      <c r="AF306">
        <v>10</v>
      </c>
      <c r="AG306">
        <v>3</v>
      </c>
      <c r="AH306">
        <v>7</v>
      </c>
      <c r="AI306">
        <f>IF(tbl_HRData[[#This Row],[Attrition]] = "Yes",1,0)</f>
        <v>0</v>
      </c>
      <c r="AJ306">
        <f>IF(tbl_HRData[[#This Row],[Attrition]] = "No",1,0)</f>
        <v>1</v>
      </c>
      <c r="AK306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306" s="1" t="str">
        <f>IF(tbl_HRData[[#This Row],[MonthlyIncome]]&lt;5000,"Low",
IF(tbl_HRData[[#This Row],[MonthlyIncome]]&lt;10000,"Medium",
IF(tbl_HRData[[#This Row],[MonthlyIncome]]&lt;15000,"Upper Medium","High")))</f>
        <v>Medium</v>
      </c>
      <c r="AM306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307" spans="1:39" x14ac:dyDescent="0.35">
      <c r="A307" s="1">
        <v>306</v>
      </c>
      <c r="B307">
        <v>36</v>
      </c>
      <c r="C307" s="1" t="s">
        <v>40</v>
      </c>
      <c r="D307" s="1" t="s">
        <v>52</v>
      </c>
      <c r="E307">
        <v>1105</v>
      </c>
      <c r="F307" s="1" t="s">
        <v>42</v>
      </c>
      <c r="G307">
        <v>24</v>
      </c>
      <c r="H307">
        <v>4</v>
      </c>
      <c r="I307" s="1" t="s">
        <v>36</v>
      </c>
      <c r="J307">
        <v>419</v>
      </c>
      <c r="K307">
        <v>2</v>
      </c>
      <c r="L307" s="1" t="s">
        <v>37</v>
      </c>
      <c r="M307">
        <v>47</v>
      </c>
      <c r="N307">
        <v>3</v>
      </c>
      <c r="O307">
        <v>2</v>
      </c>
      <c r="P307" s="1" t="s">
        <v>47</v>
      </c>
      <c r="Q307">
        <v>2</v>
      </c>
      <c r="R307" s="1" t="s">
        <v>45</v>
      </c>
      <c r="S307">
        <v>5674</v>
      </c>
      <c r="T307">
        <v>6927</v>
      </c>
      <c r="U307">
        <v>7</v>
      </c>
      <c r="V307" s="1" t="s">
        <v>40</v>
      </c>
      <c r="W307">
        <v>15</v>
      </c>
      <c r="X307">
        <v>3</v>
      </c>
      <c r="Y307">
        <v>3</v>
      </c>
      <c r="Z307">
        <v>80</v>
      </c>
      <c r="AA307">
        <v>1</v>
      </c>
      <c r="AB307">
        <v>11</v>
      </c>
      <c r="AC307">
        <v>3</v>
      </c>
      <c r="AD307">
        <v>3</v>
      </c>
      <c r="AE307">
        <v>9</v>
      </c>
      <c r="AF307">
        <v>8</v>
      </c>
      <c r="AG307">
        <v>0</v>
      </c>
      <c r="AH307">
        <v>8</v>
      </c>
      <c r="AI307">
        <f>IF(tbl_HRData[[#This Row],[Attrition]] = "Yes",1,0)</f>
        <v>0</v>
      </c>
      <c r="AJ307">
        <f>IF(tbl_HRData[[#This Row],[Attrition]] = "No",1,0)</f>
        <v>1</v>
      </c>
      <c r="AK307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307" s="1" t="str">
        <f>IF(tbl_HRData[[#This Row],[MonthlyIncome]]&lt;5000,"Low",
IF(tbl_HRData[[#This Row],[MonthlyIncome]]&lt;10000,"Medium",
IF(tbl_HRData[[#This Row],[MonthlyIncome]]&lt;15000,"Upper Medium","High")))</f>
        <v>Medium</v>
      </c>
      <c r="AM307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308" spans="1:39" x14ac:dyDescent="0.35">
      <c r="A308" s="1">
        <v>307</v>
      </c>
      <c r="B308">
        <v>32</v>
      </c>
      <c r="C308" s="1" t="s">
        <v>40</v>
      </c>
      <c r="D308" s="1" t="s">
        <v>34</v>
      </c>
      <c r="E308">
        <v>906</v>
      </c>
      <c r="F308" s="1" t="s">
        <v>35</v>
      </c>
      <c r="G308">
        <v>7</v>
      </c>
      <c r="H308">
        <v>3</v>
      </c>
      <c r="I308" s="1" t="s">
        <v>36</v>
      </c>
      <c r="J308">
        <v>420</v>
      </c>
      <c r="K308">
        <v>4</v>
      </c>
      <c r="L308" s="1" t="s">
        <v>43</v>
      </c>
      <c r="M308">
        <v>91</v>
      </c>
      <c r="N308">
        <v>2</v>
      </c>
      <c r="O308">
        <v>2</v>
      </c>
      <c r="P308" s="1" t="s">
        <v>38</v>
      </c>
      <c r="Q308">
        <v>3</v>
      </c>
      <c r="R308" s="1" t="s">
        <v>45</v>
      </c>
      <c r="S308">
        <v>5484</v>
      </c>
      <c r="T308">
        <v>16985</v>
      </c>
      <c r="U308">
        <v>1</v>
      </c>
      <c r="V308" s="1" t="s">
        <v>40</v>
      </c>
      <c r="W308">
        <v>14</v>
      </c>
      <c r="X308">
        <v>3</v>
      </c>
      <c r="Y308">
        <v>3</v>
      </c>
      <c r="Z308">
        <v>80</v>
      </c>
      <c r="AA308">
        <v>1</v>
      </c>
      <c r="AB308">
        <v>13</v>
      </c>
      <c r="AC308">
        <v>3</v>
      </c>
      <c r="AD308">
        <v>2</v>
      </c>
      <c r="AE308">
        <v>13</v>
      </c>
      <c r="AF308">
        <v>8</v>
      </c>
      <c r="AG308">
        <v>4</v>
      </c>
      <c r="AH308">
        <v>8</v>
      </c>
      <c r="AI308">
        <f>IF(tbl_HRData[[#This Row],[Attrition]] = "Yes",1,0)</f>
        <v>0</v>
      </c>
      <c r="AJ308">
        <f>IF(tbl_HRData[[#This Row],[Attrition]] = "No",1,0)</f>
        <v>1</v>
      </c>
      <c r="AK308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308" s="1" t="str">
        <f>IF(tbl_HRData[[#This Row],[MonthlyIncome]]&lt;5000,"Low",
IF(tbl_HRData[[#This Row],[MonthlyIncome]]&lt;10000,"Medium",
IF(tbl_HRData[[#This Row],[MonthlyIncome]]&lt;15000,"Upper Medium","High")))</f>
        <v>Medium</v>
      </c>
      <c r="AM308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309" spans="1:39" x14ac:dyDescent="0.35">
      <c r="A309" s="1">
        <v>308</v>
      </c>
      <c r="B309">
        <v>38</v>
      </c>
      <c r="C309" s="1" t="s">
        <v>40</v>
      </c>
      <c r="D309" s="1" t="s">
        <v>34</v>
      </c>
      <c r="E309">
        <v>849</v>
      </c>
      <c r="F309" s="1" t="s">
        <v>42</v>
      </c>
      <c r="G309">
        <v>25</v>
      </c>
      <c r="H309">
        <v>2</v>
      </c>
      <c r="I309" s="1" t="s">
        <v>36</v>
      </c>
      <c r="J309">
        <v>421</v>
      </c>
      <c r="K309">
        <v>1</v>
      </c>
      <c r="L309" s="1" t="s">
        <v>37</v>
      </c>
      <c r="M309">
        <v>81</v>
      </c>
      <c r="N309">
        <v>2</v>
      </c>
      <c r="O309">
        <v>3</v>
      </c>
      <c r="P309" s="1" t="s">
        <v>55</v>
      </c>
      <c r="Q309">
        <v>2</v>
      </c>
      <c r="R309" s="1" t="s">
        <v>45</v>
      </c>
      <c r="S309">
        <v>12061</v>
      </c>
      <c r="T309">
        <v>26707</v>
      </c>
      <c r="U309">
        <v>3</v>
      </c>
      <c r="V309" s="1" t="s">
        <v>40</v>
      </c>
      <c r="W309">
        <v>17</v>
      </c>
      <c r="X309">
        <v>3</v>
      </c>
      <c r="Y309">
        <v>3</v>
      </c>
      <c r="Z309">
        <v>80</v>
      </c>
      <c r="AA309">
        <v>1</v>
      </c>
      <c r="AB309">
        <v>19</v>
      </c>
      <c r="AC309">
        <v>2</v>
      </c>
      <c r="AD309">
        <v>3</v>
      </c>
      <c r="AE309">
        <v>10</v>
      </c>
      <c r="AF309">
        <v>8</v>
      </c>
      <c r="AG309">
        <v>0</v>
      </c>
      <c r="AH309">
        <v>1</v>
      </c>
      <c r="AI309">
        <f>IF(tbl_HRData[[#This Row],[Attrition]] = "Yes",1,0)</f>
        <v>0</v>
      </c>
      <c r="AJ309">
        <f>IF(tbl_HRData[[#This Row],[Attrition]] = "No",1,0)</f>
        <v>1</v>
      </c>
      <c r="AK309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309" s="1" t="str">
        <f>IF(tbl_HRData[[#This Row],[MonthlyIncome]]&lt;5000,"Low",
IF(tbl_HRData[[#This Row],[MonthlyIncome]]&lt;10000,"Medium",
IF(tbl_HRData[[#This Row],[MonthlyIncome]]&lt;15000,"Upper Medium","High")))</f>
        <v>Upper Medium</v>
      </c>
      <c r="AM309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310" spans="1:39" x14ac:dyDescent="0.35">
      <c r="A310" s="1">
        <v>309</v>
      </c>
      <c r="B310">
        <v>58</v>
      </c>
      <c r="C310" s="1" t="s">
        <v>40</v>
      </c>
      <c r="D310" s="1" t="s">
        <v>52</v>
      </c>
      <c r="E310">
        <v>390</v>
      </c>
      <c r="F310" s="1" t="s">
        <v>42</v>
      </c>
      <c r="G310">
        <v>1</v>
      </c>
      <c r="H310">
        <v>4</v>
      </c>
      <c r="I310" s="1" t="s">
        <v>36</v>
      </c>
      <c r="J310">
        <v>422</v>
      </c>
      <c r="K310">
        <v>4</v>
      </c>
      <c r="L310" s="1" t="s">
        <v>43</v>
      </c>
      <c r="M310">
        <v>32</v>
      </c>
      <c r="N310">
        <v>1</v>
      </c>
      <c r="O310">
        <v>2</v>
      </c>
      <c r="P310" s="1" t="s">
        <v>51</v>
      </c>
      <c r="Q310">
        <v>3</v>
      </c>
      <c r="R310" s="1" t="s">
        <v>49</v>
      </c>
      <c r="S310">
        <v>5660</v>
      </c>
      <c r="T310">
        <v>17056</v>
      </c>
      <c r="U310">
        <v>2</v>
      </c>
      <c r="V310" s="1" t="s">
        <v>33</v>
      </c>
      <c r="W310">
        <v>13</v>
      </c>
      <c r="X310">
        <v>3</v>
      </c>
      <c r="Y310">
        <v>4</v>
      </c>
      <c r="Z310">
        <v>80</v>
      </c>
      <c r="AA310">
        <v>1</v>
      </c>
      <c r="AB310">
        <v>12</v>
      </c>
      <c r="AC310">
        <v>2</v>
      </c>
      <c r="AD310">
        <v>3</v>
      </c>
      <c r="AE310">
        <v>5</v>
      </c>
      <c r="AF310">
        <v>3</v>
      </c>
      <c r="AG310">
        <v>1</v>
      </c>
      <c r="AH310">
        <v>2</v>
      </c>
      <c r="AI310">
        <f>IF(tbl_HRData[[#This Row],[Attrition]] = "Yes",1,0)</f>
        <v>0</v>
      </c>
      <c r="AJ310">
        <f>IF(tbl_HRData[[#This Row],[Attrition]] = "No",1,0)</f>
        <v>1</v>
      </c>
      <c r="AK310" t="str">
        <f>IF(tbl_HRData[[#This Row],[Age]] &lt; 25, "Under 25", IF(tbl_HRData[[#This Row],[Age]] &lt;= 34, "25-34", IF(tbl_HRData[[#This Row],[Age]] &lt;= 44, "35-44", IF(tbl_HRData[[#This Row],[Age]] &lt;= 54, "45-54", "55+"))))</f>
        <v>55+</v>
      </c>
      <c r="AL310" s="1" t="str">
        <f>IF(tbl_HRData[[#This Row],[MonthlyIncome]]&lt;5000,"Low",
IF(tbl_HRData[[#This Row],[MonthlyIncome]]&lt;10000,"Medium",
IF(tbl_HRData[[#This Row],[MonthlyIncome]]&lt;15000,"Upper Medium","High")))</f>
        <v>Medium</v>
      </c>
      <c r="AM310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311" spans="1:39" x14ac:dyDescent="0.35">
      <c r="A311" s="1">
        <v>310</v>
      </c>
      <c r="B311">
        <v>31</v>
      </c>
      <c r="C311" s="1" t="s">
        <v>40</v>
      </c>
      <c r="D311" s="1" t="s">
        <v>34</v>
      </c>
      <c r="E311">
        <v>691</v>
      </c>
      <c r="F311" s="1" t="s">
        <v>42</v>
      </c>
      <c r="G311">
        <v>5</v>
      </c>
      <c r="H311">
        <v>4</v>
      </c>
      <c r="I311" s="1" t="s">
        <v>57</v>
      </c>
      <c r="J311">
        <v>423</v>
      </c>
      <c r="K311">
        <v>3</v>
      </c>
      <c r="L311" s="1" t="s">
        <v>43</v>
      </c>
      <c r="M311">
        <v>86</v>
      </c>
      <c r="N311">
        <v>3</v>
      </c>
      <c r="O311">
        <v>1</v>
      </c>
      <c r="P311" s="1" t="s">
        <v>44</v>
      </c>
      <c r="Q311">
        <v>4</v>
      </c>
      <c r="R311" s="1" t="s">
        <v>45</v>
      </c>
      <c r="S311">
        <v>4821</v>
      </c>
      <c r="T311">
        <v>10077</v>
      </c>
      <c r="U311">
        <v>0</v>
      </c>
      <c r="V311" s="1" t="s">
        <v>33</v>
      </c>
      <c r="W311">
        <v>12</v>
      </c>
      <c r="X311">
        <v>3</v>
      </c>
      <c r="Y311">
        <v>3</v>
      </c>
      <c r="Z311">
        <v>80</v>
      </c>
      <c r="AA311">
        <v>1</v>
      </c>
      <c r="AB311">
        <v>6</v>
      </c>
      <c r="AC311">
        <v>4</v>
      </c>
      <c r="AD311">
        <v>3</v>
      </c>
      <c r="AE311">
        <v>5</v>
      </c>
      <c r="AF311">
        <v>2</v>
      </c>
      <c r="AG311">
        <v>0</v>
      </c>
      <c r="AH311">
        <v>3</v>
      </c>
      <c r="AI311">
        <f>IF(tbl_HRData[[#This Row],[Attrition]] = "Yes",1,0)</f>
        <v>0</v>
      </c>
      <c r="AJ311">
        <f>IF(tbl_HRData[[#This Row],[Attrition]] = "No",1,0)</f>
        <v>1</v>
      </c>
      <c r="AK311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311" s="1" t="str">
        <f>IF(tbl_HRData[[#This Row],[MonthlyIncome]]&lt;5000,"Low",
IF(tbl_HRData[[#This Row],[MonthlyIncome]]&lt;10000,"Medium",
IF(tbl_HRData[[#This Row],[MonthlyIncome]]&lt;15000,"Upper Medium","High")))</f>
        <v>Low</v>
      </c>
      <c r="AM311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312" spans="1:39" x14ac:dyDescent="0.35">
      <c r="A312" s="1">
        <v>311</v>
      </c>
      <c r="B312">
        <v>31</v>
      </c>
      <c r="C312" s="1" t="s">
        <v>40</v>
      </c>
      <c r="D312" s="1" t="s">
        <v>34</v>
      </c>
      <c r="E312">
        <v>106</v>
      </c>
      <c r="F312" s="1" t="s">
        <v>58</v>
      </c>
      <c r="G312">
        <v>2</v>
      </c>
      <c r="H312">
        <v>3</v>
      </c>
      <c r="I312" s="1" t="s">
        <v>58</v>
      </c>
      <c r="J312">
        <v>424</v>
      </c>
      <c r="K312">
        <v>1</v>
      </c>
      <c r="L312" s="1" t="s">
        <v>43</v>
      </c>
      <c r="M312">
        <v>62</v>
      </c>
      <c r="N312">
        <v>2</v>
      </c>
      <c r="O312">
        <v>2</v>
      </c>
      <c r="P312" s="1" t="s">
        <v>58</v>
      </c>
      <c r="Q312">
        <v>1</v>
      </c>
      <c r="R312" s="1" t="s">
        <v>45</v>
      </c>
      <c r="S312">
        <v>6410</v>
      </c>
      <c r="T312">
        <v>17822</v>
      </c>
      <c r="U312">
        <v>3</v>
      </c>
      <c r="V312" s="1" t="s">
        <v>40</v>
      </c>
      <c r="W312">
        <v>12</v>
      </c>
      <c r="X312">
        <v>3</v>
      </c>
      <c r="Y312">
        <v>4</v>
      </c>
      <c r="Z312">
        <v>80</v>
      </c>
      <c r="AA312">
        <v>0</v>
      </c>
      <c r="AB312">
        <v>9</v>
      </c>
      <c r="AC312">
        <v>1</v>
      </c>
      <c r="AD312">
        <v>3</v>
      </c>
      <c r="AE312">
        <v>2</v>
      </c>
      <c r="AF312">
        <v>2</v>
      </c>
      <c r="AG312">
        <v>1</v>
      </c>
      <c r="AH312">
        <v>0</v>
      </c>
      <c r="AI312">
        <f>IF(tbl_HRData[[#This Row],[Attrition]] = "Yes",1,0)</f>
        <v>0</v>
      </c>
      <c r="AJ312">
        <f>IF(tbl_HRData[[#This Row],[Attrition]] = "No",1,0)</f>
        <v>1</v>
      </c>
      <c r="AK312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312" s="1" t="str">
        <f>IF(tbl_HRData[[#This Row],[MonthlyIncome]]&lt;5000,"Low",
IF(tbl_HRData[[#This Row],[MonthlyIncome]]&lt;10000,"Medium",
IF(tbl_HRData[[#This Row],[MonthlyIncome]]&lt;15000,"Upper Medium","High")))</f>
        <v>Medium</v>
      </c>
      <c r="AM312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313" spans="1:39" x14ac:dyDescent="0.35">
      <c r="A313" s="1">
        <v>312</v>
      </c>
      <c r="B313">
        <v>45</v>
      </c>
      <c r="C313" s="1" t="s">
        <v>40</v>
      </c>
      <c r="D313" s="1" t="s">
        <v>41</v>
      </c>
      <c r="E313">
        <v>1249</v>
      </c>
      <c r="F313" s="1" t="s">
        <v>42</v>
      </c>
      <c r="G313">
        <v>7</v>
      </c>
      <c r="H313">
        <v>3</v>
      </c>
      <c r="I313" s="1" t="s">
        <v>36</v>
      </c>
      <c r="J313">
        <v>425</v>
      </c>
      <c r="K313">
        <v>1</v>
      </c>
      <c r="L313" s="1" t="s">
        <v>43</v>
      </c>
      <c r="M313">
        <v>97</v>
      </c>
      <c r="N313">
        <v>3</v>
      </c>
      <c r="O313">
        <v>3</v>
      </c>
      <c r="P313" s="1" t="s">
        <v>47</v>
      </c>
      <c r="Q313">
        <v>1</v>
      </c>
      <c r="R313" s="1" t="s">
        <v>49</v>
      </c>
      <c r="S313">
        <v>5210</v>
      </c>
      <c r="T313">
        <v>20308</v>
      </c>
      <c r="U313">
        <v>1</v>
      </c>
      <c r="V313" s="1" t="s">
        <v>40</v>
      </c>
      <c r="W313">
        <v>18</v>
      </c>
      <c r="X313">
        <v>3</v>
      </c>
      <c r="Y313">
        <v>1</v>
      </c>
      <c r="Z313">
        <v>80</v>
      </c>
      <c r="AA313">
        <v>1</v>
      </c>
      <c r="AB313">
        <v>24</v>
      </c>
      <c r="AC313">
        <v>2</v>
      </c>
      <c r="AD313">
        <v>3</v>
      </c>
      <c r="AE313">
        <v>24</v>
      </c>
      <c r="AF313">
        <v>9</v>
      </c>
      <c r="AG313">
        <v>9</v>
      </c>
      <c r="AH313">
        <v>11</v>
      </c>
      <c r="AI313">
        <f>IF(tbl_HRData[[#This Row],[Attrition]] = "Yes",1,0)</f>
        <v>0</v>
      </c>
      <c r="AJ313">
        <f>IF(tbl_HRData[[#This Row],[Attrition]] = "No",1,0)</f>
        <v>1</v>
      </c>
      <c r="AK313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313" s="1" t="str">
        <f>IF(tbl_HRData[[#This Row],[MonthlyIncome]]&lt;5000,"Low",
IF(tbl_HRData[[#This Row],[MonthlyIncome]]&lt;10000,"Medium",
IF(tbl_HRData[[#This Row],[MonthlyIncome]]&lt;15000,"Upper Medium","High")))</f>
        <v>Medium</v>
      </c>
      <c r="AM313" s="1" t="str">
        <f>IF(tbl_HRData[[#This Row],[YearsAtCompany]]&lt;=5,"0-5 Years",
IF(tbl_HRData[[#This Row],[YearsAtCompany]]&lt;=10,"6-10 Years",
IF(tbl_HRData[[#This Row],[YearsAtCompany]]&lt;=20,"11-20 Years","21+ Years")))</f>
        <v>21+ Years</v>
      </c>
    </row>
    <row r="314" spans="1:39" x14ac:dyDescent="0.35">
      <c r="A314" s="1">
        <v>313</v>
      </c>
      <c r="B314">
        <v>31</v>
      </c>
      <c r="C314" s="1" t="s">
        <v>40</v>
      </c>
      <c r="D314" s="1" t="s">
        <v>34</v>
      </c>
      <c r="E314">
        <v>192</v>
      </c>
      <c r="F314" s="1" t="s">
        <v>42</v>
      </c>
      <c r="G314">
        <v>2</v>
      </c>
      <c r="H314">
        <v>4</v>
      </c>
      <c r="I314" s="1" t="s">
        <v>36</v>
      </c>
      <c r="J314">
        <v>426</v>
      </c>
      <c r="K314">
        <v>3</v>
      </c>
      <c r="L314" s="1" t="s">
        <v>43</v>
      </c>
      <c r="M314">
        <v>32</v>
      </c>
      <c r="N314">
        <v>3</v>
      </c>
      <c r="O314">
        <v>1</v>
      </c>
      <c r="P314" s="1" t="s">
        <v>44</v>
      </c>
      <c r="Q314">
        <v>4</v>
      </c>
      <c r="R314" s="1" t="s">
        <v>49</v>
      </c>
      <c r="S314">
        <v>2695</v>
      </c>
      <c r="T314">
        <v>7747</v>
      </c>
      <c r="U314">
        <v>0</v>
      </c>
      <c r="V314" s="1" t="s">
        <v>33</v>
      </c>
      <c r="W314">
        <v>18</v>
      </c>
      <c r="X314">
        <v>3</v>
      </c>
      <c r="Y314">
        <v>2</v>
      </c>
      <c r="Z314">
        <v>80</v>
      </c>
      <c r="AA314">
        <v>1</v>
      </c>
      <c r="AB314">
        <v>3</v>
      </c>
      <c r="AC314">
        <v>2</v>
      </c>
      <c r="AD314">
        <v>1</v>
      </c>
      <c r="AE314">
        <v>2</v>
      </c>
      <c r="AF314">
        <v>2</v>
      </c>
      <c r="AG314">
        <v>2</v>
      </c>
      <c r="AH314">
        <v>2</v>
      </c>
      <c r="AI314">
        <f>IF(tbl_HRData[[#This Row],[Attrition]] = "Yes",1,0)</f>
        <v>0</v>
      </c>
      <c r="AJ314">
        <f>IF(tbl_HRData[[#This Row],[Attrition]] = "No",1,0)</f>
        <v>1</v>
      </c>
      <c r="AK314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314" s="1" t="str">
        <f>IF(tbl_HRData[[#This Row],[MonthlyIncome]]&lt;5000,"Low",
IF(tbl_HRData[[#This Row],[MonthlyIncome]]&lt;10000,"Medium",
IF(tbl_HRData[[#This Row],[MonthlyIncome]]&lt;15000,"Upper Medium","High")))</f>
        <v>Low</v>
      </c>
      <c r="AM314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315" spans="1:39" x14ac:dyDescent="0.35">
      <c r="A315" s="1">
        <v>314</v>
      </c>
      <c r="B315">
        <v>33</v>
      </c>
      <c r="C315" s="1" t="s">
        <v>40</v>
      </c>
      <c r="D315" s="1" t="s">
        <v>41</v>
      </c>
      <c r="E315">
        <v>553</v>
      </c>
      <c r="F315" s="1" t="s">
        <v>42</v>
      </c>
      <c r="G315">
        <v>5</v>
      </c>
      <c r="H315">
        <v>4</v>
      </c>
      <c r="I315" s="1" t="s">
        <v>36</v>
      </c>
      <c r="J315">
        <v>428</v>
      </c>
      <c r="K315">
        <v>4</v>
      </c>
      <c r="L315" s="1" t="s">
        <v>37</v>
      </c>
      <c r="M315">
        <v>74</v>
      </c>
      <c r="N315">
        <v>3</v>
      </c>
      <c r="O315">
        <v>3</v>
      </c>
      <c r="P315" s="1" t="s">
        <v>53</v>
      </c>
      <c r="Q315">
        <v>2</v>
      </c>
      <c r="R315" s="1" t="s">
        <v>45</v>
      </c>
      <c r="S315">
        <v>11878</v>
      </c>
      <c r="T315">
        <v>23364</v>
      </c>
      <c r="U315">
        <v>6</v>
      </c>
      <c r="V315" s="1" t="s">
        <v>40</v>
      </c>
      <c r="W315">
        <v>11</v>
      </c>
      <c r="X315">
        <v>3</v>
      </c>
      <c r="Y315">
        <v>2</v>
      </c>
      <c r="Z315">
        <v>80</v>
      </c>
      <c r="AA315">
        <v>2</v>
      </c>
      <c r="AB315">
        <v>12</v>
      </c>
      <c r="AC315">
        <v>2</v>
      </c>
      <c r="AD315">
        <v>3</v>
      </c>
      <c r="AE315">
        <v>10</v>
      </c>
      <c r="AF315">
        <v>6</v>
      </c>
      <c r="AG315">
        <v>8</v>
      </c>
      <c r="AH315">
        <v>8</v>
      </c>
      <c r="AI315">
        <f>IF(tbl_HRData[[#This Row],[Attrition]] = "Yes",1,0)</f>
        <v>0</v>
      </c>
      <c r="AJ315">
        <f>IF(tbl_HRData[[#This Row],[Attrition]] = "No",1,0)</f>
        <v>1</v>
      </c>
      <c r="AK315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315" s="1" t="str">
        <f>IF(tbl_HRData[[#This Row],[MonthlyIncome]]&lt;5000,"Low",
IF(tbl_HRData[[#This Row],[MonthlyIncome]]&lt;10000,"Medium",
IF(tbl_HRData[[#This Row],[MonthlyIncome]]&lt;15000,"Upper Medium","High")))</f>
        <v>Upper Medium</v>
      </c>
      <c r="AM315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316" spans="1:39" x14ac:dyDescent="0.35">
      <c r="A316" s="1">
        <v>315</v>
      </c>
      <c r="B316">
        <v>39</v>
      </c>
      <c r="C316" s="1" t="s">
        <v>40</v>
      </c>
      <c r="D316" s="1" t="s">
        <v>34</v>
      </c>
      <c r="E316">
        <v>117</v>
      </c>
      <c r="F316" s="1" t="s">
        <v>42</v>
      </c>
      <c r="G316">
        <v>10</v>
      </c>
      <c r="H316">
        <v>1</v>
      </c>
      <c r="I316" s="1" t="s">
        <v>48</v>
      </c>
      <c r="J316">
        <v>429</v>
      </c>
      <c r="K316">
        <v>3</v>
      </c>
      <c r="L316" s="1" t="s">
        <v>43</v>
      </c>
      <c r="M316">
        <v>99</v>
      </c>
      <c r="N316">
        <v>3</v>
      </c>
      <c r="O316">
        <v>4</v>
      </c>
      <c r="P316" s="1" t="s">
        <v>53</v>
      </c>
      <c r="Q316">
        <v>1</v>
      </c>
      <c r="R316" s="1" t="s">
        <v>45</v>
      </c>
      <c r="S316">
        <v>17068</v>
      </c>
      <c r="T316">
        <v>5355</v>
      </c>
      <c r="U316">
        <v>1</v>
      </c>
      <c r="V316" s="1" t="s">
        <v>33</v>
      </c>
      <c r="W316">
        <v>14</v>
      </c>
      <c r="X316">
        <v>3</v>
      </c>
      <c r="Y316">
        <v>4</v>
      </c>
      <c r="Z316">
        <v>80</v>
      </c>
      <c r="AA316">
        <v>0</v>
      </c>
      <c r="AB316">
        <v>21</v>
      </c>
      <c r="AC316">
        <v>3</v>
      </c>
      <c r="AD316">
        <v>3</v>
      </c>
      <c r="AE316">
        <v>21</v>
      </c>
      <c r="AF316">
        <v>9</v>
      </c>
      <c r="AG316">
        <v>11</v>
      </c>
      <c r="AH316">
        <v>10</v>
      </c>
      <c r="AI316">
        <f>IF(tbl_HRData[[#This Row],[Attrition]] = "Yes",1,0)</f>
        <v>0</v>
      </c>
      <c r="AJ316">
        <f>IF(tbl_HRData[[#This Row],[Attrition]] = "No",1,0)</f>
        <v>1</v>
      </c>
      <c r="AK316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316" s="1" t="str">
        <f>IF(tbl_HRData[[#This Row],[MonthlyIncome]]&lt;5000,"Low",
IF(tbl_HRData[[#This Row],[MonthlyIncome]]&lt;10000,"Medium",
IF(tbl_HRData[[#This Row],[MonthlyIncome]]&lt;15000,"Upper Medium","High")))</f>
        <v>High</v>
      </c>
      <c r="AM316" s="1" t="str">
        <f>IF(tbl_HRData[[#This Row],[YearsAtCompany]]&lt;=5,"0-5 Years",
IF(tbl_HRData[[#This Row],[YearsAtCompany]]&lt;=10,"6-10 Years",
IF(tbl_HRData[[#This Row],[YearsAtCompany]]&lt;=20,"11-20 Years","21+ Years")))</f>
        <v>21+ Years</v>
      </c>
    </row>
    <row r="317" spans="1:39" x14ac:dyDescent="0.35">
      <c r="A317" s="1">
        <v>316</v>
      </c>
      <c r="B317">
        <v>43</v>
      </c>
      <c r="C317" s="1" t="s">
        <v>40</v>
      </c>
      <c r="D317" s="1" t="s">
        <v>41</v>
      </c>
      <c r="E317">
        <v>185</v>
      </c>
      <c r="F317" s="1" t="s">
        <v>42</v>
      </c>
      <c r="G317">
        <v>10</v>
      </c>
      <c r="H317">
        <v>4</v>
      </c>
      <c r="I317" s="1" t="s">
        <v>36</v>
      </c>
      <c r="J317">
        <v>430</v>
      </c>
      <c r="K317">
        <v>3</v>
      </c>
      <c r="L317" s="1" t="s">
        <v>37</v>
      </c>
      <c r="M317">
        <v>33</v>
      </c>
      <c r="N317">
        <v>3</v>
      </c>
      <c r="O317">
        <v>1</v>
      </c>
      <c r="P317" s="1" t="s">
        <v>47</v>
      </c>
      <c r="Q317">
        <v>4</v>
      </c>
      <c r="R317" s="1" t="s">
        <v>39</v>
      </c>
      <c r="S317">
        <v>2455</v>
      </c>
      <c r="T317">
        <v>10675</v>
      </c>
      <c r="U317">
        <v>0</v>
      </c>
      <c r="V317" s="1" t="s">
        <v>40</v>
      </c>
      <c r="W317">
        <v>19</v>
      </c>
      <c r="X317">
        <v>3</v>
      </c>
      <c r="Y317">
        <v>1</v>
      </c>
      <c r="Z317">
        <v>80</v>
      </c>
      <c r="AA317">
        <v>0</v>
      </c>
      <c r="AB317">
        <v>9</v>
      </c>
      <c r="AC317">
        <v>5</v>
      </c>
      <c r="AD317">
        <v>3</v>
      </c>
      <c r="AE317">
        <v>8</v>
      </c>
      <c r="AF317">
        <v>7</v>
      </c>
      <c r="AG317">
        <v>1</v>
      </c>
      <c r="AH317">
        <v>7</v>
      </c>
      <c r="AI317">
        <f>IF(tbl_HRData[[#This Row],[Attrition]] = "Yes",1,0)</f>
        <v>0</v>
      </c>
      <c r="AJ317">
        <f>IF(tbl_HRData[[#This Row],[Attrition]] = "No",1,0)</f>
        <v>1</v>
      </c>
      <c r="AK317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317" s="1" t="str">
        <f>IF(tbl_HRData[[#This Row],[MonthlyIncome]]&lt;5000,"Low",
IF(tbl_HRData[[#This Row],[MonthlyIncome]]&lt;10000,"Medium",
IF(tbl_HRData[[#This Row],[MonthlyIncome]]&lt;15000,"Upper Medium","High")))</f>
        <v>Low</v>
      </c>
      <c r="AM317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318" spans="1:39" x14ac:dyDescent="0.35">
      <c r="A318" s="1">
        <v>317</v>
      </c>
      <c r="B318">
        <v>49</v>
      </c>
      <c r="C318" s="1" t="s">
        <v>40</v>
      </c>
      <c r="D318" s="1" t="s">
        <v>34</v>
      </c>
      <c r="E318">
        <v>1091</v>
      </c>
      <c r="F318" s="1" t="s">
        <v>42</v>
      </c>
      <c r="G318">
        <v>1</v>
      </c>
      <c r="H318">
        <v>2</v>
      </c>
      <c r="I318" s="1" t="s">
        <v>57</v>
      </c>
      <c r="J318">
        <v>431</v>
      </c>
      <c r="K318">
        <v>3</v>
      </c>
      <c r="L318" s="1" t="s">
        <v>37</v>
      </c>
      <c r="M318">
        <v>90</v>
      </c>
      <c r="N318">
        <v>2</v>
      </c>
      <c r="O318">
        <v>4</v>
      </c>
      <c r="P318" s="1" t="s">
        <v>51</v>
      </c>
      <c r="Q318">
        <v>3</v>
      </c>
      <c r="R318" s="1" t="s">
        <v>39</v>
      </c>
      <c r="S318">
        <v>13964</v>
      </c>
      <c r="T318">
        <v>17810</v>
      </c>
      <c r="U318">
        <v>7</v>
      </c>
      <c r="V318" s="1" t="s">
        <v>33</v>
      </c>
      <c r="W318">
        <v>12</v>
      </c>
      <c r="X318">
        <v>3</v>
      </c>
      <c r="Y318">
        <v>4</v>
      </c>
      <c r="Z318">
        <v>80</v>
      </c>
      <c r="AA318">
        <v>0</v>
      </c>
      <c r="AB318">
        <v>25</v>
      </c>
      <c r="AC318">
        <v>2</v>
      </c>
      <c r="AD318">
        <v>3</v>
      </c>
      <c r="AE318">
        <v>7</v>
      </c>
      <c r="AF318">
        <v>1</v>
      </c>
      <c r="AG318">
        <v>0</v>
      </c>
      <c r="AH318">
        <v>7</v>
      </c>
      <c r="AI318">
        <f>IF(tbl_HRData[[#This Row],[Attrition]] = "Yes",1,0)</f>
        <v>0</v>
      </c>
      <c r="AJ318">
        <f>IF(tbl_HRData[[#This Row],[Attrition]] = "No",1,0)</f>
        <v>1</v>
      </c>
      <c r="AK318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318" s="1" t="str">
        <f>IF(tbl_HRData[[#This Row],[MonthlyIncome]]&lt;5000,"Low",
IF(tbl_HRData[[#This Row],[MonthlyIncome]]&lt;10000,"Medium",
IF(tbl_HRData[[#This Row],[MonthlyIncome]]&lt;15000,"Upper Medium","High")))</f>
        <v>Upper Medium</v>
      </c>
      <c r="AM318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319" spans="1:39" x14ac:dyDescent="0.35">
      <c r="A319" s="1">
        <v>318</v>
      </c>
      <c r="B319">
        <v>52</v>
      </c>
      <c r="C319" s="1" t="s">
        <v>33</v>
      </c>
      <c r="D319" s="1" t="s">
        <v>34</v>
      </c>
      <c r="E319">
        <v>723</v>
      </c>
      <c r="F319" s="1" t="s">
        <v>42</v>
      </c>
      <c r="G319">
        <v>8</v>
      </c>
      <c r="H319">
        <v>4</v>
      </c>
      <c r="I319" s="1" t="s">
        <v>48</v>
      </c>
      <c r="J319">
        <v>433</v>
      </c>
      <c r="K319">
        <v>3</v>
      </c>
      <c r="L319" s="1" t="s">
        <v>43</v>
      </c>
      <c r="M319">
        <v>85</v>
      </c>
      <c r="N319">
        <v>2</v>
      </c>
      <c r="O319">
        <v>2</v>
      </c>
      <c r="P319" s="1" t="s">
        <v>44</v>
      </c>
      <c r="Q319">
        <v>2</v>
      </c>
      <c r="R319" s="1" t="s">
        <v>45</v>
      </c>
      <c r="S319">
        <v>4941</v>
      </c>
      <c r="T319">
        <v>17747</v>
      </c>
      <c r="U319">
        <v>2</v>
      </c>
      <c r="V319" s="1" t="s">
        <v>40</v>
      </c>
      <c r="W319">
        <v>15</v>
      </c>
      <c r="X319">
        <v>3</v>
      </c>
      <c r="Y319">
        <v>1</v>
      </c>
      <c r="Z319">
        <v>80</v>
      </c>
      <c r="AA319">
        <v>0</v>
      </c>
      <c r="AB319">
        <v>11</v>
      </c>
      <c r="AC319">
        <v>3</v>
      </c>
      <c r="AD319">
        <v>2</v>
      </c>
      <c r="AE319">
        <v>8</v>
      </c>
      <c r="AF319">
        <v>2</v>
      </c>
      <c r="AG319">
        <v>7</v>
      </c>
      <c r="AH319">
        <v>7</v>
      </c>
      <c r="AI319">
        <f>IF(tbl_HRData[[#This Row],[Attrition]] = "Yes",1,0)</f>
        <v>1</v>
      </c>
      <c r="AJ319">
        <f>IF(tbl_HRData[[#This Row],[Attrition]] = "No",1,0)</f>
        <v>0</v>
      </c>
      <c r="AK319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319" s="1" t="str">
        <f>IF(tbl_HRData[[#This Row],[MonthlyIncome]]&lt;5000,"Low",
IF(tbl_HRData[[#This Row],[MonthlyIncome]]&lt;10000,"Medium",
IF(tbl_HRData[[#This Row],[MonthlyIncome]]&lt;15000,"Upper Medium","High")))</f>
        <v>Low</v>
      </c>
      <c r="AM319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320" spans="1:39" x14ac:dyDescent="0.35">
      <c r="A320" s="1">
        <v>319</v>
      </c>
      <c r="B320">
        <v>27</v>
      </c>
      <c r="C320" s="1" t="s">
        <v>40</v>
      </c>
      <c r="D320" s="1" t="s">
        <v>34</v>
      </c>
      <c r="E320">
        <v>1220</v>
      </c>
      <c r="F320" s="1" t="s">
        <v>42</v>
      </c>
      <c r="G320">
        <v>5</v>
      </c>
      <c r="H320">
        <v>3</v>
      </c>
      <c r="I320" s="1" t="s">
        <v>36</v>
      </c>
      <c r="J320">
        <v>434</v>
      </c>
      <c r="K320">
        <v>3</v>
      </c>
      <c r="L320" s="1" t="s">
        <v>37</v>
      </c>
      <c r="M320">
        <v>85</v>
      </c>
      <c r="N320">
        <v>3</v>
      </c>
      <c r="O320">
        <v>1</v>
      </c>
      <c r="P320" s="1" t="s">
        <v>44</v>
      </c>
      <c r="Q320">
        <v>2</v>
      </c>
      <c r="R320" s="1" t="s">
        <v>39</v>
      </c>
      <c r="S320">
        <v>2478</v>
      </c>
      <c r="T320">
        <v>20938</v>
      </c>
      <c r="U320">
        <v>1</v>
      </c>
      <c r="V320" s="1" t="s">
        <v>33</v>
      </c>
      <c r="W320">
        <v>12</v>
      </c>
      <c r="X320">
        <v>3</v>
      </c>
      <c r="Y320">
        <v>2</v>
      </c>
      <c r="Z320">
        <v>80</v>
      </c>
      <c r="AA320">
        <v>0</v>
      </c>
      <c r="AB320">
        <v>4</v>
      </c>
      <c r="AC320">
        <v>2</v>
      </c>
      <c r="AD320">
        <v>2</v>
      </c>
      <c r="AE320">
        <v>4</v>
      </c>
      <c r="AF320">
        <v>3</v>
      </c>
      <c r="AG320">
        <v>1</v>
      </c>
      <c r="AH320">
        <v>2</v>
      </c>
      <c r="AI320">
        <f>IF(tbl_HRData[[#This Row],[Attrition]] = "Yes",1,0)</f>
        <v>0</v>
      </c>
      <c r="AJ320">
        <f>IF(tbl_HRData[[#This Row],[Attrition]] = "No",1,0)</f>
        <v>1</v>
      </c>
      <c r="AK320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320" s="1" t="str">
        <f>IF(tbl_HRData[[#This Row],[MonthlyIncome]]&lt;5000,"Low",
IF(tbl_HRData[[#This Row],[MonthlyIncome]]&lt;10000,"Medium",
IF(tbl_HRData[[#This Row],[MonthlyIncome]]&lt;15000,"Upper Medium","High")))</f>
        <v>Low</v>
      </c>
      <c r="AM320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321" spans="1:39" x14ac:dyDescent="0.35">
      <c r="A321" s="1">
        <v>320</v>
      </c>
      <c r="B321">
        <v>32</v>
      </c>
      <c r="C321" s="1" t="s">
        <v>40</v>
      </c>
      <c r="D321" s="1" t="s">
        <v>34</v>
      </c>
      <c r="E321">
        <v>588</v>
      </c>
      <c r="F321" s="1" t="s">
        <v>35</v>
      </c>
      <c r="G321">
        <v>8</v>
      </c>
      <c r="H321">
        <v>2</v>
      </c>
      <c r="I321" s="1" t="s">
        <v>57</v>
      </c>
      <c r="J321">
        <v>436</v>
      </c>
      <c r="K321">
        <v>3</v>
      </c>
      <c r="L321" s="1" t="s">
        <v>37</v>
      </c>
      <c r="M321">
        <v>65</v>
      </c>
      <c r="N321">
        <v>2</v>
      </c>
      <c r="O321">
        <v>2</v>
      </c>
      <c r="P321" s="1" t="s">
        <v>38</v>
      </c>
      <c r="Q321">
        <v>2</v>
      </c>
      <c r="R321" s="1" t="s">
        <v>45</v>
      </c>
      <c r="S321">
        <v>5228</v>
      </c>
      <c r="T321">
        <v>24624</v>
      </c>
      <c r="U321">
        <v>1</v>
      </c>
      <c r="V321" s="1" t="s">
        <v>33</v>
      </c>
      <c r="W321">
        <v>11</v>
      </c>
      <c r="X321">
        <v>3</v>
      </c>
      <c r="Y321">
        <v>4</v>
      </c>
      <c r="Z321">
        <v>80</v>
      </c>
      <c r="AA321">
        <v>0</v>
      </c>
      <c r="AB321">
        <v>13</v>
      </c>
      <c r="AC321">
        <v>2</v>
      </c>
      <c r="AD321">
        <v>3</v>
      </c>
      <c r="AE321">
        <v>13</v>
      </c>
      <c r="AF321">
        <v>12</v>
      </c>
      <c r="AG321">
        <v>11</v>
      </c>
      <c r="AH321">
        <v>9</v>
      </c>
      <c r="AI321">
        <f>IF(tbl_HRData[[#This Row],[Attrition]] = "Yes",1,0)</f>
        <v>0</v>
      </c>
      <c r="AJ321">
        <f>IF(tbl_HRData[[#This Row],[Attrition]] = "No",1,0)</f>
        <v>1</v>
      </c>
      <c r="AK321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321" s="1" t="str">
        <f>IF(tbl_HRData[[#This Row],[MonthlyIncome]]&lt;5000,"Low",
IF(tbl_HRData[[#This Row],[MonthlyIncome]]&lt;10000,"Medium",
IF(tbl_HRData[[#This Row],[MonthlyIncome]]&lt;15000,"Upper Medium","High")))</f>
        <v>Medium</v>
      </c>
      <c r="AM321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322" spans="1:39" x14ac:dyDescent="0.35">
      <c r="A322" s="1">
        <v>321</v>
      </c>
      <c r="B322">
        <v>27</v>
      </c>
      <c r="C322" s="1" t="s">
        <v>40</v>
      </c>
      <c r="D322" s="1" t="s">
        <v>34</v>
      </c>
      <c r="E322">
        <v>1377</v>
      </c>
      <c r="F322" s="1" t="s">
        <v>35</v>
      </c>
      <c r="G322">
        <v>2</v>
      </c>
      <c r="H322">
        <v>3</v>
      </c>
      <c r="I322" s="1" t="s">
        <v>36</v>
      </c>
      <c r="J322">
        <v>437</v>
      </c>
      <c r="K322">
        <v>4</v>
      </c>
      <c r="L322" s="1" t="s">
        <v>43</v>
      </c>
      <c r="M322">
        <v>74</v>
      </c>
      <c r="N322">
        <v>3</v>
      </c>
      <c r="O322">
        <v>2</v>
      </c>
      <c r="P322" s="1" t="s">
        <v>38</v>
      </c>
      <c r="Q322">
        <v>3</v>
      </c>
      <c r="R322" s="1" t="s">
        <v>39</v>
      </c>
      <c r="S322">
        <v>4478</v>
      </c>
      <c r="T322">
        <v>5242</v>
      </c>
      <c r="U322">
        <v>1</v>
      </c>
      <c r="V322" s="1" t="s">
        <v>33</v>
      </c>
      <c r="W322">
        <v>11</v>
      </c>
      <c r="X322">
        <v>3</v>
      </c>
      <c r="Y322">
        <v>1</v>
      </c>
      <c r="Z322">
        <v>80</v>
      </c>
      <c r="AA322">
        <v>0</v>
      </c>
      <c r="AB322">
        <v>5</v>
      </c>
      <c r="AC322">
        <v>3</v>
      </c>
      <c r="AD322">
        <v>3</v>
      </c>
      <c r="AE322">
        <v>5</v>
      </c>
      <c r="AF322">
        <v>4</v>
      </c>
      <c r="AG322">
        <v>0</v>
      </c>
      <c r="AH322">
        <v>4</v>
      </c>
      <c r="AI322">
        <f>IF(tbl_HRData[[#This Row],[Attrition]] = "Yes",1,0)</f>
        <v>0</v>
      </c>
      <c r="AJ322">
        <f>IF(tbl_HRData[[#This Row],[Attrition]] = "No",1,0)</f>
        <v>1</v>
      </c>
      <c r="AK322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322" s="1" t="str">
        <f>IF(tbl_HRData[[#This Row],[MonthlyIncome]]&lt;5000,"Low",
IF(tbl_HRData[[#This Row],[MonthlyIncome]]&lt;10000,"Medium",
IF(tbl_HRData[[#This Row],[MonthlyIncome]]&lt;15000,"Upper Medium","High")))</f>
        <v>Low</v>
      </c>
      <c r="AM322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323" spans="1:39" x14ac:dyDescent="0.35">
      <c r="A323" s="1">
        <v>322</v>
      </c>
      <c r="B323">
        <v>31</v>
      </c>
      <c r="C323" s="1" t="s">
        <v>40</v>
      </c>
      <c r="D323" s="1" t="s">
        <v>34</v>
      </c>
      <c r="E323">
        <v>691</v>
      </c>
      <c r="F323" s="1" t="s">
        <v>35</v>
      </c>
      <c r="G323">
        <v>7</v>
      </c>
      <c r="H323">
        <v>3</v>
      </c>
      <c r="I323" s="1" t="s">
        <v>56</v>
      </c>
      <c r="J323">
        <v>438</v>
      </c>
      <c r="K323">
        <v>4</v>
      </c>
      <c r="L323" s="1" t="s">
        <v>43</v>
      </c>
      <c r="M323">
        <v>73</v>
      </c>
      <c r="N323">
        <v>3</v>
      </c>
      <c r="O323">
        <v>2</v>
      </c>
      <c r="P323" s="1" t="s">
        <v>38</v>
      </c>
      <c r="Q323">
        <v>4</v>
      </c>
      <c r="R323" s="1" t="s">
        <v>49</v>
      </c>
      <c r="S323">
        <v>7547</v>
      </c>
      <c r="T323">
        <v>7143</v>
      </c>
      <c r="U323">
        <v>4</v>
      </c>
      <c r="V323" s="1" t="s">
        <v>40</v>
      </c>
      <c r="W323">
        <v>12</v>
      </c>
      <c r="X323">
        <v>3</v>
      </c>
      <c r="Y323">
        <v>4</v>
      </c>
      <c r="Z323">
        <v>80</v>
      </c>
      <c r="AA323">
        <v>3</v>
      </c>
      <c r="AB323">
        <v>13</v>
      </c>
      <c r="AC323">
        <v>3</v>
      </c>
      <c r="AD323">
        <v>3</v>
      </c>
      <c r="AE323">
        <v>7</v>
      </c>
      <c r="AF323">
        <v>7</v>
      </c>
      <c r="AG323">
        <v>1</v>
      </c>
      <c r="AH323">
        <v>7</v>
      </c>
      <c r="AI323">
        <f>IF(tbl_HRData[[#This Row],[Attrition]] = "Yes",1,0)</f>
        <v>0</v>
      </c>
      <c r="AJ323">
        <f>IF(tbl_HRData[[#This Row],[Attrition]] = "No",1,0)</f>
        <v>1</v>
      </c>
      <c r="AK323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323" s="1" t="str">
        <f>IF(tbl_HRData[[#This Row],[MonthlyIncome]]&lt;5000,"Low",
IF(tbl_HRData[[#This Row],[MonthlyIncome]]&lt;10000,"Medium",
IF(tbl_HRData[[#This Row],[MonthlyIncome]]&lt;15000,"Upper Medium","High")))</f>
        <v>Medium</v>
      </c>
      <c r="AM323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324" spans="1:39" x14ac:dyDescent="0.35">
      <c r="A324" s="1">
        <v>323</v>
      </c>
      <c r="B324">
        <v>32</v>
      </c>
      <c r="C324" s="1" t="s">
        <v>40</v>
      </c>
      <c r="D324" s="1" t="s">
        <v>34</v>
      </c>
      <c r="E324">
        <v>1018</v>
      </c>
      <c r="F324" s="1" t="s">
        <v>42</v>
      </c>
      <c r="G324">
        <v>2</v>
      </c>
      <c r="H324">
        <v>4</v>
      </c>
      <c r="I324" s="1" t="s">
        <v>48</v>
      </c>
      <c r="J324">
        <v>439</v>
      </c>
      <c r="K324">
        <v>1</v>
      </c>
      <c r="L324" s="1" t="s">
        <v>37</v>
      </c>
      <c r="M324">
        <v>74</v>
      </c>
      <c r="N324">
        <v>4</v>
      </c>
      <c r="O324">
        <v>2</v>
      </c>
      <c r="P324" s="1" t="s">
        <v>44</v>
      </c>
      <c r="Q324">
        <v>4</v>
      </c>
      <c r="R324" s="1" t="s">
        <v>39</v>
      </c>
      <c r="S324">
        <v>5055</v>
      </c>
      <c r="T324">
        <v>10557</v>
      </c>
      <c r="U324">
        <v>7</v>
      </c>
      <c r="V324" s="1" t="s">
        <v>40</v>
      </c>
      <c r="W324">
        <v>16</v>
      </c>
      <c r="X324">
        <v>3</v>
      </c>
      <c r="Y324">
        <v>3</v>
      </c>
      <c r="Z324">
        <v>80</v>
      </c>
      <c r="AA324">
        <v>0</v>
      </c>
      <c r="AB324">
        <v>10</v>
      </c>
      <c r="AC324">
        <v>0</v>
      </c>
      <c r="AD324">
        <v>2</v>
      </c>
      <c r="AE324">
        <v>7</v>
      </c>
      <c r="AF324">
        <v>7</v>
      </c>
      <c r="AG324">
        <v>0</v>
      </c>
      <c r="AH324">
        <v>7</v>
      </c>
      <c r="AI324">
        <f>IF(tbl_HRData[[#This Row],[Attrition]] = "Yes",1,0)</f>
        <v>0</v>
      </c>
      <c r="AJ324">
        <f>IF(tbl_HRData[[#This Row],[Attrition]] = "No",1,0)</f>
        <v>1</v>
      </c>
      <c r="AK324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324" s="1" t="str">
        <f>IF(tbl_HRData[[#This Row],[MonthlyIncome]]&lt;5000,"Low",
IF(tbl_HRData[[#This Row],[MonthlyIncome]]&lt;10000,"Medium",
IF(tbl_HRData[[#This Row],[MonthlyIncome]]&lt;15000,"Upper Medium","High")))</f>
        <v>Medium</v>
      </c>
      <c r="AM324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325" spans="1:39" x14ac:dyDescent="0.35">
      <c r="A325" s="1">
        <v>324</v>
      </c>
      <c r="B325">
        <v>28</v>
      </c>
      <c r="C325" s="1" t="s">
        <v>33</v>
      </c>
      <c r="D325" s="1" t="s">
        <v>34</v>
      </c>
      <c r="E325">
        <v>1157</v>
      </c>
      <c r="F325" s="1" t="s">
        <v>42</v>
      </c>
      <c r="G325">
        <v>2</v>
      </c>
      <c r="H325">
        <v>4</v>
      </c>
      <c r="I325" s="1" t="s">
        <v>48</v>
      </c>
      <c r="J325">
        <v>440</v>
      </c>
      <c r="K325">
        <v>1</v>
      </c>
      <c r="L325" s="1" t="s">
        <v>43</v>
      </c>
      <c r="M325">
        <v>84</v>
      </c>
      <c r="N325">
        <v>1</v>
      </c>
      <c r="O325">
        <v>1</v>
      </c>
      <c r="P325" s="1" t="s">
        <v>44</v>
      </c>
      <c r="Q325">
        <v>4</v>
      </c>
      <c r="R325" s="1" t="s">
        <v>45</v>
      </c>
      <c r="S325">
        <v>3464</v>
      </c>
      <c r="T325">
        <v>24737</v>
      </c>
      <c r="U325">
        <v>5</v>
      </c>
      <c r="V325" s="1" t="s">
        <v>33</v>
      </c>
      <c r="W325">
        <v>13</v>
      </c>
      <c r="X325">
        <v>3</v>
      </c>
      <c r="Y325">
        <v>4</v>
      </c>
      <c r="Z325">
        <v>80</v>
      </c>
      <c r="AA325">
        <v>0</v>
      </c>
      <c r="AB325">
        <v>5</v>
      </c>
      <c r="AC325">
        <v>4</v>
      </c>
      <c r="AD325">
        <v>2</v>
      </c>
      <c r="AE325">
        <v>3</v>
      </c>
      <c r="AF325">
        <v>2</v>
      </c>
      <c r="AG325">
        <v>2</v>
      </c>
      <c r="AH325">
        <v>2</v>
      </c>
      <c r="AI325">
        <f>IF(tbl_HRData[[#This Row],[Attrition]] = "Yes",1,0)</f>
        <v>1</v>
      </c>
      <c r="AJ325">
        <f>IF(tbl_HRData[[#This Row],[Attrition]] = "No",1,0)</f>
        <v>0</v>
      </c>
      <c r="AK325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325" s="1" t="str">
        <f>IF(tbl_HRData[[#This Row],[MonthlyIncome]]&lt;5000,"Low",
IF(tbl_HRData[[#This Row],[MonthlyIncome]]&lt;10000,"Medium",
IF(tbl_HRData[[#This Row],[MonthlyIncome]]&lt;15000,"Upper Medium","High")))</f>
        <v>Low</v>
      </c>
      <c r="AM325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326" spans="1:39" x14ac:dyDescent="0.35">
      <c r="A326" s="1">
        <v>325</v>
      </c>
      <c r="B326">
        <v>30</v>
      </c>
      <c r="C326" s="1" t="s">
        <v>40</v>
      </c>
      <c r="D326" s="1" t="s">
        <v>34</v>
      </c>
      <c r="E326">
        <v>1275</v>
      </c>
      <c r="F326" s="1" t="s">
        <v>42</v>
      </c>
      <c r="G326">
        <v>28</v>
      </c>
      <c r="H326">
        <v>2</v>
      </c>
      <c r="I326" s="1" t="s">
        <v>48</v>
      </c>
      <c r="J326">
        <v>441</v>
      </c>
      <c r="K326">
        <v>4</v>
      </c>
      <c r="L326" s="1" t="s">
        <v>37</v>
      </c>
      <c r="M326">
        <v>64</v>
      </c>
      <c r="N326">
        <v>3</v>
      </c>
      <c r="O326">
        <v>2</v>
      </c>
      <c r="P326" s="1" t="s">
        <v>44</v>
      </c>
      <c r="Q326">
        <v>4</v>
      </c>
      <c r="R326" s="1" t="s">
        <v>45</v>
      </c>
      <c r="S326">
        <v>5775</v>
      </c>
      <c r="T326">
        <v>11934</v>
      </c>
      <c r="U326">
        <v>1</v>
      </c>
      <c r="V326" s="1" t="s">
        <v>40</v>
      </c>
      <c r="W326">
        <v>13</v>
      </c>
      <c r="X326">
        <v>3</v>
      </c>
      <c r="Y326">
        <v>4</v>
      </c>
      <c r="Z326">
        <v>80</v>
      </c>
      <c r="AA326">
        <v>2</v>
      </c>
      <c r="AB326">
        <v>11</v>
      </c>
      <c r="AC326">
        <v>2</v>
      </c>
      <c r="AD326">
        <v>3</v>
      </c>
      <c r="AE326">
        <v>10</v>
      </c>
      <c r="AF326">
        <v>8</v>
      </c>
      <c r="AG326">
        <v>1</v>
      </c>
      <c r="AH326">
        <v>9</v>
      </c>
      <c r="AI326">
        <f>IF(tbl_HRData[[#This Row],[Attrition]] = "Yes",1,0)</f>
        <v>0</v>
      </c>
      <c r="AJ326">
        <f>IF(tbl_HRData[[#This Row],[Attrition]] = "No",1,0)</f>
        <v>1</v>
      </c>
      <c r="AK326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326" s="1" t="str">
        <f>IF(tbl_HRData[[#This Row],[MonthlyIncome]]&lt;5000,"Low",
IF(tbl_HRData[[#This Row],[MonthlyIncome]]&lt;10000,"Medium",
IF(tbl_HRData[[#This Row],[MonthlyIncome]]&lt;15000,"Upper Medium","High")))</f>
        <v>Medium</v>
      </c>
      <c r="AM326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327" spans="1:39" x14ac:dyDescent="0.35">
      <c r="A327" s="1">
        <v>326</v>
      </c>
      <c r="B327">
        <v>31</v>
      </c>
      <c r="C327" s="1" t="s">
        <v>40</v>
      </c>
      <c r="D327" s="1" t="s">
        <v>41</v>
      </c>
      <c r="E327">
        <v>798</v>
      </c>
      <c r="F327" s="1" t="s">
        <v>42</v>
      </c>
      <c r="G327">
        <v>7</v>
      </c>
      <c r="H327">
        <v>2</v>
      </c>
      <c r="I327" s="1" t="s">
        <v>36</v>
      </c>
      <c r="J327">
        <v>442</v>
      </c>
      <c r="K327">
        <v>3</v>
      </c>
      <c r="L327" s="1" t="s">
        <v>37</v>
      </c>
      <c r="M327">
        <v>48</v>
      </c>
      <c r="N327">
        <v>2</v>
      </c>
      <c r="O327">
        <v>3</v>
      </c>
      <c r="P327" s="1" t="s">
        <v>50</v>
      </c>
      <c r="Q327">
        <v>3</v>
      </c>
      <c r="R327" s="1" t="s">
        <v>45</v>
      </c>
      <c r="S327">
        <v>8943</v>
      </c>
      <c r="T327">
        <v>14034</v>
      </c>
      <c r="U327">
        <v>1</v>
      </c>
      <c r="V327" s="1" t="s">
        <v>40</v>
      </c>
      <c r="W327">
        <v>24</v>
      </c>
      <c r="X327">
        <v>4</v>
      </c>
      <c r="Y327">
        <v>1</v>
      </c>
      <c r="Z327">
        <v>80</v>
      </c>
      <c r="AA327">
        <v>1</v>
      </c>
      <c r="AB327">
        <v>10</v>
      </c>
      <c r="AC327">
        <v>2</v>
      </c>
      <c r="AD327">
        <v>3</v>
      </c>
      <c r="AE327">
        <v>10</v>
      </c>
      <c r="AF327">
        <v>9</v>
      </c>
      <c r="AG327">
        <v>8</v>
      </c>
      <c r="AH327">
        <v>9</v>
      </c>
      <c r="AI327">
        <f>IF(tbl_HRData[[#This Row],[Attrition]] = "Yes",1,0)</f>
        <v>0</v>
      </c>
      <c r="AJ327">
        <f>IF(tbl_HRData[[#This Row],[Attrition]] = "No",1,0)</f>
        <v>1</v>
      </c>
      <c r="AK327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327" s="1" t="str">
        <f>IF(tbl_HRData[[#This Row],[MonthlyIncome]]&lt;5000,"Low",
IF(tbl_HRData[[#This Row],[MonthlyIncome]]&lt;10000,"Medium",
IF(tbl_HRData[[#This Row],[MonthlyIncome]]&lt;15000,"Upper Medium","High")))</f>
        <v>Medium</v>
      </c>
      <c r="AM327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328" spans="1:39" x14ac:dyDescent="0.35">
      <c r="A328" s="1">
        <v>327</v>
      </c>
      <c r="B328">
        <v>39</v>
      </c>
      <c r="C328" s="1" t="s">
        <v>40</v>
      </c>
      <c r="D328" s="1" t="s">
        <v>41</v>
      </c>
      <c r="E328">
        <v>672</v>
      </c>
      <c r="F328" s="1" t="s">
        <v>42</v>
      </c>
      <c r="G328">
        <v>7</v>
      </c>
      <c r="H328">
        <v>2</v>
      </c>
      <c r="I328" s="1" t="s">
        <v>48</v>
      </c>
      <c r="J328">
        <v>444</v>
      </c>
      <c r="K328">
        <v>3</v>
      </c>
      <c r="L328" s="1" t="s">
        <v>43</v>
      </c>
      <c r="M328">
        <v>54</v>
      </c>
      <c r="N328">
        <v>2</v>
      </c>
      <c r="O328">
        <v>5</v>
      </c>
      <c r="P328" s="1" t="s">
        <v>53</v>
      </c>
      <c r="Q328">
        <v>4</v>
      </c>
      <c r="R328" s="1" t="s">
        <v>45</v>
      </c>
      <c r="S328">
        <v>19272</v>
      </c>
      <c r="T328">
        <v>21141</v>
      </c>
      <c r="U328">
        <v>1</v>
      </c>
      <c r="V328" s="1" t="s">
        <v>40</v>
      </c>
      <c r="W328">
        <v>15</v>
      </c>
      <c r="X328">
        <v>3</v>
      </c>
      <c r="Y328">
        <v>1</v>
      </c>
      <c r="Z328">
        <v>80</v>
      </c>
      <c r="AA328">
        <v>1</v>
      </c>
      <c r="AB328">
        <v>21</v>
      </c>
      <c r="AC328">
        <v>2</v>
      </c>
      <c r="AD328">
        <v>3</v>
      </c>
      <c r="AE328">
        <v>21</v>
      </c>
      <c r="AF328">
        <v>9</v>
      </c>
      <c r="AG328">
        <v>13</v>
      </c>
      <c r="AH328">
        <v>3</v>
      </c>
      <c r="AI328">
        <f>IF(tbl_HRData[[#This Row],[Attrition]] = "Yes",1,0)</f>
        <v>0</v>
      </c>
      <c r="AJ328">
        <f>IF(tbl_HRData[[#This Row],[Attrition]] = "No",1,0)</f>
        <v>1</v>
      </c>
      <c r="AK328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328" s="1" t="str">
        <f>IF(tbl_HRData[[#This Row],[MonthlyIncome]]&lt;5000,"Low",
IF(tbl_HRData[[#This Row],[MonthlyIncome]]&lt;10000,"Medium",
IF(tbl_HRData[[#This Row],[MonthlyIncome]]&lt;15000,"Upper Medium","High")))</f>
        <v>High</v>
      </c>
      <c r="AM328" s="1" t="str">
        <f>IF(tbl_HRData[[#This Row],[YearsAtCompany]]&lt;=5,"0-5 Years",
IF(tbl_HRData[[#This Row],[YearsAtCompany]]&lt;=10,"6-10 Years",
IF(tbl_HRData[[#This Row],[YearsAtCompany]]&lt;=20,"11-20 Years","21+ Years")))</f>
        <v>21+ Years</v>
      </c>
    </row>
    <row r="329" spans="1:39" x14ac:dyDescent="0.35">
      <c r="A329" s="1">
        <v>328</v>
      </c>
      <c r="B329">
        <v>39</v>
      </c>
      <c r="C329" s="1" t="s">
        <v>33</v>
      </c>
      <c r="D329" s="1" t="s">
        <v>34</v>
      </c>
      <c r="E329">
        <v>1162</v>
      </c>
      <c r="F329" s="1" t="s">
        <v>35</v>
      </c>
      <c r="G329">
        <v>3</v>
      </c>
      <c r="H329">
        <v>2</v>
      </c>
      <c r="I329" s="1" t="s">
        <v>48</v>
      </c>
      <c r="J329">
        <v>445</v>
      </c>
      <c r="K329">
        <v>4</v>
      </c>
      <c r="L329" s="1" t="s">
        <v>37</v>
      </c>
      <c r="M329">
        <v>41</v>
      </c>
      <c r="N329">
        <v>3</v>
      </c>
      <c r="O329">
        <v>2</v>
      </c>
      <c r="P329" s="1" t="s">
        <v>38</v>
      </c>
      <c r="Q329">
        <v>3</v>
      </c>
      <c r="R329" s="1" t="s">
        <v>45</v>
      </c>
      <c r="S329">
        <v>5238</v>
      </c>
      <c r="T329">
        <v>17778</v>
      </c>
      <c r="U329">
        <v>4</v>
      </c>
      <c r="V329" s="1" t="s">
        <v>33</v>
      </c>
      <c r="W329">
        <v>18</v>
      </c>
      <c r="X329">
        <v>3</v>
      </c>
      <c r="Y329">
        <v>1</v>
      </c>
      <c r="Z329">
        <v>80</v>
      </c>
      <c r="AA329">
        <v>0</v>
      </c>
      <c r="AB329">
        <v>12</v>
      </c>
      <c r="AC329">
        <v>3</v>
      </c>
      <c r="AD329">
        <v>2</v>
      </c>
      <c r="AE329">
        <v>1</v>
      </c>
      <c r="AF329">
        <v>0</v>
      </c>
      <c r="AG329">
        <v>0</v>
      </c>
      <c r="AH329">
        <v>0</v>
      </c>
      <c r="AI329">
        <f>IF(tbl_HRData[[#This Row],[Attrition]] = "Yes",1,0)</f>
        <v>1</v>
      </c>
      <c r="AJ329">
        <f>IF(tbl_HRData[[#This Row],[Attrition]] = "No",1,0)</f>
        <v>0</v>
      </c>
      <c r="AK329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329" s="1" t="str">
        <f>IF(tbl_HRData[[#This Row],[MonthlyIncome]]&lt;5000,"Low",
IF(tbl_HRData[[#This Row],[MonthlyIncome]]&lt;10000,"Medium",
IF(tbl_HRData[[#This Row],[MonthlyIncome]]&lt;15000,"Upper Medium","High")))</f>
        <v>Medium</v>
      </c>
      <c r="AM329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330" spans="1:39" x14ac:dyDescent="0.35">
      <c r="A330" s="1">
        <v>329</v>
      </c>
      <c r="B330">
        <v>33</v>
      </c>
      <c r="C330" s="1" t="s">
        <v>40</v>
      </c>
      <c r="D330" s="1" t="s">
        <v>41</v>
      </c>
      <c r="E330">
        <v>508</v>
      </c>
      <c r="F330" s="1" t="s">
        <v>35</v>
      </c>
      <c r="G330">
        <v>10</v>
      </c>
      <c r="H330">
        <v>3</v>
      </c>
      <c r="I330" s="1" t="s">
        <v>56</v>
      </c>
      <c r="J330">
        <v>446</v>
      </c>
      <c r="K330">
        <v>2</v>
      </c>
      <c r="L330" s="1" t="s">
        <v>43</v>
      </c>
      <c r="M330">
        <v>46</v>
      </c>
      <c r="N330">
        <v>2</v>
      </c>
      <c r="O330">
        <v>2</v>
      </c>
      <c r="P330" s="1" t="s">
        <v>38</v>
      </c>
      <c r="Q330">
        <v>4</v>
      </c>
      <c r="R330" s="1" t="s">
        <v>39</v>
      </c>
      <c r="S330">
        <v>4682</v>
      </c>
      <c r="T330">
        <v>4317</v>
      </c>
      <c r="U330">
        <v>3</v>
      </c>
      <c r="V330" s="1" t="s">
        <v>40</v>
      </c>
      <c r="W330">
        <v>14</v>
      </c>
      <c r="X330">
        <v>3</v>
      </c>
      <c r="Y330">
        <v>3</v>
      </c>
      <c r="Z330">
        <v>80</v>
      </c>
      <c r="AA330">
        <v>0</v>
      </c>
      <c r="AB330">
        <v>9</v>
      </c>
      <c r="AC330">
        <v>6</v>
      </c>
      <c r="AD330">
        <v>2</v>
      </c>
      <c r="AE330">
        <v>7</v>
      </c>
      <c r="AF330">
        <v>7</v>
      </c>
      <c r="AG330">
        <v>0</v>
      </c>
      <c r="AH330">
        <v>1</v>
      </c>
      <c r="AI330">
        <f>IF(tbl_HRData[[#This Row],[Attrition]] = "Yes",1,0)</f>
        <v>0</v>
      </c>
      <c r="AJ330">
        <f>IF(tbl_HRData[[#This Row],[Attrition]] = "No",1,0)</f>
        <v>1</v>
      </c>
      <c r="AK330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330" s="1" t="str">
        <f>IF(tbl_HRData[[#This Row],[MonthlyIncome]]&lt;5000,"Low",
IF(tbl_HRData[[#This Row],[MonthlyIncome]]&lt;10000,"Medium",
IF(tbl_HRData[[#This Row],[MonthlyIncome]]&lt;15000,"Upper Medium","High")))</f>
        <v>Low</v>
      </c>
      <c r="AM330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331" spans="1:39" x14ac:dyDescent="0.35">
      <c r="A331" s="1">
        <v>330</v>
      </c>
      <c r="B331">
        <v>47</v>
      </c>
      <c r="C331" s="1" t="s">
        <v>40</v>
      </c>
      <c r="D331" s="1" t="s">
        <v>34</v>
      </c>
      <c r="E331">
        <v>1482</v>
      </c>
      <c r="F331" s="1" t="s">
        <v>42</v>
      </c>
      <c r="G331">
        <v>5</v>
      </c>
      <c r="H331">
        <v>5</v>
      </c>
      <c r="I331" s="1" t="s">
        <v>36</v>
      </c>
      <c r="J331">
        <v>447</v>
      </c>
      <c r="K331">
        <v>4</v>
      </c>
      <c r="L331" s="1" t="s">
        <v>43</v>
      </c>
      <c r="M331">
        <v>42</v>
      </c>
      <c r="N331">
        <v>3</v>
      </c>
      <c r="O331">
        <v>5</v>
      </c>
      <c r="P331" s="1" t="s">
        <v>55</v>
      </c>
      <c r="Q331">
        <v>3</v>
      </c>
      <c r="R331" s="1" t="s">
        <v>45</v>
      </c>
      <c r="S331">
        <v>18300</v>
      </c>
      <c r="T331">
        <v>16375</v>
      </c>
      <c r="U331">
        <v>4</v>
      </c>
      <c r="V331" s="1" t="s">
        <v>40</v>
      </c>
      <c r="W331">
        <v>11</v>
      </c>
      <c r="X331">
        <v>3</v>
      </c>
      <c r="Y331">
        <v>2</v>
      </c>
      <c r="Z331">
        <v>80</v>
      </c>
      <c r="AA331">
        <v>1</v>
      </c>
      <c r="AB331">
        <v>21</v>
      </c>
      <c r="AC331">
        <v>2</v>
      </c>
      <c r="AD331">
        <v>3</v>
      </c>
      <c r="AE331">
        <v>3</v>
      </c>
      <c r="AF331">
        <v>2</v>
      </c>
      <c r="AG331">
        <v>1</v>
      </c>
      <c r="AH331">
        <v>1</v>
      </c>
      <c r="AI331">
        <f>IF(tbl_HRData[[#This Row],[Attrition]] = "Yes",1,0)</f>
        <v>0</v>
      </c>
      <c r="AJ331">
        <f>IF(tbl_HRData[[#This Row],[Attrition]] = "No",1,0)</f>
        <v>1</v>
      </c>
      <c r="AK331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331" s="1" t="str">
        <f>IF(tbl_HRData[[#This Row],[MonthlyIncome]]&lt;5000,"Low",
IF(tbl_HRData[[#This Row],[MonthlyIncome]]&lt;10000,"Medium",
IF(tbl_HRData[[#This Row],[MonthlyIncome]]&lt;15000,"Upper Medium","High")))</f>
        <v>High</v>
      </c>
      <c r="AM331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332" spans="1:39" x14ac:dyDescent="0.35">
      <c r="A332" s="1">
        <v>331</v>
      </c>
      <c r="B332">
        <v>43</v>
      </c>
      <c r="C332" s="1" t="s">
        <v>40</v>
      </c>
      <c r="D332" s="1" t="s">
        <v>41</v>
      </c>
      <c r="E332">
        <v>559</v>
      </c>
      <c r="F332" s="1" t="s">
        <v>42</v>
      </c>
      <c r="G332">
        <v>10</v>
      </c>
      <c r="H332">
        <v>4</v>
      </c>
      <c r="I332" s="1" t="s">
        <v>36</v>
      </c>
      <c r="J332">
        <v>448</v>
      </c>
      <c r="K332">
        <v>3</v>
      </c>
      <c r="L332" s="1" t="s">
        <v>37</v>
      </c>
      <c r="M332">
        <v>82</v>
      </c>
      <c r="N332">
        <v>2</v>
      </c>
      <c r="O332">
        <v>2</v>
      </c>
      <c r="P332" s="1" t="s">
        <v>47</v>
      </c>
      <c r="Q332">
        <v>3</v>
      </c>
      <c r="R332" s="1" t="s">
        <v>49</v>
      </c>
      <c r="S332">
        <v>5257</v>
      </c>
      <c r="T332">
        <v>6227</v>
      </c>
      <c r="U332">
        <v>1</v>
      </c>
      <c r="V332" s="1" t="s">
        <v>40</v>
      </c>
      <c r="W332">
        <v>11</v>
      </c>
      <c r="X332">
        <v>3</v>
      </c>
      <c r="Y332">
        <v>2</v>
      </c>
      <c r="Z332">
        <v>80</v>
      </c>
      <c r="AA332">
        <v>1</v>
      </c>
      <c r="AB332">
        <v>9</v>
      </c>
      <c r="AC332">
        <v>3</v>
      </c>
      <c r="AD332">
        <v>4</v>
      </c>
      <c r="AE332">
        <v>9</v>
      </c>
      <c r="AF332">
        <v>7</v>
      </c>
      <c r="AG332">
        <v>0</v>
      </c>
      <c r="AH332">
        <v>0</v>
      </c>
      <c r="AI332">
        <f>IF(tbl_HRData[[#This Row],[Attrition]] = "Yes",1,0)</f>
        <v>0</v>
      </c>
      <c r="AJ332">
        <f>IF(tbl_HRData[[#This Row],[Attrition]] = "No",1,0)</f>
        <v>1</v>
      </c>
      <c r="AK332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332" s="1" t="str">
        <f>IF(tbl_HRData[[#This Row],[MonthlyIncome]]&lt;5000,"Low",
IF(tbl_HRData[[#This Row],[MonthlyIncome]]&lt;10000,"Medium",
IF(tbl_HRData[[#This Row],[MonthlyIncome]]&lt;15000,"Upper Medium","High")))</f>
        <v>Medium</v>
      </c>
      <c r="AM332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333" spans="1:39" x14ac:dyDescent="0.35">
      <c r="A333" s="1">
        <v>332</v>
      </c>
      <c r="B333">
        <v>27</v>
      </c>
      <c r="C333" s="1" t="s">
        <v>40</v>
      </c>
      <c r="D333" s="1" t="s">
        <v>52</v>
      </c>
      <c r="E333">
        <v>210</v>
      </c>
      <c r="F333" s="1" t="s">
        <v>35</v>
      </c>
      <c r="G333">
        <v>1</v>
      </c>
      <c r="H333">
        <v>1</v>
      </c>
      <c r="I333" s="1" t="s">
        <v>56</v>
      </c>
      <c r="J333">
        <v>449</v>
      </c>
      <c r="K333">
        <v>3</v>
      </c>
      <c r="L333" s="1" t="s">
        <v>43</v>
      </c>
      <c r="M333">
        <v>73</v>
      </c>
      <c r="N333">
        <v>3</v>
      </c>
      <c r="O333">
        <v>2</v>
      </c>
      <c r="P333" s="1" t="s">
        <v>38</v>
      </c>
      <c r="Q333">
        <v>2</v>
      </c>
      <c r="R333" s="1" t="s">
        <v>45</v>
      </c>
      <c r="S333">
        <v>6349</v>
      </c>
      <c r="T333">
        <v>22107</v>
      </c>
      <c r="U333">
        <v>0</v>
      </c>
      <c r="V333" s="1" t="s">
        <v>33</v>
      </c>
      <c r="W333">
        <v>13</v>
      </c>
      <c r="X333">
        <v>3</v>
      </c>
      <c r="Y333">
        <v>4</v>
      </c>
      <c r="Z333">
        <v>80</v>
      </c>
      <c r="AA333">
        <v>1</v>
      </c>
      <c r="AB333">
        <v>6</v>
      </c>
      <c r="AC333">
        <v>0</v>
      </c>
      <c r="AD333">
        <v>3</v>
      </c>
      <c r="AE333">
        <v>5</v>
      </c>
      <c r="AF333">
        <v>4</v>
      </c>
      <c r="AG333">
        <v>1</v>
      </c>
      <c r="AH333">
        <v>4</v>
      </c>
      <c r="AI333">
        <f>IF(tbl_HRData[[#This Row],[Attrition]] = "Yes",1,0)</f>
        <v>0</v>
      </c>
      <c r="AJ333">
        <f>IF(tbl_HRData[[#This Row],[Attrition]] = "No",1,0)</f>
        <v>1</v>
      </c>
      <c r="AK333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333" s="1" t="str">
        <f>IF(tbl_HRData[[#This Row],[MonthlyIncome]]&lt;5000,"Low",
IF(tbl_HRData[[#This Row],[MonthlyIncome]]&lt;10000,"Medium",
IF(tbl_HRData[[#This Row],[MonthlyIncome]]&lt;15000,"Upper Medium","High")))</f>
        <v>Medium</v>
      </c>
      <c r="AM333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334" spans="1:39" x14ac:dyDescent="0.35">
      <c r="A334" s="1">
        <v>333</v>
      </c>
      <c r="B334">
        <v>54</v>
      </c>
      <c r="C334" s="1" t="s">
        <v>40</v>
      </c>
      <c r="D334" s="1" t="s">
        <v>41</v>
      </c>
      <c r="E334">
        <v>928</v>
      </c>
      <c r="F334" s="1" t="s">
        <v>42</v>
      </c>
      <c r="G334">
        <v>20</v>
      </c>
      <c r="H334">
        <v>4</v>
      </c>
      <c r="I334" s="1" t="s">
        <v>36</v>
      </c>
      <c r="J334">
        <v>450</v>
      </c>
      <c r="K334">
        <v>4</v>
      </c>
      <c r="L334" s="1" t="s">
        <v>37</v>
      </c>
      <c r="M334">
        <v>31</v>
      </c>
      <c r="N334">
        <v>3</v>
      </c>
      <c r="O334">
        <v>2</v>
      </c>
      <c r="P334" s="1" t="s">
        <v>44</v>
      </c>
      <c r="Q334">
        <v>3</v>
      </c>
      <c r="R334" s="1" t="s">
        <v>39</v>
      </c>
      <c r="S334">
        <v>4869</v>
      </c>
      <c r="T334">
        <v>16885</v>
      </c>
      <c r="U334">
        <v>3</v>
      </c>
      <c r="V334" s="1" t="s">
        <v>40</v>
      </c>
      <c r="W334">
        <v>12</v>
      </c>
      <c r="X334">
        <v>3</v>
      </c>
      <c r="Y334">
        <v>4</v>
      </c>
      <c r="Z334">
        <v>80</v>
      </c>
      <c r="AA334">
        <v>0</v>
      </c>
      <c r="AB334">
        <v>20</v>
      </c>
      <c r="AC334">
        <v>4</v>
      </c>
      <c r="AD334">
        <v>2</v>
      </c>
      <c r="AE334">
        <v>4</v>
      </c>
      <c r="AF334">
        <v>3</v>
      </c>
      <c r="AG334">
        <v>0</v>
      </c>
      <c r="AH334">
        <v>3</v>
      </c>
      <c r="AI334">
        <f>IF(tbl_HRData[[#This Row],[Attrition]] = "Yes",1,0)</f>
        <v>0</v>
      </c>
      <c r="AJ334">
        <f>IF(tbl_HRData[[#This Row],[Attrition]] = "No",1,0)</f>
        <v>1</v>
      </c>
      <c r="AK334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334" s="1" t="str">
        <f>IF(tbl_HRData[[#This Row],[MonthlyIncome]]&lt;5000,"Low",
IF(tbl_HRData[[#This Row],[MonthlyIncome]]&lt;10000,"Medium",
IF(tbl_HRData[[#This Row],[MonthlyIncome]]&lt;15000,"Upper Medium","High")))</f>
        <v>Low</v>
      </c>
      <c r="AM334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335" spans="1:39" x14ac:dyDescent="0.35">
      <c r="A335" s="1">
        <v>334</v>
      </c>
      <c r="B335">
        <v>43</v>
      </c>
      <c r="C335" s="1" t="s">
        <v>40</v>
      </c>
      <c r="D335" s="1" t="s">
        <v>34</v>
      </c>
      <c r="E335">
        <v>1001</v>
      </c>
      <c r="F335" s="1" t="s">
        <v>42</v>
      </c>
      <c r="G335">
        <v>7</v>
      </c>
      <c r="H335">
        <v>3</v>
      </c>
      <c r="I335" s="1" t="s">
        <v>36</v>
      </c>
      <c r="J335">
        <v>451</v>
      </c>
      <c r="K335">
        <v>3</v>
      </c>
      <c r="L335" s="1" t="s">
        <v>37</v>
      </c>
      <c r="M335">
        <v>43</v>
      </c>
      <c r="N335">
        <v>3</v>
      </c>
      <c r="O335">
        <v>3</v>
      </c>
      <c r="P335" s="1" t="s">
        <v>51</v>
      </c>
      <c r="Q335">
        <v>1</v>
      </c>
      <c r="R335" s="1" t="s">
        <v>45</v>
      </c>
      <c r="S335">
        <v>9985</v>
      </c>
      <c r="T335">
        <v>9262</v>
      </c>
      <c r="U335">
        <v>8</v>
      </c>
      <c r="V335" s="1" t="s">
        <v>40</v>
      </c>
      <c r="W335">
        <v>16</v>
      </c>
      <c r="X335">
        <v>3</v>
      </c>
      <c r="Y335">
        <v>1</v>
      </c>
      <c r="Z335">
        <v>80</v>
      </c>
      <c r="AA335">
        <v>1</v>
      </c>
      <c r="AB335">
        <v>10</v>
      </c>
      <c r="AC335">
        <v>1</v>
      </c>
      <c r="AD335">
        <v>2</v>
      </c>
      <c r="AE335">
        <v>1</v>
      </c>
      <c r="AF335">
        <v>0</v>
      </c>
      <c r="AG335">
        <v>0</v>
      </c>
      <c r="AH335">
        <v>0</v>
      </c>
      <c r="AI335">
        <f>IF(tbl_HRData[[#This Row],[Attrition]] = "Yes",1,0)</f>
        <v>0</v>
      </c>
      <c r="AJ335">
        <f>IF(tbl_HRData[[#This Row],[Attrition]] = "No",1,0)</f>
        <v>1</v>
      </c>
      <c r="AK335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335" s="1" t="str">
        <f>IF(tbl_HRData[[#This Row],[MonthlyIncome]]&lt;5000,"Low",
IF(tbl_HRData[[#This Row],[MonthlyIncome]]&lt;10000,"Medium",
IF(tbl_HRData[[#This Row],[MonthlyIncome]]&lt;15000,"Upper Medium","High")))</f>
        <v>Medium</v>
      </c>
      <c r="AM335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336" spans="1:39" x14ac:dyDescent="0.35">
      <c r="A336" s="1">
        <v>335</v>
      </c>
      <c r="B336">
        <v>45</v>
      </c>
      <c r="C336" s="1" t="s">
        <v>40</v>
      </c>
      <c r="D336" s="1" t="s">
        <v>34</v>
      </c>
      <c r="E336">
        <v>549</v>
      </c>
      <c r="F336" s="1" t="s">
        <v>42</v>
      </c>
      <c r="G336">
        <v>8</v>
      </c>
      <c r="H336">
        <v>4</v>
      </c>
      <c r="I336" s="1" t="s">
        <v>46</v>
      </c>
      <c r="J336">
        <v>452</v>
      </c>
      <c r="K336">
        <v>4</v>
      </c>
      <c r="L336" s="1" t="s">
        <v>43</v>
      </c>
      <c r="M336">
        <v>75</v>
      </c>
      <c r="N336">
        <v>3</v>
      </c>
      <c r="O336">
        <v>2</v>
      </c>
      <c r="P336" s="1" t="s">
        <v>44</v>
      </c>
      <c r="Q336">
        <v>4</v>
      </c>
      <c r="R336" s="1" t="s">
        <v>45</v>
      </c>
      <c r="S336">
        <v>3697</v>
      </c>
      <c r="T336">
        <v>9278</v>
      </c>
      <c r="U336">
        <v>9</v>
      </c>
      <c r="V336" s="1" t="s">
        <v>40</v>
      </c>
      <c r="W336">
        <v>14</v>
      </c>
      <c r="X336">
        <v>3</v>
      </c>
      <c r="Y336">
        <v>1</v>
      </c>
      <c r="Z336">
        <v>80</v>
      </c>
      <c r="AA336">
        <v>2</v>
      </c>
      <c r="AB336">
        <v>12</v>
      </c>
      <c r="AC336">
        <v>3</v>
      </c>
      <c r="AD336">
        <v>3</v>
      </c>
      <c r="AE336">
        <v>10</v>
      </c>
      <c r="AF336">
        <v>9</v>
      </c>
      <c r="AG336">
        <v>9</v>
      </c>
      <c r="AH336">
        <v>8</v>
      </c>
      <c r="AI336">
        <f>IF(tbl_HRData[[#This Row],[Attrition]] = "Yes",1,0)</f>
        <v>0</v>
      </c>
      <c r="AJ336">
        <f>IF(tbl_HRData[[#This Row],[Attrition]] = "No",1,0)</f>
        <v>1</v>
      </c>
      <c r="AK336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336" s="1" t="str">
        <f>IF(tbl_HRData[[#This Row],[MonthlyIncome]]&lt;5000,"Low",
IF(tbl_HRData[[#This Row],[MonthlyIncome]]&lt;10000,"Medium",
IF(tbl_HRData[[#This Row],[MonthlyIncome]]&lt;15000,"Upper Medium","High")))</f>
        <v>Low</v>
      </c>
      <c r="AM336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337" spans="1:39" x14ac:dyDescent="0.35">
      <c r="A337" s="1">
        <v>336</v>
      </c>
      <c r="B337">
        <v>40</v>
      </c>
      <c r="C337" s="1" t="s">
        <v>40</v>
      </c>
      <c r="D337" s="1" t="s">
        <v>34</v>
      </c>
      <c r="E337">
        <v>1124</v>
      </c>
      <c r="F337" s="1" t="s">
        <v>35</v>
      </c>
      <c r="G337">
        <v>1</v>
      </c>
      <c r="H337">
        <v>2</v>
      </c>
      <c r="I337" s="1" t="s">
        <v>48</v>
      </c>
      <c r="J337">
        <v>453</v>
      </c>
      <c r="K337">
        <v>2</v>
      </c>
      <c r="L337" s="1" t="s">
        <v>43</v>
      </c>
      <c r="M337">
        <v>57</v>
      </c>
      <c r="N337">
        <v>1</v>
      </c>
      <c r="O337">
        <v>2</v>
      </c>
      <c r="P337" s="1" t="s">
        <v>38</v>
      </c>
      <c r="Q337">
        <v>4</v>
      </c>
      <c r="R337" s="1" t="s">
        <v>45</v>
      </c>
      <c r="S337">
        <v>7457</v>
      </c>
      <c r="T337">
        <v>13273</v>
      </c>
      <c r="U337">
        <v>2</v>
      </c>
      <c r="V337" s="1" t="s">
        <v>33</v>
      </c>
      <c r="W337">
        <v>22</v>
      </c>
      <c r="X337">
        <v>4</v>
      </c>
      <c r="Y337">
        <v>3</v>
      </c>
      <c r="Z337">
        <v>80</v>
      </c>
      <c r="AA337">
        <v>3</v>
      </c>
      <c r="AB337">
        <v>6</v>
      </c>
      <c r="AC337">
        <v>2</v>
      </c>
      <c r="AD337">
        <v>2</v>
      </c>
      <c r="AE337">
        <v>4</v>
      </c>
      <c r="AF337">
        <v>3</v>
      </c>
      <c r="AG337">
        <v>0</v>
      </c>
      <c r="AH337">
        <v>2</v>
      </c>
      <c r="AI337">
        <f>IF(tbl_HRData[[#This Row],[Attrition]] = "Yes",1,0)</f>
        <v>0</v>
      </c>
      <c r="AJ337">
        <f>IF(tbl_HRData[[#This Row],[Attrition]] = "No",1,0)</f>
        <v>1</v>
      </c>
      <c r="AK337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337" s="1" t="str">
        <f>IF(tbl_HRData[[#This Row],[MonthlyIncome]]&lt;5000,"Low",
IF(tbl_HRData[[#This Row],[MonthlyIncome]]&lt;10000,"Medium",
IF(tbl_HRData[[#This Row],[MonthlyIncome]]&lt;15000,"Upper Medium","High")))</f>
        <v>Medium</v>
      </c>
      <c r="AM337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338" spans="1:39" x14ac:dyDescent="0.35">
      <c r="A338" s="1">
        <v>337</v>
      </c>
      <c r="B338">
        <v>29</v>
      </c>
      <c r="C338" s="1" t="s">
        <v>33</v>
      </c>
      <c r="D338" s="1" t="s">
        <v>34</v>
      </c>
      <c r="E338">
        <v>318</v>
      </c>
      <c r="F338" s="1" t="s">
        <v>42</v>
      </c>
      <c r="G338">
        <v>8</v>
      </c>
      <c r="H338">
        <v>4</v>
      </c>
      <c r="I338" s="1" t="s">
        <v>46</v>
      </c>
      <c r="J338">
        <v>454</v>
      </c>
      <c r="K338">
        <v>2</v>
      </c>
      <c r="L338" s="1" t="s">
        <v>43</v>
      </c>
      <c r="M338">
        <v>77</v>
      </c>
      <c r="N338">
        <v>1</v>
      </c>
      <c r="O338">
        <v>1</v>
      </c>
      <c r="P338" s="1" t="s">
        <v>47</v>
      </c>
      <c r="Q338">
        <v>1</v>
      </c>
      <c r="R338" s="1" t="s">
        <v>45</v>
      </c>
      <c r="S338">
        <v>2119</v>
      </c>
      <c r="T338">
        <v>4759</v>
      </c>
      <c r="U338">
        <v>1</v>
      </c>
      <c r="V338" s="1" t="s">
        <v>33</v>
      </c>
      <c r="W338">
        <v>11</v>
      </c>
      <c r="X338">
        <v>3</v>
      </c>
      <c r="Y338">
        <v>4</v>
      </c>
      <c r="Z338">
        <v>80</v>
      </c>
      <c r="AA338">
        <v>0</v>
      </c>
      <c r="AB338">
        <v>7</v>
      </c>
      <c r="AC338">
        <v>4</v>
      </c>
      <c r="AD338">
        <v>2</v>
      </c>
      <c r="AE338">
        <v>7</v>
      </c>
      <c r="AF338">
        <v>7</v>
      </c>
      <c r="AG338">
        <v>0</v>
      </c>
      <c r="AH338">
        <v>7</v>
      </c>
      <c r="AI338">
        <f>IF(tbl_HRData[[#This Row],[Attrition]] = "Yes",1,0)</f>
        <v>1</v>
      </c>
      <c r="AJ338">
        <f>IF(tbl_HRData[[#This Row],[Attrition]] = "No",1,0)</f>
        <v>0</v>
      </c>
      <c r="AK338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338" s="1" t="str">
        <f>IF(tbl_HRData[[#This Row],[MonthlyIncome]]&lt;5000,"Low",
IF(tbl_HRData[[#This Row],[MonthlyIncome]]&lt;10000,"Medium",
IF(tbl_HRData[[#This Row],[MonthlyIncome]]&lt;15000,"Upper Medium","High")))</f>
        <v>Low</v>
      </c>
      <c r="AM338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339" spans="1:39" x14ac:dyDescent="0.35">
      <c r="A339" s="1">
        <v>338</v>
      </c>
      <c r="B339">
        <v>29</v>
      </c>
      <c r="C339" s="1" t="s">
        <v>40</v>
      </c>
      <c r="D339" s="1" t="s">
        <v>34</v>
      </c>
      <c r="E339">
        <v>738</v>
      </c>
      <c r="F339" s="1" t="s">
        <v>42</v>
      </c>
      <c r="G339">
        <v>9</v>
      </c>
      <c r="H339">
        <v>5</v>
      </c>
      <c r="I339" s="1" t="s">
        <v>46</v>
      </c>
      <c r="J339">
        <v>455</v>
      </c>
      <c r="K339">
        <v>2</v>
      </c>
      <c r="L339" s="1" t="s">
        <v>43</v>
      </c>
      <c r="M339">
        <v>30</v>
      </c>
      <c r="N339">
        <v>2</v>
      </c>
      <c r="O339">
        <v>1</v>
      </c>
      <c r="P339" s="1" t="s">
        <v>47</v>
      </c>
      <c r="Q339">
        <v>4</v>
      </c>
      <c r="R339" s="1" t="s">
        <v>39</v>
      </c>
      <c r="S339">
        <v>3983</v>
      </c>
      <c r="T339">
        <v>7621</v>
      </c>
      <c r="U339">
        <v>0</v>
      </c>
      <c r="V339" s="1" t="s">
        <v>40</v>
      </c>
      <c r="W339">
        <v>17</v>
      </c>
      <c r="X339">
        <v>3</v>
      </c>
      <c r="Y339">
        <v>3</v>
      </c>
      <c r="Z339">
        <v>80</v>
      </c>
      <c r="AA339">
        <v>0</v>
      </c>
      <c r="AB339">
        <v>4</v>
      </c>
      <c r="AC339">
        <v>2</v>
      </c>
      <c r="AD339">
        <v>3</v>
      </c>
      <c r="AE339">
        <v>3</v>
      </c>
      <c r="AF339">
        <v>2</v>
      </c>
      <c r="AG339">
        <v>2</v>
      </c>
      <c r="AH339">
        <v>2</v>
      </c>
      <c r="AI339">
        <f>IF(tbl_HRData[[#This Row],[Attrition]] = "Yes",1,0)</f>
        <v>0</v>
      </c>
      <c r="AJ339">
        <f>IF(tbl_HRData[[#This Row],[Attrition]] = "No",1,0)</f>
        <v>1</v>
      </c>
      <c r="AK339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339" s="1" t="str">
        <f>IF(tbl_HRData[[#This Row],[MonthlyIncome]]&lt;5000,"Low",
IF(tbl_HRData[[#This Row],[MonthlyIncome]]&lt;10000,"Medium",
IF(tbl_HRData[[#This Row],[MonthlyIncome]]&lt;15000,"Upper Medium","High")))</f>
        <v>Low</v>
      </c>
      <c r="AM339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340" spans="1:39" x14ac:dyDescent="0.35">
      <c r="A340" s="1">
        <v>339</v>
      </c>
      <c r="B340">
        <v>30</v>
      </c>
      <c r="C340" s="1" t="s">
        <v>40</v>
      </c>
      <c r="D340" s="1" t="s">
        <v>34</v>
      </c>
      <c r="E340">
        <v>570</v>
      </c>
      <c r="F340" s="1" t="s">
        <v>35</v>
      </c>
      <c r="G340">
        <v>5</v>
      </c>
      <c r="H340">
        <v>3</v>
      </c>
      <c r="I340" s="1" t="s">
        <v>56</v>
      </c>
      <c r="J340">
        <v>456</v>
      </c>
      <c r="K340">
        <v>4</v>
      </c>
      <c r="L340" s="1" t="s">
        <v>37</v>
      </c>
      <c r="M340">
        <v>30</v>
      </c>
      <c r="N340">
        <v>2</v>
      </c>
      <c r="O340">
        <v>2</v>
      </c>
      <c r="P340" s="1" t="s">
        <v>38</v>
      </c>
      <c r="Q340">
        <v>3</v>
      </c>
      <c r="R340" s="1" t="s">
        <v>49</v>
      </c>
      <c r="S340">
        <v>6118</v>
      </c>
      <c r="T340">
        <v>5431</v>
      </c>
      <c r="U340">
        <v>1</v>
      </c>
      <c r="V340" s="1" t="s">
        <v>40</v>
      </c>
      <c r="W340">
        <v>13</v>
      </c>
      <c r="X340">
        <v>3</v>
      </c>
      <c r="Y340">
        <v>3</v>
      </c>
      <c r="Z340">
        <v>80</v>
      </c>
      <c r="AA340">
        <v>3</v>
      </c>
      <c r="AB340">
        <v>10</v>
      </c>
      <c r="AC340">
        <v>2</v>
      </c>
      <c r="AD340">
        <v>3</v>
      </c>
      <c r="AE340">
        <v>10</v>
      </c>
      <c r="AF340">
        <v>9</v>
      </c>
      <c r="AG340">
        <v>1</v>
      </c>
      <c r="AH340">
        <v>2</v>
      </c>
      <c r="AI340">
        <f>IF(tbl_HRData[[#This Row],[Attrition]] = "Yes",1,0)</f>
        <v>0</v>
      </c>
      <c r="AJ340">
        <f>IF(tbl_HRData[[#This Row],[Attrition]] = "No",1,0)</f>
        <v>1</v>
      </c>
      <c r="AK340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340" s="1" t="str">
        <f>IF(tbl_HRData[[#This Row],[MonthlyIncome]]&lt;5000,"Low",
IF(tbl_HRData[[#This Row],[MonthlyIncome]]&lt;10000,"Medium",
IF(tbl_HRData[[#This Row],[MonthlyIncome]]&lt;15000,"Upper Medium","High")))</f>
        <v>Medium</v>
      </c>
      <c r="AM340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341" spans="1:39" x14ac:dyDescent="0.35">
      <c r="A341" s="1">
        <v>340</v>
      </c>
      <c r="B341">
        <v>27</v>
      </c>
      <c r="C341" s="1" t="s">
        <v>40</v>
      </c>
      <c r="D341" s="1" t="s">
        <v>34</v>
      </c>
      <c r="E341">
        <v>1130</v>
      </c>
      <c r="F341" s="1" t="s">
        <v>35</v>
      </c>
      <c r="G341">
        <v>8</v>
      </c>
      <c r="H341">
        <v>4</v>
      </c>
      <c r="I341" s="1" t="s">
        <v>56</v>
      </c>
      <c r="J341">
        <v>458</v>
      </c>
      <c r="K341">
        <v>2</v>
      </c>
      <c r="L341" s="1" t="s">
        <v>37</v>
      </c>
      <c r="M341">
        <v>56</v>
      </c>
      <c r="N341">
        <v>3</v>
      </c>
      <c r="O341">
        <v>2</v>
      </c>
      <c r="P341" s="1" t="s">
        <v>38</v>
      </c>
      <c r="Q341">
        <v>2</v>
      </c>
      <c r="R341" s="1" t="s">
        <v>45</v>
      </c>
      <c r="S341">
        <v>6214</v>
      </c>
      <c r="T341">
        <v>3415</v>
      </c>
      <c r="U341">
        <v>1</v>
      </c>
      <c r="V341" s="1" t="s">
        <v>40</v>
      </c>
      <c r="W341">
        <v>18</v>
      </c>
      <c r="X341">
        <v>3</v>
      </c>
      <c r="Y341">
        <v>1</v>
      </c>
      <c r="Z341">
        <v>80</v>
      </c>
      <c r="AA341">
        <v>1</v>
      </c>
      <c r="AB341">
        <v>8</v>
      </c>
      <c r="AC341">
        <v>3</v>
      </c>
      <c r="AD341">
        <v>3</v>
      </c>
      <c r="AE341">
        <v>8</v>
      </c>
      <c r="AF341">
        <v>7</v>
      </c>
      <c r="AG341">
        <v>0</v>
      </c>
      <c r="AH341">
        <v>7</v>
      </c>
      <c r="AI341">
        <f>IF(tbl_HRData[[#This Row],[Attrition]] = "Yes",1,0)</f>
        <v>0</v>
      </c>
      <c r="AJ341">
        <f>IF(tbl_HRData[[#This Row],[Attrition]] = "No",1,0)</f>
        <v>1</v>
      </c>
      <c r="AK341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341" s="1" t="str">
        <f>IF(tbl_HRData[[#This Row],[MonthlyIncome]]&lt;5000,"Low",
IF(tbl_HRData[[#This Row],[MonthlyIncome]]&lt;10000,"Medium",
IF(tbl_HRData[[#This Row],[MonthlyIncome]]&lt;15000,"Upper Medium","High")))</f>
        <v>Medium</v>
      </c>
      <c r="AM341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342" spans="1:39" x14ac:dyDescent="0.35">
      <c r="A342" s="1">
        <v>341</v>
      </c>
      <c r="B342">
        <v>37</v>
      </c>
      <c r="C342" s="1" t="s">
        <v>40</v>
      </c>
      <c r="D342" s="1" t="s">
        <v>34</v>
      </c>
      <c r="E342">
        <v>1192</v>
      </c>
      <c r="F342" s="1" t="s">
        <v>42</v>
      </c>
      <c r="G342">
        <v>5</v>
      </c>
      <c r="H342">
        <v>2</v>
      </c>
      <c r="I342" s="1" t="s">
        <v>48</v>
      </c>
      <c r="J342">
        <v>460</v>
      </c>
      <c r="K342">
        <v>4</v>
      </c>
      <c r="L342" s="1" t="s">
        <v>43</v>
      </c>
      <c r="M342">
        <v>61</v>
      </c>
      <c r="N342">
        <v>3</v>
      </c>
      <c r="O342">
        <v>2</v>
      </c>
      <c r="P342" s="1" t="s">
        <v>50</v>
      </c>
      <c r="Q342">
        <v>4</v>
      </c>
      <c r="R342" s="1" t="s">
        <v>49</v>
      </c>
      <c r="S342">
        <v>6347</v>
      </c>
      <c r="T342">
        <v>23177</v>
      </c>
      <c r="U342">
        <v>7</v>
      </c>
      <c r="V342" s="1" t="s">
        <v>40</v>
      </c>
      <c r="W342">
        <v>16</v>
      </c>
      <c r="X342">
        <v>3</v>
      </c>
      <c r="Y342">
        <v>3</v>
      </c>
      <c r="Z342">
        <v>80</v>
      </c>
      <c r="AA342">
        <v>2</v>
      </c>
      <c r="AB342">
        <v>8</v>
      </c>
      <c r="AC342">
        <v>2</v>
      </c>
      <c r="AD342">
        <v>2</v>
      </c>
      <c r="AE342">
        <v>6</v>
      </c>
      <c r="AF342">
        <v>2</v>
      </c>
      <c r="AG342">
        <v>0</v>
      </c>
      <c r="AH342">
        <v>4</v>
      </c>
      <c r="AI342">
        <f>IF(tbl_HRData[[#This Row],[Attrition]] = "Yes",1,0)</f>
        <v>0</v>
      </c>
      <c r="AJ342">
        <f>IF(tbl_HRData[[#This Row],[Attrition]] = "No",1,0)</f>
        <v>1</v>
      </c>
      <c r="AK342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342" s="1" t="str">
        <f>IF(tbl_HRData[[#This Row],[MonthlyIncome]]&lt;5000,"Low",
IF(tbl_HRData[[#This Row],[MonthlyIncome]]&lt;10000,"Medium",
IF(tbl_HRData[[#This Row],[MonthlyIncome]]&lt;15000,"Upper Medium","High")))</f>
        <v>Medium</v>
      </c>
      <c r="AM342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343" spans="1:39" x14ac:dyDescent="0.35">
      <c r="A343" s="1">
        <v>342</v>
      </c>
      <c r="B343">
        <v>38</v>
      </c>
      <c r="C343" s="1" t="s">
        <v>40</v>
      </c>
      <c r="D343" s="1" t="s">
        <v>34</v>
      </c>
      <c r="E343">
        <v>343</v>
      </c>
      <c r="F343" s="1" t="s">
        <v>42</v>
      </c>
      <c r="G343">
        <v>15</v>
      </c>
      <c r="H343">
        <v>2</v>
      </c>
      <c r="I343" s="1" t="s">
        <v>36</v>
      </c>
      <c r="J343">
        <v>461</v>
      </c>
      <c r="K343">
        <v>3</v>
      </c>
      <c r="L343" s="1" t="s">
        <v>43</v>
      </c>
      <c r="M343">
        <v>92</v>
      </c>
      <c r="N343">
        <v>2</v>
      </c>
      <c r="O343">
        <v>3</v>
      </c>
      <c r="P343" s="1" t="s">
        <v>55</v>
      </c>
      <c r="Q343">
        <v>4</v>
      </c>
      <c r="R343" s="1" t="s">
        <v>49</v>
      </c>
      <c r="S343">
        <v>11510</v>
      </c>
      <c r="T343">
        <v>15682</v>
      </c>
      <c r="U343">
        <v>0</v>
      </c>
      <c r="V343" s="1" t="s">
        <v>33</v>
      </c>
      <c r="W343">
        <v>14</v>
      </c>
      <c r="X343">
        <v>3</v>
      </c>
      <c r="Y343">
        <v>2</v>
      </c>
      <c r="Z343">
        <v>80</v>
      </c>
      <c r="AA343">
        <v>1</v>
      </c>
      <c r="AB343">
        <v>12</v>
      </c>
      <c r="AC343">
        <v>3</v>
      </c>
      <c r="AD343">
        <v>3</v>
      </c>
      <c r="AE343">
        <v>11</v>
      </c>
      <c r="AF343">
        <v>10</v>
      </c>
      <c r="AG343">
        <v>2</v>
      </c>
      <c r="AH343">
        <v>9</v>
      </c>
      <c r="AI343">
        <f>IF(tbl_HRData[[#This Row],[Attrition]] = "Yes",1,0)</f>
        <v>0</v>
      </c>
      <c r="AJ343">
        <f>IF(tbl_HRData[[#This Row],[Attrition]] = "No",1,0)</f>
        <v>1</v>
      </c>
      <c r="AK343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343" s="1" t="str">
        <f>IF(tbl_HRData[[#This Row],[MonthlyIncome]]&lt;5000,"Low",
IF(tbl_HRData[[#This Row],[MonthlyIncome]]&lt;10000,"Medium",
IF(tbl_HRData[[#This Row],[MonthlyIncome]]&lt;15000,"Upper Medium","High")))</f>
        <v>Upper Medium</v>
      </c>
      <c r="AM343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344" spans="1:39" x14ac:dyDescent="0.35">
      <c r="A344" s="1">
        <v>343</v>
      </c>
      <c r="B344">
        <v>31</v>
      </c>
      <c r="C344" s="1" t="s">
        <v>40</v>
      </c>
      <c r="D344" s="1" t="s">
        <v>34</v>
      </c>
      <c r="E344">
        <v>1232</v>
      </c>
      <c r="F344" s="1" t="s">
        <v>42</v>
      </c>
      <c r="G344">
        <v>7</v>
      </c>
      <c r="H344">
        <v>4</v>
      </c>
      <c r="I344" s="1" t="s">
        <v>48</v>
      </c>
      <c r="J344">
        <v>462</v>
      </c>
      <c r="K344">
        <v>3</v>
      </c>
      <c r="L344" s="1" t="s">
        <v>37</v>
      </c>
      <c r="M344">
        <v>39</v>
      </c>
      <c r="N344">
        <v>3</v>
      </c>
      <c r="O344">
        <v>3</v>
      </c>
      <c r="P344" s="1" t="s">
        <v>50</v>
      </c>
      <c r="Q344">
        <v>4</v>
      </c>
      <c r="R344" s="1" t="s">
        <v>39</v>
      </c>
      <c r="S344">
        <v>7143</v>
      </c>
      <c r="T344">
        <v>25713</v>
      </c>
      <c r="U344">
        <v>1</v>
      </c>
      <c r="V344" s="1" t="s">
        <v>33</v>
      </c>
      <c r="W344">
        <v>14</v>
      </c>
      <c r="X344">
        <v>3</v>
      </c>
      <c r="Y344">
        <v>3</v>
      </c>
      <c r="Z344">
        <v>80</v>
      </c>
      <c r="AA344">
        <v>0</v>
      </c>
      <c r="AB344">
        <v>11</v>
      </c>
      <c r="AC344">
        <v>2</v>
      </c>
      <c r="AD344">
        <v>2</v>
      </c>
      <c r="AE344">
        <v>11</v>
      </c>
      <c r="AF344">
        <v>9</v>
      </c>
      <c r="AG344">
        <v>4</v>
      </c>
      <c r="AH344">
        <v>10</v>
      </c>
      <c r="AI344">
        <f>IF(tbl_HRData[[#This Row],[Attrition]] = "Yes",1,0)</f>
        <v>0</v>
      </c>
      <c r="AJ344">
        <f>IF(tbl_HRData[[#This Row],[Attrition]] = "No",1,0)</f>
        <v>1</v>
      </c>
      <c r="AK344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344" s="1" t="str">
        <f>IF(tbl_HRData[[#This Row],[MonthlyIncome]]&lt;5000,"Low",
IF(tbl_HRData[[#This Row],[MonthlyIncome]]&lt;10000,"Medium",
IF(tbl_HRData[[#This Row],[MonthlyIncome]]&lt;15000,"Upper Medium","High")))</f>
        <v>Medium</v>
      </c>
      <c r="AM344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345" spans="1:39" x14ac:dyDescent="0.35">
      <c r="A345" s="1">
        <v>344</v>
      </c>
      <c r="B345">
        <v>29</v>
      </c>
      <c r="C345" s="1" t="s">
        <v>40</v>
      </c>
      <c r="D345" s="1" t="s">
        <v>34</v>
      </c>
      <c r="E345">
        <v>144</v>
      </c>
      <c r="F345" s="1" t="s">
        <v>35</v>
      </c>
      <c r="G345">
        <v>10</v>
      </c>
      <c r="H345">
        <v>1</v>
      </c>
      <c r="I345" s="1" t="s">
        <v>56</v>
      </c>
      <c r="J345">
        <v>463</v>
      </c>
      <c r="K345">
        <v>4</v>
      </c>
      <c r="L345" s="1" t="s">
        <v>37</v>
      </c>
      <c r="M345">
        <v>39</v>
      </c>
      <c r="N345">
        <v>2</v>
      </c>
      <c r="O345">
        <v>2</v>
      </c>
      <c r="P345" s="1" t="s">
        <v>38</v>
      </c>
      <c r="Q345">
        <v>2</v>
      </c>
      <c r="R345" s="1" t="s">
        <v>49</v>
      </c>
      <c r="S345">
        <v>8268</v>
      </c>
      <c r="T345">
        <v>11866</v>
      </c>
      <c r="U345">
        <v>1</v>
      </c>
      <c r="V345" s="1" t="s">
        <v>33</v>
      </c>
      <c r="W345">
        <v>14</v>
      </c>
      <c r="X345">
        <v>3</v>
      </c>
      <c r="Y345">
        <v>1</v>
      </c>
      <c r="Z345">
        <v>80</v>
      </c>
      <c r="AA345">
        <v>2</v>
      </c>
      <c r="AB345">
        <v>7</v>
      </c>
      <c r="AC345">
        <v>2</v>
      </c>
      <c r="AD345">
        <v>3</v>
      </c>
      <c r="AE345">
        <v>7</v>
      </c>
      <c r="AF345">
        <v>7</v>
      </c>
      <c r="AG345">
        <v>1</v>
      </c>
      <c r="AH345">
        <v>7</v>
      </c>
      <c r="AI345">
        <f>IF(tbl_HRData[[#This Row],[Attrition]] = "Yes",1,0)</f>
        <v>0</v>
      </c>
      <c r="AJ345">
        <f>IF(tbl_HRData[[#This Row],[Attrition]] = "No",1,0)</f>
        <v>1</v>
      </c>
      <c r="AK345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345" s="1" t="str">
        <f>IF(tbl_HRData[[#This Row],[MonthlyIncome]]&lt;5000,"Low",
IF(tbl_HRData[[#This Row],[MonthlyIncome]]&lt;10000,"Medium",
IF(tbl_HRData[[#This Row],[MonthlyIncome]]&lt;15000,"Upper Medium","High")))</f>
        <v>Medium</v>
      </c>
      <c r="AM345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346" spans="1:39" x14ac:dyDescent="0.35">
      <c r="A346" s="1">
        <v>345</v>
      </c>
      <c r="B346">
        <v>35</v>
      </c>
      <c r="C346" s="1" t="s">
        <v>40</v>
      </c>
      <c r="D346" s="1" t="s">
        <v>34</v>
      </c>
      <c r="E346">
        <v>1296</v>
      </c>
      <c r="F346" s="1" t="s">
        <v>42</v>
      </c>
      <c r="G346">
        <v>5</v>
      </c>
      <c r="H346">
        <v>4</v>
      </c>
      <c r="I346" s="1" t="s">
        <v>57</v>
      </c>
      <c r="J346">
        <v>464</v>
      </c>
      <c r="K346">
        <v>3</v>
      </c>
      <c r="L346" s="1" t="s">
        <v>43</v>
      </c>
      <c r="M346">
        <v>62</v>
      </c>
      <c r="N346">
        <v>3</v>
      </c>
      <c r="O346">
        <v>3</v>
      </c>
      <c r="P346" s="1" t="s">
        <v>50</v>
      </c>
      <c r="Q346">
        <v>2</v>
      </c>
      <c r="R346" s="1" t="s">
        <v>39</v>
      </c>
      <c r="S346">
        <v>8095</v>
      </c>
      <c r="T346">
        <v>18264</v>
      </c>
      <c r="U346">
        <v>0</v>
      </c>
      <c r="V346" s="1" t="s">
        <v>40</v>
      </c>
      <c r="W346">
        <v>13</v>
      </c>
      <c r="X346">
        <v>3</v>
      </c>
      <c r="Y346">
        <v>4</v>
      </c>
      <c r="Z346">
        <v>80</v>
      </c>
      <c r="AA346">
        <v>0</v>
      </c>
      <c r="AB346">
        <v>17</v>
      </c>
      <c r="AC346">
        <v>5</v>
      </c>
      <c r="AD346">
        <v>3</v>
      </c>
      <c r="AE346">
        <v>16</v>
      </c>
      <c r="AF346">
        <v>6</v>
      </c>
      <c r="AG346">
        <v>0</v>
      </c>
      <c r="AH346">
        <v>13</v>
      </c>
      <c r="AI346">
        <f>IF(tbl_HRData[[#This Row],[Attrition]] = "Yes",1,0)</f>
        <v>0</v>
      </c>
      <c r="AJ346">
        <f>IF(tbl_HRData[[#This Row],[Attrition]] = "No",1,0)</f>
        <v>1</v>
      </c>
      <c r="AK346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346" s="1" t="str">
        <f>IF(tbl_HRData[[#This Row],[MonthlyIncome]]&lt;5000,"Low",
IF(tbl_HRData[[#This Row],[MonthlyIncome]]&lt;10000,"Medium",
IF(tbl_HRData[[#This Row],[MonthlyIncome]]&lt;15000,"Upper Medium","High")))</f>
        <v>Medium</v>
      </c>
      <c r="AM346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347" spans="1:39" x14ac:dyDescent="0.35">
      <c r="A347" s="1">
        <v>346</v>
      </c>
      <c r="B347">
        <v>23</v>
      </c>
      <c r="C347" s="1" t="s">
        <v>40</v>
      </c>
      <c r="D347" s="1" t="s">
        <v>34</v>
      </c>
      <c r="E347">
        <v>1309</v>
      </c>
      <c r="F347" s="1" t="s">
        <v>42</v>
      </c>
      <c r="G347">
        <v>26</v>
      </c>
      <c r="H347">
        <v>1</v>
      </c>
      <c r="I347" s="1" t="s">
        <v>36</v>
      </c>
      <c r="J347">
        <v>465</v>
      </c>
      <c r="K347">
        <v>3</v>
      </c>
      <c r="L347" s="1" t="s">
        <v>43</v>
      </c>
      <c r="M347">
        <v>83</v>
      </c>
      <c r="N347">
        <v>3</v>
      </c>
      <c r="O347">
        <v>1</v>
      </c>
      <c r="P347" s="1" t="s">
        <v>44</v>
      </c>
      <c r="Q347">
        <v>4</v>
      </c>
      <c r="R347" s="1" t="s">
        <v>49</v>
      </c>
      <c r="S347">
        <v>2904</v>
      </c>
      <c r="T347">
        <v>16092</v>
      </c>
      <c r="U347">
        <v>1</v>
      </c>
      <c r="V347" s="1" t="s">
        <v>40</v>
      </c>
      <c r="W347">
        <v>12</v>
      </c>
      <c r="X347">
        <v>3</v>
      </c>
      <c r="Y347">
        <v>3</v>
      </c>
      <c r="Z347">
        <v>80</v>
      </c>
      <c r="AA347">
        <v>2</v>
      </c>
      <c r="AB347">
        <v>4</v>
      </c>
      <c r="AC347">
        <v>2</v>
      </c>
      <c r="AD347">
        <v>2</v>
      </c>
      <c r="AE347">
        <v>4</v>
      </c>
      <c r="AF347">
        <v>2</v>
      </c>
      <c r="AG347">
        <v>0</v>
      </c>
      <c r="AH347">
        <v>2</v>
      </c>
      <c r="AI347">
        <f>IF(tbl_HRData[[#This Row],[Attrition]] = "Yes",1,0)</f>
        <v>0</v>
      </c>
      <c r="AJ347">
        <f>IF(tbl_HRData[[#This Row],[Attrition]] = "No",1,0)</f>
        <v>1</v>
      </c>
      <c r="AK347" t="str">
        <f>IF(tbl_HRData[[#This Row],[Age]] &lt; 25, "Under 25", IF(tbl_HRData[[#This Row],[Age]] &lt;= 34, "25-34", IF(tbl_HRData[[#This Row],[Age]] &lt;= 44, "35-44", IF(tbl_HRData[[#This Row],[Age]] &lt;= 54, "45-54", "55+"))))</f>
        <v>Under 25</v>
      </c>
      <c r="AL347" s="1" t="str">
        <f>IF(tbl_HRData[[#This Row],[MonthlyIncome]]&lt;5000,"Low",
IF(tbl_HRData[[#This Row],[MonthlyIncome]]&lt;10000,"Medium",
IF(tbl_HRData[[#This Row],[MonthlyIncome]]&lt;15000,"Upper Medium","High")))</f>
        <v>Low</v>
      </c>
      <c r="AM347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348" spans="1:39" x14ac:dyDescent="0.35">
      <c r="A348" s="1">
        <v>347</v>
      </c>
      <c r="B348">
        <v>41</v>
      </c>
      <c r="C348" s="1" t="s">
        <v>40</v>
      </c>
      <c r="D348" s="1" t="s">
        <v>34</v>
      </c>
      <c r="E348">
        <v>483</v>
      </c>
      <c r="F348" s="1" t="s">
        <v>42</v>
      </c>
      <c r="G348">
        <v>6</v>
      </c>
      <c r="H348">
        <v>3</v>
      </c>
      <c r="I348" s="1" t="s">
        <v>48</v>
      </c>
      <c r="J348">
        <v>466</v>
      </c>
      <c r="K348">
        <v>4</v>
      </c>
      <c r="L348" s="1" t="s">
        <v>43</v>
      </c>
      <c r="M348">
        <v>95</v>
      </c>
      <c r="N348">
        <v>2</v>
      </c>
      <c r="O348">
        <v>2</v>
      </c>
      <c r="P348" s="1" t="s">
        <v>50</v>
      </c>
      <c r="Q348">
        <v>2</v>
      </c>
      <c r="R348" s="1" t="s">
        <v>39</v>
      </c>
      <c r="S348">
        <v>6032</v>
      </c>
      <c r="T348">
        <v>10110</v>
      </c>
      <c r="U348">
        <v>6</v>
      </c>
      <c r="V348" s="1" t="s">
        <v>33</v>
      </c>
      <c r="W348">
        <v>15</v>
      </c>
      <c r="X348">
        <v>3</v>
      </c>
      <c r="Y348">
        <v>4</v>
      </c>
      <c r="Z348">
        <v>80</v>
      </c>
      <c r="AA348">
        <v>0</v>
      </c>
      <c r="AB348">
        <v>8</v>
      </c>
      <c r="AC348">
        <v>3</v>
      </c>
      <c r="AD348">
        <v>3</v>
      </c>
      <c r="AE348">
        <v>5</v>
      </c>
      <c r="AF348">
        <v>4</v>
      </c>
      <c r="AG348">
        <v>1</v>
      </c>
      <c r="AH348">
        <v>2</v>
      </c>
      <c r="AI348">
        <f>IF(tbl_HRData[[#This Row],[Attrition]] = "Yes",1,0)</f>
        <v>0</v>
      </c>
      <c r="AJ348">
        <f>IF(tbl_HRData[[#This Row],[Attrition]] = "No",1,0)</f>
        <v>1</v>
      </c>
      <c r="AK348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348" s="1" t="str">
        <f>IF(tbl_HRData[[#This Row],[MonthlyIncome]]&lt;5000,"Low",
IF(tbl_HRData[[#This Row],[MonthlyIncome]]&lt;10000,"Medium",
IF(tbl_HRData[[#This Row],[MonthlyIncome]]&lt;15000,"Upper Medium","High")))</f>
        <v>Medium</v>
      </c>
      <c r="AM348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349" spans="1:39" x14ac:dyDescent="0.35">
      <c r="A349" s="1">
        <v>348</v>
      </c>
      <c r="B349">
        <v>47</v>
      </c>
      <c r="C349" s="1" t="s">
        <v>40</v>
      </c>
      <c r="D349" s="1" t="s">
        <v>41</v>
      </c>
      <c r="E349">
        <v>1309</v>
      </c>
      <c r="F349" s="1" t="s">
        <v>35</v>
      </c>
      <c r="G349">
        <v>4</v>
      </c>
      <c r="H349">
        <v>1</v>
      </c>
      <c r="I349" s="1" t="s">
        <v>48</v>
      </c>
      <c r="J349">
        <v>467</v>
      </c>
      <c r="K349">
        <v>2</v>
      </c>
      <c r="L349" s="1" t="s">
        <v>43</v>
      </c>
      <c r="M349">
        <v>99</v>
      </c>
      <c r="N349">
        <v>3</v>
      </c>
      <c r="O349">
        <v>2</v>
      </c>
      <c r="P349" s="1" t="s">
        <v>54</v>
      </c>
      <c r="Q349">
        <v>3</v>
      </c>
      <c r="R349" s="1" t="s">
        <v>39</v>
      </c>
      <c r="S349">
        <v>2976</v>
      </c>
      <c r="T349">
        <v>25751</v>
      </c>
      <c r="U349">
        <v>3</v>
      </c>
      <c r="V349" s="1" t="s">
        <v>40</v>
      </c>
      <c r="W349">
        <v>19</v>
      </c>
      <c r="X349">
        <v>3</v>
      </c>
      <c r="Y349">
        <v>1</v>
      </c>
      <c r="Z349">
        <v>80</v>
      </c>
      <c r="AA349">
        <v>0</v>
      </c>
      <c r="AB349">
        <v>5</v>
      </c>
      <c r="AC349">
        <v>3</v>
      </c>
      <c r="AD349">
        <v>3</v>
      </c>
      <c r="AE349">
        <v>0</v>
      </c>
      <c r="AF349">
        <v>0</v>
      </c>
      <c r="AG349">
        <v>0</v>
      </c>
      <c r="AH349">
        <v>0</v>
      </c>
      <c r="AI349">
        <f>IF(tbl_HRData[[#This Row],[Attrition]] = "Yes",1,0)</f>
        <v>0</v>
      </c>
      <c r="AJ349">
        <f>IF(tbl_HRData[[#This Row],[Attrition]] = "No",1,0)</f>
        <v>1</v>
      </c>
      <c r="AK349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349" s="1" t="str">
        <f>IF(tbl_HRData[[#This Row],[MonthlyIncome]]&lt;5000,"Low",
IF(tbl_HRData[[#This Row],[MonthlyIncome]]&lt;10000,"Medium",
IF(tbl_HRData[[#This Row],[MonthlyIncome]]&lt;15000,"Upper Medium","High")))</f>
        <v>Low</v>
      </c>
      <c r="AM349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350" spans="1:39" x14ac:dyDescent="0.35">
      <c r="A350" s="1">
        <v>349</v>
      </c>
      <c r="B350">
        <v>42</v>
      </c>
      <c r="C350" s="1" t="s">
        <v>40</v>
      </c>
      <c r="D350" s="1" t="s">
        <v>34</v>
      </c>
      <c r="E350">
        <v>810</v>
      </c>
      <c r="F350" s="1" t="s">
        <v>42</v>
      </c>
      <c r="G350">
        <v>23</v>
      </c>
      <c r="H350">
        <v>5</v>
      </c>
      <c r="I350" s="1" t="s">
        <v>36</v>
      </c>
      <c r="J350">
        <v>468</v>
      </c>
      <c r="K350">
        <v>1</v>
      </c>
      <c r="L350" s="1" t="s">
        <v>37</v>
      </c>
      <c r="M350">
        <v>44</v>
      </c>
      <c r="N350">
        <v>3</v>
      </c>
      <c r="O350">
        <v>4</v>
      </c>
      <c r="P350" s="1" t="s">
        <v>55</v>
      </c>
      <c r="Q350">
        <v>4</v>
      </c>
      <c r="R350" s="1" t="s">
        <v>39</v>
      </c>
      <c r="S350">
        <v>15992</v>
      </c>
      <c r="T350">
        <v>15901</v>
      </c>
      <c r="U350">
        <v>2</v>
      </c>
      <c r="V350" s="1" t="s">
        <v>40</v>
      </c>
      <c r="W350">
        <v>14</v>
      </c>
      <c r="X350">
        <v>3</v>
      </c>
      <c r="Y350">
        <v>2</v>
      </c>
      <c r="Z350">
        <v>80</v>
      </c>
      <c r="AA350">
        <v>0</v>
      </c>
      <c r="AB350">
        <v>16</v>
      </c>
      <c r="AC350">
        <v>2</v>
      </c>
      <c r="AD350">
        <v>3</v>
      </c>
      <c r="AE350">
        <v>1</v>
      </c>
      <c r="AF350">
        <v>0</v>
      </c>
      <c r="AG350">
        <v>0</v>
      </c>
      <c r="AH350">
        <v>0</v>
      </c>
      <c r="AI350">
        <f>IF(tbl_HRData[[#This Row],[Attrition]] = "Yes",1,0)</f>
        <v>0</v>
      </c>
      <c r="AJ350">
        <f>IF(tbl_HRData[[#This Row],[Attrition]] = "No",1,0)</f>
        <v>1</v>
      </c>
      <c r="AK350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350" s="1" t="str">
        <f>IF(tbl_HRData[[#This Row],[MonthlyIncome]]&lt;5000,"Low",
IF(tbl_HRData[[#This Row],[MonthlyIncome]]&lt;10000,"Medium",
IF(tbl_HRData[[#This Row],[MonthlyIncome]]&lt;15000,"Upper Medium","High")))</f>
        <v>High</v>
      </c>
      <c r="AM350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351" spans="1:39" x14ac:dyDescent="0.35">
      <c r="A351" s="1">
        <v>350</v>
      </c>
      <c r="B351">
        <v>29</v>
      </c>
      <c r="C351" s="1" t="s">
        <v>40</v>
      </c>
      <c r="D351" s="1" t="s">
        <v>52</v>
      </c>
      <c r="E351">
        <v>746</v>
      </c>
      <c r="F351" s="1" t="s">
        <v>35</v>
      </c>
      <c r="G351">
        <v>2</v>
      </c>
      <c r="H351">
        <v>3</v>
      </c>
      <c r="I351" s="1" t="s">
        <v>36</v>
      </c>
      <c r="J351">
        <v>469</v>
      </c>
      <c r="K351">
        <v>4</v>
      </c>
      <c r="L351" s="1" t="s">
        <v>43</v>
      </c>
      <c r="M351">
        <v>61</v>
      </c>
      <c r="N351">
        <v>3</v>
      </c>
      <c r="O351">
        <v>2</v>
      </c>
      <c r="P351" s="1" t="s">
        <v>38</v>
      </c>
      <c r="Q351">
        <v>3</v>
      </c>
      <c r="R351" s="1" t="s">
        <v>45</v>
      </c>
      <c r="S351">
        <v>4649</v>
      </c>
      <c r="T351">
        <v>16928</v>
      </c>
      <c r="U351">
        <v>1</v>
      </c>
      <c r="V351" s="1" t="s">
        <v>40</v>
      </c>
      <c r="W351">
        <v>14</v>
      </c>
      <c r="X351">
        <v>3</v>
      </c>
      <c r="Y351">
        <v>1</v>
      </c>
      <c r="Z351">
        <v>80</v>
      </c>
      <c r="AA351">
        <v>1</v>
      </c>
      <c r="AB351">
        <v>4</v>
      </c>
      <c r="AC351">
        <v>3</v>
      </c>
      <c r="AD351">
        <v>2</v>
      </c>
      <c r="AE351">
        <v>4</v>
      </c>
      <c r="AF351">
        <v>3</v>
      </c>
      <c r="AG351">
        <v>0</v>
      </c>
      <c r="AH351">
        <v>2</v>
      </c>
      <c r="AI351">
        <f>IF(tbl_HRData[[#This Row],[Attrition]] = "Yes",1,0)</f>
        <v>0</v>
      </c>
      <c r="AJ351">
        <f>IF(tbl_HRData[[#This Row],[Attrition]] = "No",1,0)</f>
        <v>1</v>
      </c>
      <c r="AK351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351" s="1" t="str">
        <f>IF(tbl_HRData[[#This Row],[MonthlyIncome]]&lt;5000,"Low",
IF(tbl_HRData[[#This Row],[MonthlyIncome]]&lt;10000,"Medium",
IF(tbl_HRData[[#This Row],[MonthlyIncome]]&lt;15000,"Upper Medium","High")))</f>
        <v>Low</v>
      </c>
      <c r="AM351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352" spans="1:39" x14ac:dyDescent="0.35">
      <c r="A352" s="1">
        <v>351</v>
      </c>
      <c r="B352">
        <v>42</v>
      </c>
      <c r="C352" s="1" t="s">
        <v>40</v>
      </c>
      <c r="D352" s="1" t="s">
        <v>34</v>
      </c>
      <c r="E352">
        <v>544</v>
      </c>
      <c r="F352" s="1" t="s">
        <v>58</v>
      </c>
      <c r="G352">
        <v>2</v>
      </c>
      <c r="H352">
        <v>1</v>
      </c>
      <c r="I352" s="1" t="s">
        <v>57</v>
      </c>
      <c r="J352">
        <v>470</v>
      </c>
      <c r="K352">
        <v>3</v>
      </c>
      <c r="L352" s="1" t="s">
        <v>43</v>
      </c>
      <c r="M352">
        <v>52</v>
      </c>
      <c r="N352">
        <v>3</v>
      </c>
      <c r="O352">
        <v>1</v>
      </c>
      <c r="P352" s="1" t="s">
        <v>58</v>
      </c>
      <c r="Q352">
        <v>3</v>
      </c>
      <c r="R352" s="1" t="s">
        <v>49</v>
      </c>
      <c r="S352">
        <v>2696</v>
      </c>
      <c r="T352">
        <v>24017</v>
      </c>
      <c r="U352">
        <v>0</v>
      </c>
      <c r="V352" s="1" t="s">
        <v>33</v>
      </c>
      <c r="W352">
        <v>11</v>
      </c>
      <c r="X352">
        <v>3</v>
      </c>
      <c r="Y352">
        <v>3</v>
      </c>
      <c r="Z352">
        <v>80</v>
      </c>
      <c r="AA352">
        <v>1</v>
      </c>
      <c r="AB352">
        <v>4</v>
      </c>
      <c r="AC352">
        <v>5</v>
      </c>
      <c r="AD352">
        <v>3</v>
      </c>
      <c r="AE352">
        <v>3</v>
      </c>
      <c r="AF352">
        <v>2</v>
      </c>
      <c r="AG352">
        <v>1</v>
      </c>
      <c r="AH352">
        <v>0</v>
      </c>
      <c r="AI352">
        <f>IF(tbl_HRData[[#This Row],[Attrition]] = "Yes",1,0)</f>
        <v>0</v>
      </c>
      <c r="AJ352">
        <f>IF(tbl_HRData[[#This Row],[Attrition]] = "No",1,0)</f>
        <v>1</v>
      </c>
      <c r="AK352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352" s="1" t="str">
        <f>IF(tbl_HRData[[#This Row],[MonthlyIncome]]&lt;5000,"Low",
IF(tbl_HRData[[#This Row],[MonthlyIncome]]&lt;10000,"Medium",
IF(tbl_HRData[[#This Row],[MonthlyIncome]]&lt;15000,"Upper Medium","High")))</f>
        <v>Low</v>
      </c>
      <c r="AM352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353" spans="1:39" x14ac:dyDescent="0.35">
      <c r="A353" s="1">
        <v>352</v>
      </c>
      <c r="B353">
        <v>32</v>
      </c>
      <c r="C353" s="1" t="s">
        <v>40</v>
      </c>
      <c r="D353" s="1" t="s">
        <v>34</v>
      </c>
      <c r="E353">
        <v>1062</v>
      </c>
      <c r="F353" s="1" t="s">
        <v>42</v>
      </c>
      <c r="G353">
        <v>2</v>
      </c>
      <c r="H353">
        <v>3</v>
      </c>
      <c r="I353" s="1" t="s">
        <v>48</v>
      </c>
      <c r="J353">
        <v>471</v>
      </c>
      <c r="K353">
        <v>3</v>
      </c>
      <c r="L353" s="1" t="s">
        <v>37</v>
      </c>
      <c r="M353">
        <v>75</v>
      </c>
      <c r="N353">
        <v>3</v>
      </c>
      <c r="O353">
        <v>1</v>
      </c>
      <c r="P353" s="1" t="s">
        <v>47</v>
      </c>
      <c r="Q353">
        <v>2</v>
      </c>
      <c r="R353" s="1" t="s">
        <v>45</v>
      </c>
      <c r="S353">
        <v>2370</v>
      </c>
      <c r="T353">
        <v>3956</v>
      </c>
      <c r="U353">
        <v>1</v>
      </c>
      <c r="V353" s="1" t="s">
        <v>40</v>
      </c>
      <c r="W353">
        <v>13</v>
      </c>
      <c r="X353">
        <v>3</v>
      </c>
      <c r="Y353">
        <v>3</v>
      </c>
      <c r="Z353">
        <v>80</v>
      </c>
      <c r="AA353">
        <v>1</v>
      </c>
      <c r="AB353">
        <v>8</v>
      </c>
      <c r="AC353">
        <v>4</v>
      </c>
      <c r="AD353">
        <v>3</v>
      </c>
      <c r="AE353">
        <v>8</v>
      </c>
      <c r="AF353">
        <v>0</v>
      </c>
      <c r="AG353">
        <v>0</v>
      </c>
      <c r="AH353">
        <v>7</v>
      </c>
      <c r="AI353">
        <f>IF(tbl_HRData[[#This Row],[Attrition]] = "Yes",1,0)</f>
        <v>0</v>
      </c>
      <c r="AJ353">
        <f>IF(tbl_HRData[[#This Row],[Attrition]] = "No",1,0)</f>
        <v>1</v>
      </c>
      <c r="AK353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353" s="1" t="str">
        <f>IF(tbl_HRData[[#This Row],[MonthlyIncome]]&lt;5000,"Low",
IF(tbl_HRData[[#This Row],[MonthlyIncome]]&lt;10000,"Medium",
IF(tbl_HRData[[#This Row],[MonthlyIncome]]&lt;15000,"Upper Medium","High")))</f>
        <v>Low</v>
      </c>
      <c r="AM353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354" spans="1:39" x14ac:dyDescent="0.35">
      <c r="A354" s="1">
        <v>353</v>
      </c>
      <c r="B354">
        <v>48</v>
      </c>
      <c r="C354" s="1" t="s">
        <v>40</v>
      </c>
      <c r="D354" s="1" t="s">
        <v>34</v>
      </c>
      <c r="E354">
        <v>530</v>
      </c>
      <c r="F354" s="1" t="s">
        <v>35</v>
      </c>
      <c r="G354">
        <v>29</v>
      </c>
      <c r="H354">
        <v>1</v>
      </c>
      <c r="I354" s="1" t="s">
        <v>48</v>
      </c>
      <c r="J354">
        <v>473</v>
      </c>
      <c r="K354">
        <v>1</v>
      </c>
      <c r="L354" s="1" t="s">
        <v>37</v>
      </c>
      <c r="M354">
        <v>91</v>
      </c>
      <c r="N354">
        <v>3</v>
      </c>
      <c r="O354">
        <v>3</v>
      </c>
      <c r="P354" s="1" t="s">
        <v>53</v>
      </c>
      <c r="Q354">
        <v>3</v>
      </c>
      <c r="R354" s="1" t="s">
        <v>45</v>
      </c>
      <c r="S354">
        <v>12504</v>
      </c>
      <c r="T354">
        <v>23978</v>
      </c>
      <c r="U354">
        <v>3</v>
      </c>
      <c r="V354" s="1" t="s">
        <v>40</v>
      </c>
      <c r="W354">
        <v>21</v>
      </c>
      <c r="X354">
        <v>4</v>
      </c>
      <c r="Y354">
        <v>2</v>
      </c>
      <c r="Z354">
        <v>80</v>
      </c>
      <c r="AA354">
        <v>1</v>
      </c>
      <c r="AB354">
        <v>15</v>
      </c>
      <c r="AC354">
        <v>3</v>
      </c>
      <c r="AD354">
        <v>1</v>
      </c>
      <c r="AE354">
        <v>0</v>
      </c>
      <c r="AF354">
        <v>0</v>
      </c>
      <c r="AG354">
        <v>0</v>
      </c>
      <c r="AH354">
        <v>0</v>
      </c>
      <c r="AI354">
        <f>IF(tbl_HRData[[#This Row],[Attrition]] = "Yes",1,0)</f>
        <v>0</v>
      </c>
      <c r="AJ354">
        <f>IF(tbl_HRData[[#This Row],[Attrition]] = "No",1,0)</f>
        <v>1</v>
      </c>
      <c r="AK354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354" s="1" t="str">
        <f>IF(tbl_HRData[[#This Row],[MonthlyIncome]]&lt;5000,"Low",
IF(tbl_HRData[[#This Row],[MonthlyIncome]]&lt;10000,"Medium",
IF(tbl_HRData[[#This Row],[MonthlyIncome]]&lt;15000,"Upper Medium","High")))</f>
        <v>Upper Medium</v>
      </c>
      <c r="AM354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355" spans="1:39" x14ac:dyDescent="0.35">
      <c r="A355" s="1">
        <v>354</v>
      </c>
      <c r="B355">
        <v>37</v>
      </c>
      <c r="C355" s="1" t="s">
        <v>40</v>
      </c>
      <c r="D355" s="1" t="s">
        <v>34</v>
      </c>
      <c r="E355">
        <v>1319</v>
      </c>
      <c r="F355" s="1" t="s">
        <v>42</v>
      </c>
      <c r="G355">
        <v>6</v>
      </c>
      <c r="H355">
        <v>3</v>
      </c>
      <c r="I355" s="1" t="s">
        <v>48</v>
      </c>
      <c r="J355">
        <v>474</v>
      </c>
      <c r="K355">
        <v>3</v>
      </c>
      <c r="L355" s="1" t="s">
        <v>43</v>
      </c>
      <c r="M355">
        <v>51</v>
      </c>
      <c r="N355">
        <v>4</v>
      </c>
      <c r="O355">
        <v>2</v>
      </c>
      <c r="P355" s="1" t="s">
        <v>44</v>
      </c>
      <c r="Q355">
        <v>1</v>
      </c>
      <c r="R355" s="1" t="s">
        <v>49</v>
      </c>
      <c r="S355">
        <v>5974</v>
      </c>
      <c r="T355">
        <v>17001</v>
      </c>
      <c r="U355">
        <v>4</v>
      </c>
      <c r="V355" s="1" t="s">
        <v>33</v>
      </c>
      <c r="W355">
        <v>13</v>
      </c>
      <c r="X355">
        <v>3</v>
      </c>
      <c r="Y355">
        <v>1</v>
      </c>
      <c r="Z355">
        <v>80</v>
      </c>
      <c r="AA355">
        <v>2</v>
      </c>
      <c r="AB355">
        <v>13</v>
      </c>
      <c r="AC355">
        <v>2</v>
      </c>
      <c r="AD355">
        <v>3</v>
      </c>
      <c r="AE355">
        <v>7</v>
      </c>
      <c r="AF355">
        <v>7</v>
      </c>
      <c r="AG355">
        <v>6</v>
      </c>
      <c r="AH355">
        <v>7</v>
      </c>
      <c r="AI355">
        <f>IF(tbl_HRData[[#This Row],[Attrition]] = "Yes",1,0)</f>
        <v>0</v>
      </c>
      <c r="AJ355">
        <f>IF(tbl_HRData[[#This Row],[Attrition]] = "No",1,0)</f>
        <v>1</v>
      </c>
      <c r="AK355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355" s="1" t="str">
        <f>IF(tbl_HRData[[#This Row],[MonthlyIncome]]&lt;5000,"Low",
IF(tbl_HRData[[#This Row],[MonthlyIncome]]&lt;10000,"Medium",
IF(tbl_HRData[[#This Row],[MonthlyIncome]]&lt;15000,"Upper Medium","High")))</f>
        <v>Medium</v>
      </c>
      <c r="AM355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356" spans="1:39" x14ac:dyDescent="0.35">
      <c r="A356" s="1">
        <v>355</v>
      </c>
      <c r="B356">
        <v>30</v>
      </c>
      <c r="C356" s="1" t="s">
        <v>40</v>
      </c>
      <c r="D356" s="1" t="s">
        <v>52</v>
      </c>
      <c r="E356">
        <v>641</v>
      </c>
      <c r="F356" s="1" t="s">
        <v>35</v>
      </c>
      <c r="G356">
        <v>25</v>
      </c>
      <c r="H356">
        <v>2</v>
      </c>
      <c r="I356" s="1" t="s">
        <v>57</v>
      </c>
      <c r="J356">
        <v>475</v>
      </c>
      <c r="K356">
        <v>4</v>
      </c>
      <c r="L356" s="1" t="s">
        <v>37</v>
      </c>
      <c r="M356">
        <v>85</v>
      </c>
      <c r="N356">
        <v>3</v>
      </c>
      <c r="O356">
        <v>2</v>
      </c>
      <c r="P356" s="1" t="s">
        <v>38</v>
      </c>
      <c r="Q356">
        <v>3</v>
      </c>
      <c r="R356" s="1" t="s">
        <v>45</v>
      </c>
      <c r="S356">
        <v>4736</v>
      </c>
      <c r="T356">
        <v>6069</v>
      </c>
      <c r="U356">
        <v>7</v>
      </c>
      <c r="V356" s="1" t="s">
        <v>33</v>
      </c>
      <c r="W356">
        <v>12</v>
      </c>
      <c r="X356">
        <v>3</v>
      </c>
      <c r="Y356">
        <v>2</v>
      </c>
      <c r="Z356">
        <v>80</v>
      </c>
      <c r="AA356">
        <v>1</v>
      </c>
      <c r="AB356">
        <v>4</v>
      </c>
      <c r="AC356">
        <v>2</v>
      </c>
      <c r="AD356">
        <v>4</v>
      </c>
      <c r="AE356">
        <v>2</v>
      </c>
      <c r="AF356">
        <v>2</v>
      </c>
      <c r="AG356">
        <v>2</v>
      </c>
      <c r="AH356">
        <v>2</v>
      </c>
      <c r="AI356">
        <f>IF(tbl_HRData[[#This Row],[Attrition]] = "Yes",1,0)</f>
        <v>0</v>
      </c>
      <c r="AJ356">
        <f>IF(tbl_HRData[[#This Row],[Attrition]] = "No",1,0)</f>
        <v>1</v>
      </c>
      <c r="AK356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356" s="1" t="str">
        <f>IF(tbl_HRData[[#This Row],[MonthlyIncome]]&lt;5000,"Low",
IF(tbl_HRData[[#This Row],[MonthlyIncome]]&lt;10000,"Medium",
IF(tbl_HRData[[#This Row],[MonthlyIncome]]&lt;15000,"Upper Medium","High")))</f>
        <v>Low</v>
      </c>
      <c r="AM356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357" spans="1:39" x14ac:dyDescent="0.35">
      <c r="A357" s="1">
        <v>356</v>
      </c>
      <c r="B357">
        <v>26</v>
      </c>
      <c r="C357" s="1" t="s">
        <v>40</v>
      </c>
      <c r="D357" s="1" t="s">
        <v>34</v>
      </c>
      <c r="E357">
        <v>933</v>
      </c>
      <c r="F357" s="1" t="s">
        <v>35</v>
      </c>
      <c r="G357">
        <v>1</v>
      </c>
      <c r="H357">
        <v>3</v>
      </c>
      <c r="I357" s="1" t="s">
        <v>36</v>
      </c>
      <c r="J357">
        <v>476</v>
      </c>
      <c r="K357">
        <v>3</v>
      </c>
      <c r="L357" s="1" t="s">
        <v>43</v>
      </c>
      <c r="M357">
        <v>57</v>
      </c>
      <c r="N357">
        <v>3</v>
      </c>
      <c r="O357">
        <v>2</v>
      </c>
      <c r="P357" s="1" t="s">
        <v>38</v>
      </c>
      <c r="Q357">
        <v>3</v>
      </c>
      <c r="R357" s="1" t="s">
        <v>45</v>
      </c>
      <c r="S357">
        <v>5296</v>
      </c>
      <c r="T357">
        <v>20156</v>
      </c>
      <c r="U357">
        <v>1</v>
      </c>
      <c r="V357" s="1" t="s">
        <v>40</v>
      </c>
      <c r="W357">
        <v>17</v>
      </c>
      <c r="X357">
        <v>3</v>
      </c>
      <c r="Y357">
        <v>2</v>
      </c>
      <c r="Z357">
        <v>80</v>
      </c>
      <c r="AA357">
        <v>1</v>
      </c>
      <c r="AB357">
        <v>8</v>
      </c>
      <c r="AC357">
        <v>3</v>
      </c>
      <c r="AD357">
        <v>3</v>
      </c>
      <c r="AE357">
        <v>8</v>
      </c>
      <c r="AF357">
        <v>7</v>
      </c>
      <c r="AG357">
        <v>7</v>
      </c>
      <c r="AH357">
        <v>7</v>
      </c>
      <c r="AI357">
        <f>IF(tbl_HRData[[#This Row],[Attrition]] = "Yes",1,0)</f>
        <v>0</v>
      </c>
      <c r="AJ357">
        <f>IF(tbl_HRData[[#This Row],[Attrition]] = "No",1,0)</f>
        <v>1</v>
      </c>
      <c r="AK357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357" s="1" t="str">
        <f>IF(tbl_HRData[[#This Row],[MonthlyIncome]]&lt;5000,"Low",
IF(tbl_HRData[[#This Row],[MonthlyIncome]]&lt;10000,"Medium",
IF(tbl_HRData[[#This Row],[MonthlyIncome]]&lt;15000,"Upper Medium","High")))</f>
        <v>Medium</v>
      </c>
      <c r="AM357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358" spans="1:39" x14ac:dyDescent="0.35">
      <c r="A358" s="1">
        <v>357</v>
      </c>
      <c r="B358">
        <v>42</v>
      </c>
      <c r="C358" s="1" t="s">
        <v>40</v>
      </c>
      <c r="D358" s="1" t="s">
        <v>34</v>
      </c>
      <c r="E358">
        <v>1332</v>
      </c>
      <c r="F358" s="1" t="s">
        <v>42</v>
      </c>
      <c r="G358">
        <v>2</v>
      </c>
      <c r="H358">
        <v>4</v>
      </c>
      <c r="I358" s="1" t="s">
        <v>46</v>
      </c>
      <c r="J358">
        <v>477</v>
      </c>
      <c r="K358">
        <v>1</v>
      </c>
      <c r="L358" s="1" t="s">
        <v>43</v>
      </c>
      <c r="M358">
        <v>98</v>
      </c>
      <c r="N358">
        <v>2</v>
      </c>
      <c r="O358">
        <v>2</v>
      </c>
      <c r="P358" s="1" t="s">
        <v>51</v>
      </c>
      <c r="Q358">
        <v>4</v>
      </c>
      <c r="R358" s="1" t="s">
        <v>39</v>
      </c>
      <c r="S358">
        <v>6781</v>
      </c>
      <c r="T358">
        <v>17078</v>
      </c>
      <c r="U358">
        <v>3</v>
      </c>
      <c r="V358" s="1" t="s">
        <v>40</v>
      </c>
      <c r="W358">
        <v>23</v>
      </c>
      <c r="X358">
        <v>4</v>
      </c>
      <c r="Y358">
        <v>2</v>
      </c>
      <c r="Z358">
        <v>80</v>
      </c>
      <c r="AA358">
        <v>0</v>
      </c>
      <c r="AB358">
        <v>14</v>
      </c>
      <c r="AC358">
        <v>6</v>
      </c>
      <c r="AD358">
        <v>3</v>
      </c>
      <c r="AE358">
        <v>1</v>
      </c>
      <c r="AF358">
        <v>0</v>
      </c>
      <c r="AG358">
        <v>0</v>
      </c>
      <c r="AH358">
        <v>0</v>
      </c>
      <c r="AI358">
        <f>IF(tbl_HRData[[#This Row],[Attrition]] = "Yes",1,0)</f>
        <v>0</v>
      </c>
      <c r="AJ358">
        <f>IF(tbl_HRData[[#This Row],[Attrition]] = "No",1,0)</f>
        <v>1</v>
      </c>
      <c r="AK358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358" s="1" t="str">
        <f>IF(tbl_HRData[[#This Row],[MonthlyIncome]]&lt;5000,"Low",
IF(tbl_HRData[[#This Row],[MonthlyIncome]]&lt;10000,"Medium",
IF(tbl_HRData[[#This Row],[MonthlyIncome]]&lt;15000,"Upper Medium","High")))</f>
        <v>Medium</v>
      </c>
      <c r="AM358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359" spans="1:39" x14ac:dyDescent="0.35">
      <c r="A359" s="1">
        <v>358</v>
      </c>
      <c r="B359">
        <v>21</v>
      </c>
      <c r="C359" s="1" t="s">
        <v>33</v>
      </c>
      <c r="D359" s="1" t="s">
        <v>41</v>
      </c>
      <c r="E359">
        <v>756</v>
      </c>
      <c r="F359" s="1" t="s">
        <v>35</v>
      </c>
      <c r="G359">
        <v>1</v>
      </c>
      <c r="H359">
        <v>1</v>
      </c>
      <c r="I359" s="1" t="s">
        <v>57</v>
      </c>
      <c r="J359">
        <v>478</v>
      </c>
      <c r="K359">
        <v>1</v>
      </c>
      <c r="L359" s="1" t="s">
        <v>37</v>
      </c>
      <c r="M359">
        <v>99</v>
      </c>
      <c r="N359">
        <v>2</v>
      </c>
      <c r="O359">
        <v>1</v>
      </c>
      <c r="P359" s="1" t="s">
        <v>54</v>
      </c>
      <c r="Q359">
        <v>2</v>
      </c>
      <c r="R359" s="1" t="s">
        <v>39</v>
      </c>
      <c r="S359">
        <v>2174</v>
      </c>
      <c r="T359">
        <v>9150</v>
      </c>
      <c r="U359">
        <v>1</v>
      </c>
      <c r="V359" s="1" t="s">
        <v>33</v>
      </c>
      <c r="W359">
        <v>11</v>
      </c>
      <c r="X359">
        <v>3</v>
      </c>
      <c r="Y359">
        <v>3</v>
      </c>
      <c r="Z359">
        <v>80</v>
      </c>
      <c r="AA359">
        <v>0</v>
      </c>
      <c r="AB359">
        <v>3</v>
      </c>
      <c r="AC359">
        <v>3</v>
      </c>
      <c r="AD359">
        <v>3</v>
      </c>
      <c r="AE359">
        <v>3</v>
      </c>
      <c r="AF359">
        <v>2</v>
      </c>
      <c r="AG359">
        <v>1</v>
      </c>
      <c r="AH359">
        <v>2</v>
      </c>
      <c r="AI359">
        <f>IF(tbl_HRData[[#This Row],[Attrition]] = "Yes",1,0)</f>
        <v>1</v>
      </c>
      <c r="AJ359">
        <f>IF(tbl_HRData[[#This Row],[Attrition]] = "No",1,0)</f>
        <v>0</v>
      </c>
      <c r="AK359" t="str">
        <f>IF(tbl_HRData[[#This Row],[Age]] &lt; 25, "Under 25", IF(tbl_HRData[[#This Row],[Age]] &lt;= 34, "25-34", IF(tbl_HRData[[#This Row],[Age]] &lt;= 44, "35-44", IF(tbl_HRData[[#This Row],[Age]] &lt;= 54, "45-54", "55+"))))</f>
        <v>Under 25</v>
      </c>
      <c r="AL359" s="1" t="str">
        <f>IF(tbl_HRData[[#This Row],[MonthlyIncome]]&lt;5000,"Low",
IF(tbl_HRData[[#This Row],[MonthlyIncome]]&lt;10000,"Medium",
IF(tbl_HRData[[#This Row],[MonthlyIncome]]&lt;15000,"Upper Medium","High")))</f>
        <v>Low</v>
      </c>
      <c r="AM359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360" spans="1:39" x14ac:dyDescent="0.35">
      <c r="A360" s="1">
        <v>359</v>
      </c>
      <c r="B360">
        <v>36</v>
      </c>
      <c r="C360" s="1" t="s">
        <v>40</v>
      </c>
      <c r="D360" s="1" t="s">
        <v>52</v>
      </c>
      <c r="E360">
        <v>845</v>
      </c>
      <c r="F360" s="1" t="s">
        <v>35</v>
      </c>
      <c r="G360">
        <v>1</v>
      </c>
      <c r="H360">
        <v>5</v>
      </c>
      <c r="I360" s="1" t="s">
        <v>48</v>
      </c>
      <c r="J360">
        <v>479</v>
      </c>
      <c r="K360">
        <v>4</v>
      </c>
      <c r="L360" s="1" t="s">
        <v>37</v>
      </c>
      <c r="M360">
        <v>45</v>
      </c>
      <c r="N360">
        <v>3</v>
      </c>
      <c r="O360">
        <v>2</v>
      </c>
      <c r="P360" s="1" t="s">
        <v>38</v>
      </c>
      <c r="Q360">
        <v>4</v>
      </c>
      <c r="R360" s="1" t="s">
        <v>39</v>
      </c>
      <c r="S360">
        <v>6653</v>
      </c>
      <c r="T360">
        <v>15276</v>
      </c>
      <c r="U360">
        <v>4</v>
      </c>
      <c r="V360" s="1" t="s">
        <v>40</v>
      </c>
      <c r="W360">
        <v>15</v>
      </c>
      <c r="X360">
        <v>3</v>
      </c>
      <c r="Y360">
        <v>2</v>
      </c>
      <c r="Z360">
        <v>80</v>
      </c>
      <c r="AA360">
        <v>0</v>
      </c>
      <c r="AB360">
        <v>7</v>
      </c>
      <c r="AC360">
        <v>6</v>
      </c>
      <c r="AD360">
        <v>3</v>
      </c>
      <c r="AE360">
        <v>1</v>
      </c>
      <c r="AF360">
        <v>0</v>
      </c>
      <c r="AG360">
        <v>0</v>
      </c>
      <c r="AH360">
        <v>0</v>
      </c>
      <c r="AI360">
        <f>IF(tbl_HRData[[#This Row],[Attrition]] = "Yes",1,0)</f>
        <v>0</v>
      </c>
      <c r="AJ360">
        <f>IF(tbl_HRData[[#This Row],[Attrition]] = "No",1,0)</f>
        <v>1</v>
      </c>
      <c r="AK360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360" s="1" t="str">
        <f>IF(tbl_HRData[[#This Row],[MonthlyIncome]]&lt;5000,"Low",
IF(tbl_HRData[[#This Row],[MonthlyIncome]]&lt;10000,"Medium",
IF(tbl_HRData[[#This Row],[MonthlyIncome]]&lt;15000,"Upper Medium","High")))</f>
        <v>Medium</v>
      </c>
      <c r="AM360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361" spans="1:39" x14ac:dyDescent="0.35">
      <c r="A361" s="1">
        <v>360</v>
      </c>
      <c r="B361">
        <v>36</v>
      </c>
      <c r="C361" s="1" t="s">
        <v>40</v>
      </c>
      <c r="D361" s="1" t="s">
        <v>41</v>
      </c>
      <c r="E361">
        <v>541</v>
      </c>
      <c r="F361" s="1" t="s">
        <v>35</v>
      </c>
      <c r="G361">
        <v>3</v>
      </c>
      <c r="H361">
        <v>4</v>
      </c>
      <c r="I361" s="1" t="s">
        <v>48</v>
      </c>
      <c r="J361">
        <v>481</v>
      </c>
      <c r="K361">
        <v>1</v>
      </c>
      <c r="L361" s="1" t="s">
        <v>43</v>
      </c>
      <c r="M361">
        <v>48</v>
      </c>
      <c r="N361">
        <v>2</v>
      </c>
      <c r="O361">
        <v>3</v>
      </c>
      <c r="P361" s="1" t="s">
        <v>38</v>
      </c>
      <c r="Q361">
        <v>4</v>
      </c>
      <c r="R361" s="1" t="s">
        <v>45</v>
      </c>
      <c r="S361">
        <v>9699</v>
      </c>
      <c r="T361">
        <v>7246</v>
      </c>
      <c r="U361">
        <v>4</v>
      </c>
      <c r="V361" s="1" t="s">
        <v>40</v>
      </c>
      <c r="W361">
        <v>11</v>
      </c>
      <c r="X361">
        <v>3</v>
      </c>
      <c r="Y361">
        <v>1</v>
      </c>
      <c r="Z361">
        <v>80</v>
      </c>
      <c r="AA361">
        <v>1</v>
      </c>
      <c r="AB361">
        <v>16</v>
      </c>
      <c r="AC361">
        <v>2</v>
      </c>
      <c r="AD361">
        <v>3</v>
      </c>
      <c r="AE361">
        <v>13</v>
      </c>
      <c r="AF361">
        <v>9</v>
      </c>
      <c r="AG361">
        <v>1</v>
      </c>
      <c r="AH361">
        <v>12</v>
      </c>
      <c r="AI361">
        <f>IF(tbl_HRData[[#This Row],[Attrition]] = "Yes",1,0)</f>
        <v>0</v>
      </c>
      <c r="AJ361">
        <f>IF(tbl_HRData[[#This Row],[Attrition]] = "No",1,0)</f>
        <v>1</v>
      </c>
      <c r="AK361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361" s="1" t="str">
        <f>IF(tbl_HRData[[#This Row],[MonthlyIncome]]&lt;5000,"Low",
IF(tbl_HRData[[#This Row],[MonthlyIncome]]&lt;10000,"Medium",
IF(tbl_HRData[[#This Row],[MonthlyIncome]]&lt;15000,"Upper Medium","High")))</f>
        <v>Medium</v>
      </c>
      <c r="AM361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362" spans="1:39" x14ac:dyDescent="0.35">
      <c r="A362" s="1">
        <v>361</v>
      </c>
      <c r="B362">
        <v>57</v>
      </c>
      <c r="C362" s="1" t="s">
        <v>40</v>
      </c>
      <c r="D362" s="1" t="s">
        <v>34</v>
      </c>
      <c r="E362">
        <v>593</v>
      </c>
      <c r="F362" s="1" t="s">
        <v>42</v>
      </c>
      <c r="G362">
        <v>1</v>
      </c>
      <c r="H362">
        <v>4</v>
      </c>
      <c r="I362" s="1" t="s">
        <v>48</v>
      </c>
      <c r="J362">
        <v>482</v>
      </c>
      <c r="K362">
        <v>4</v>
      </c>
      <c r="L362" s="1" t="s">
        <v>43</v>
      </c>
      <c r="M362">
        <v>88</v>
      </c>
      <c r="N362">
        <v>3</v>
      </c>
      <c r="O362">
        <v>2</v>
      </c>
      <c r="P362" s="1" t="s">
        <v>51</v>
      </c>
      <c r="Q362">
        <v>3</v>
      </c>
      <c r="R362" s="1" t="s">
        <v>45</v>
      </c>
      <c r="S362">
        <v>6755</v>
      </c>
      <c r="T362">
        <v>2967</v>
      </c>
      <c r="U362">
        <v>2</v>
      </c>
      <c r="V362" s="1" t="s">
        <v>40</v>
      </c>
      <c r="W362">
        <v>11</v>
      </c>
      <c r="X362">
        <v>3</v>
      </c>
      <c r="Y362">
        <v>3</v>
      </c>
      <c r="Z362">
        <v>80</v>
      </c>
      <c r="AA362">
        <v>0</v>
      </c>
      <c r="AB362">
        <v>15</v>
      </c>
      <c r="AC362">
        <v>2</v>
      </c>
      <c r="AD362">
        <v>3</v>
      </c>
      <c r="AE362">
        <v>3</v>
      </c>
      <c r="AF362">
        <v>2</v>
      </c>
      <c r="AG362">
        <v>1</v>
      </c>
      <c r="AH362">
        <v>2</v>
      </c>
      <c r="AI362">
        <f>IF(tbl_HRData[[#This Row],[Attrition]] = "Yes",1,0)</f>
        <v>0</v>
      </c>
      <c r="AJ362">
        <f>IF(tbl_HRData[[#This Row],[Attrition]] = "No",1,0)</f>
        <v>1</v>
      </c>
      <c r="AK362" t="str">
        <f>IF(tbl_HRData[[#This Row],[Age]] &lt; 25, "Under 25", IF(tbl_HRData[[#This Row],[Age]] &lt;= 34, "25-34", IF(tbl_HRData[[#This Row],[Age]] &lt;= 44, "35-44", IF(tbl_HRData[[#This Row],[Age]] &lt;= 54, "45-54", "55+"))))</f>
        <v>55+</v>
      </c>
      <c r="AL362" s="1" t="str">
        <f>IF(tbl_HRData[[#This Row],[MonthlyIncome]]&lt;5000,"Low",
IF(tbl_HRData[[#This Row],[MonthlyIncome]]&lt;10000,"Medium",
IF(tbl_HRData[[#This Row],[MonthlyIncome]]&lt;15000,"Upper Medium","High")))</f>
        <v>Medium</v>
      </c>
      <c r="AM362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363" spans="1:39" x14ac:dyDescent="0.35">
      <c r="A363" s="1">
        <v>362</v>
      </c>
      <c r="B363">
        <v>40</v>
      </c>
      <c r="C363" s="1" t="s">
        <v>40</v>
      </c>
      <c r="D363" s="1" t="s">
        <v>34</v>
      </c>
      <c r="E363">
        <v>1171</v>
      </c>
      <c r="F363" s="1" t="s">
        <v>42</v>
      </c>
      <c r="G363">
        <v>10</v>
      </c>
      <c r="H363">
        <v>4</v>
      </c>
      <c r="I363" s="1" t="s">
        <v>36</v>
      </c>
      <c r="J363">
        <v>483</v>
      </c>
      <c r="K363">
        <v>4</v>
      </c>
      <c r="L363" s="1" t="s">
        <v>37</v>
      </c>
      <c r="M363">
        <v>46</v>
      </c>
      <c r="N363">
        <v>4</v>
      </c>
      <c r="O363">
        <v>1</v>
      </c>
      <c r="P363" s="1" t="s">
        <v>47</v>
      </c>
      <c r="Q363">
        <v>3</v>
      </c>
      <c r="R363" s="1" t="s">
        <v>45</v>
      </c>
      <c r="S363">
        <v>2213</v>
      </c>
      <c r="T363">
        <v>22495</v>
      </c>
      <c r="U363">
        <v>3</v>
      </c>
      <c r="V363" s="1" t="s">
        <v>33</v>
      </c>
      <c r="W363">
        <v>13</v>
      </c>
      <c r="X363">
        <v>3</v>
      </c>
      <c r="Y363">
        <v>3</v>
      </c>
      <c r="Z363">
        <v>80</v>
      </c>
      <c r="AA363">
        <v>1</v>
      </c>
      <c r="AB363">
        <v>10</v>
      </c>
      <c r="AC363">
        <v>3</v>
      </c>
      <c r="AD363">
        <v>3</v>
      </c>
      <c r="AE363">
        <v>7</v>
      </c>
      <c r="AF363">
        <v>7</v>
      </c>
      <c r="AG363">
        <v>1</v>
      </c>
      <c r="AH363">
        <v>7</v>
      </c>
      <c r="AI363">
        <f>IF(tbl_HRData[[#This Row],[Attrition]] = "Yes",1,0)</f>
        <v>0</v>
      </c>
      <c r="AJ363">
        <f>IF(tbl_HRData[[#This Row],[Attrition]] = "No",1,0)</f>
        <v>1</v>
      </c>
      <c r="AK363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363" s="1" t="str">
        <f>IF(tbl_HRData[[#This Row],[MonthlyIncome]]&lt;5000,"Low",
IF(tbl_HRData[[#This Row],[MonthlyIncome]]&lt;10000,"Medium",
IF(tbl_HRData[[#This Row],[MonthlyIncome]]&lt;15000,"Upper Medium","High")))</f>
        <v>Low</v>
      </c>
      <c r="AM363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364" spans="1:39" x14ac:dyDescent="0.35">
      <c r="A364" s="1">
        <v>363</v>
      </c>
      <c r="B364">
        <v>21</v>
      </c>
      <c r="C364" s="1" t="s">
        <v>40</v>
      </c>
      <c r="D364" s="1" t="s">
        <v>52</v>
      </c>
      <c r="E364">
        <v>895</v>
      </c>
      <c r="F364" s="1" t="s">
        <v>35</v>
      </c>
      <c r="G364">
        <v>9</v>
      </c>
      <c r="H364">
        <v>2</v>
      </c>
      <c r="I364" s="1" t="s">
        <v>48</v>
      </c>
      <c r="J364">
        <v>484</v>
      </c>
      <c r="K364">
        <v>1</v>
      </c>
      <c r="L364" s="1" t="s">
        <v>43</v>
      </c>
      <c r="M364">
        <v>39</v>
      </c>
      <c r="N364">
        <v>3</v>
      </c>
      <c r="O364">
        <v>1</v>
      </c>
      <c r="P364" s="1" t="s">
        <v>54</v>
      </c>
      <c r="Q364">
        <v>4</v>
      </c>
      <c r="R364" s="1" t="s">
        <v>39</v>
      </c>
      <c r="S364">
        <v>2610</v>
      </c>
      <c r="T364">
        <v>2851</v>
      </c>
      <c r="U364">
        <v>1</v>
      </c>
      <c r="V364" s="1" t="s">
        <v>40</v>
      </c>
      <c r="W364">
        <v>24</v>
      </c>
      <c r="X364">
        <v>4</v>
      </c>
      <c r="Y364">
        <v>3</v>
      </c>
      <c r="Z364">
        <v>80</v>
      </c>
      <c r="AA364">
        <v>0</v>
      </c>
      <c r="AB364">
        <v>3</v>
      </c>
      <c r="AC364">
        <v>3</v>
      </c>
      <c r="AD364">
        <v>2</v>
      </c>
      <c r="AE364">
        <v>3</v>
      </c>
      <c r="AF364">
        <v>2</v>
      </c>
      <c r="AG364">
        <v>2</v>
      </c>
      <c r="AH364">
        <v>2</v>
      </c>
      <c r="AI364">
        <f>IF(tbl_HRData[[#This Row],[Attrition]] = "Yes",1,0)</f>
        <v>0</v>
      </c>
      <c r="AJ364">
        <f>IF(tbl_HRData[[#This Row],[Attrition]] = "No",1,0)</f>
        <v>1</v>
      </c>
      <c r="AK364" t="str">
        <f>IF(tbl_HRData[[#This Row],[Age]] &lt; 25, "Under 25", IF(tbl_HRData[[#This Row],[Age]] &lt;= 34, "25-34", IF(tbl_HRData[[#This Row],[Age]] &lt;= 44, "35-44", IF(tbl_HRData[[#This Row],[Age]] &lt;= 54, "45-54", "55+"))))</f>
        <v>Under 25</v>
      </c>
      <c r="AL364" s="1" t="str">
        <f>IF(tbl_HRData[[#This Row],[MonthlyIncome]]&lt;5000,"Low",
IF(tbl_HRData[[#This Row],[MonthlyIncome]]&lt;10000,"Medium",
IF(tbl_HRData[[#This Row],[MonthlyIncome]]&lt;15000,"Upper Medium","High")))</f>
        <v>Low</v>
      </c>
      <c r="AM364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365" spans="1:39" x14ac:dyDescent="0.35">
      <c r="A365" s="1">
        <v>364</v>
      </c>
      <c r="B365">
        <v>33</v>
      </c>
      <c r="C365" s="1" t="s">
        <v>33</v>
      </c>
      <c r="D365" s="1" t="s">
        <v>34</v>
      </c>
      <c r="E365">
        <v>350</v>
      </c>
      <c r="F365" s="1" t="s">
        <v>35</v>
      </c>
      <c r="G365">
        <v>5</v>
      </c>
      <c r="H365">
        <v>3</v>
      </c>
      <c r="I365" s="1" t="s">
        <v>56</v>
      </c>
      <c r="J365">
        <v>485</v>
      </c>
      <c r="K365">
        <v>4</v>
      </c>
      <c r="L365" s="1" t="s">
        <v>37</v>
      </c>
      <c r="M365">
        <v>34</v>
      </c>
      <c r="N365">
        <v>3</v>
      </c>
      <c r="O365">
        <v>1</v>
      </c>
      <c r="P365" s="1" t="s">
        <v>54</v>
      </c>
      <c r="Q365">
        <v>3</v>
      </c>
      <c r="R365" s="1" t="s">
        <v>39</v>
      </c>
      <c r="S365">
        <v>2851</v>
      </c>
      <c r="T365">
        <v>9150</v>
      </c>
      <c r="U365">
        <v>1</v>
      </c>
      <c r="V365" s="1" t="s">
        <v>33</v>
      </c>
      <c r="W365">
        <v>13</v>
      </c>
      <c r="X365">
        <v>3</v>
      </c>
      <c r="Y365">
        <v>2</v>
      </c>
      <c r="Z365">
        <v>80</v>
      </c>
      <c r="AA365">
        <v>0</v>
      </c>
      <c r="AB365">
        <v>1</v>
      </c>
      <c r="AC365">
        <v>2</v>
      </c>
      <c r="AD365">
        <v>3</v>
      </c>
      <c r="AE365">
        <v>1</v>
      </c>
      <c r="AF365">
        <v>0</v>
      </c>
      <c r="AG365">
        <v>0</v>
      </c>
      <c r="AH365">
        <v>0</v>
      </c>
      <c r="AI365">
        <f>IF(tbl_HRData[[#This Row],[Attrition]] = "Yes",1,0)</f>
        <v>1</v>
      </c>
      <c r="AJ365">
        <f>IF(tbl_HRData[[#This Row],[Attrition]] = "No",1,0)</f>
        <v>0</v>
      </c>
      <c r="AK365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365" s="1" t="str">
        <f>IF(tbl_HRData[[#This Row],[MonthlyIncome]]&lt;5000,"Low",
IF(tbl_HRData[[#This Row],[MonthlyIncome]]&lt;10000,"Medium",
IF(tbl_HRData[[#This Row],[MonthlyIncome]]&lt;15000,"Upper Medium","High")))</f>
        <v>Low</v>
      </c>
      <c r="AM365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366" spans="1:39" x14ac:dyDescent="0.35">
      <c r="A366" s="1">
        <v>365</v>
      </c>
      <c r="B366">
        <v>37</v>
      </c>
      <c r="C366" s="1" t="s">
        <v>40</v>
      </c>
      <c r="D366" s="1" t="s">
        <v>34</v>
      </c>
      <c r="E366">
        <v>921</v>
      </c>
      <c r="F366" s="1" t="s">
        <v>42</v>
      </c>
      <c r="G366">
        <v>10</v>
      </c>
      <c r="H366">
        <v>3</v>
      </c>
      <c r="I366" s="1" t="s">
        <v>48</v>
      </c>
      <c r="J366">
        <v>486</v>
      </c>
      <c r="K366">
        <v>3</v>
      </c>
      <c r="L366" s="1" t="s">
        <v>37</v>
      </c>
      <c r="M366">
        <v>98</v>
      </c>
      <c r="N366">
        <v>3</v>
      </c>
      <c r="O366">
        <v>1</v>
      </c>
      <c r="P366" s="1" t="s">
        <v>47</v>
      </c>
      <c r="Q366">
        <v>1</v>
      </c>
      <c r="R366" s="1" t="s">
        <v>45</v>
      </c>
      <c r="S366">
        <v>3452</v>
      </c>
      <c r="T366">
        <v>17663</v>
      </c>
      <c r="U366">
        <v>6</v>
      </c>
      <c r="V366" s="1" t="s">
        <v>40</v>
      </c>
      <c r="W366">
        <v>20</v>
      </c>
      <c r="X366">
        <v>4</v>
      </c>
      <c r="Y366">
        <v>2</v>
      </c>
      <c r="Z366">
        <v>80</v>
      </c>
      <c r="AA366">
        <v>1</v>
      </c>
      <c r="AB366">
        <v>17</v>
      </c>
      <c r="AC366">
        <v>3</v>
      </c>
      <c r="AD366">
        <v>3</v>
      </c>
      <c r="AE366">
        <v>5</v>
      </c>
      <c r="AF366">
        <v>4</v>
      </c>
      <c r="AG366">
        <v>0</v>
      </c>
      <c r="AH366">
        <v>3</v>
      </c>
      <c r="AI366">
        <f>IF(tbl_HRData[[#This Row],[Attrition]] = "Yes",1,0)</f>
        <v>0</v>
      </c>
      <c r="AJ366">
        <f>IF(tbl_HRData[[#This Row],[Attrition]] = "No",1,0)</f>
        <v>1</v>
      </c>
      <c r="AK366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366" s="1" t="str">
        <f>IF(tbl_HRData[[#This Row],[MonthlyIncome]]&lt;5000,"Low",
IF(tbl_HRData[[#This Row],[MonthlyIncome]]&lt;10000,"Medium",
IF(tbl_HRData[[#This Row],[MonthlyIncome]]&lt;15000,"Upper Medium","High")))</f>
        <v>Low</v>
      </c>
      <c r="AM366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367" spans="1:39" x14ac:dyDescent="0.35">
      <c r="A367" s="1">
        <v>366</v>
      </c>
      <c r="B367">
        <v>46</v>
      </c>
      <c r="C367" s="1" t="s">
        <v>40</v>
      </c>
      <c r="D367" s="1" t="s">
        <v>52</v>
      </c>
      <c r="E367">
        <v>1144</v>
      </c>
      <c r="F367" s="1" t="s">
        <v>42</v>
      </c>
      <c r="G367">
        <v>7</v>
      </c>
      <c r="H367">
        <v>4</v>
      </c>
      <c r="I367" s="1" t="s">
        <v>48</v>
      </c>
      <c r="J367">
        <v>487</v>
      </c>
      <c r="K367">
        <v>3</v>
      </c>
      <c r="L367" s="1" t="s">
        <v>37</v>
      </c>
      <c r="M367">
        <v>30</v>
      </c>
      <c r="N367">
        <v>3</v>
      </c>
      <c r="O367">
        <v>2</v>
      </c>
      <c r="P367" s="1" t="s">
        <v>50</v>
      </c>
      <c r="Q367">
        <v>3</v>
      </c>
      <c r="R367" s="1" t="s">
        <v>45</v>
      </c>
      <c r="S367">
        <v>5258</v>
      </c>
      <c r="T367">
        <v>16044</v>
      </c>
      <c r="U367">
        <v>2</v>
      </c>
      <c r="V367" s="1" t="s">
        <v>40</v>
      </c>
      <c r="W367">
        <v>14</v>
      </c>
      <c r="X367">
        <v>3</v>
      </c>
      <c r="Y367">
        <v>3</v>
      </c>
      <c r="Z367">
        <v>80</v>
      </c>
      <c r="AA367">
        <v>0</v>
      </c>
      <c r="AB367">
        <v>7</v>
      </c>
      <c r="AC367">
        <v>2</v>
      </c>
      <c r="AD367">
        <v>4</v>
      </c>
      <c r="AE367">
        <v>1</v>
      </c>
      <c r="AF367">
        <v>0</v>
      </c>
      <c r="AG367">
        <v>0</v>
      </c>
      <c r="AH367">
        <v>0</v>
      </c>
      <c r="AI367">
        <f>IF(tbl_HRData[[#This Row],[Attrition]] = "Yes",1,0)</f>
        <v>0</v>
      </c>
      <c r="AJ367">
        <f>IF(tbl_HRData[[#This Row],[Attrition]] = "No",1,0)</f>
        <v>1</v>
      </c>
      <c r="AK367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367" s="1" t="str">
        <f>IF(tbl_HRData[[#This Row],[MonthlyIncome]]&lt;5000,"Low",
IF(tbl_HRData[[#This Row],[MonthlyIncome]]&lt;10000,"Medium",
IF(tbl_HRData[[#This Row],[MonthlyIncome]]&lt;15000,"Upper Medium","High")))</f>
        <v>Medium</v>
      </c>
      <c r="AM367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368" spans="1:39" x14ac:dyDescent="0.35">
      <c r="A368" s="1">
        <v>367</v>
      </c>
      <c r="B368">
        <v>41</v>
      </c>
      <c r="C368" s="1" t="s">
        <v>33</v>
      </c>
      <c r="D368" s="1" t="s">
        <v>41</v>
      </c>
      <c r="E368">
        <v>143</v>
      </c>
      <c r="F368" s="1" t="s">
        <v>35</v>
      </c>
      <c r="G368">
        <v>4</v>
      </c>
      <c r="H368">
        <v>3</v>
      </c>
      <c r="I368" s="1" t="s">
        <v>56</v>
      </c>
      <c r="J368">
        <v>488</v>
      </c>
      <c r="K368">
        <v>1</v>
      </c>
      <c r="L368" s="1" t="s">
        <v>43</v>
      </c>
      <c r="M368">
        <v>56</v>
      </c>
      <c r="N368">
        <v>3</v>
      </c>
      <c r="O368">
        <v>2</v>
      </c>
      <c r="P368" s="1" t="s">
        <v>38</v>
      </c>
      <c r="Q368">
        <v>2</v>
      </c>
      <c r="R368" s="1" t="s">
        <v>39</v>
      </c>
      <c r="S368">
        <v>9355</v>
      </c>
      <c r="T368">
        <v>9558</v>
      </c>
      <c r="U368">
        <v>1</v>
      </c>
      <c r="V368" s="1" t="s">
        <v>40</v>
      </c>
      <c r="W368">
        <v>18</v>
      </c>
      <c r="X368">
        <v>3</v>
      </c>
      <c r="Y368">
        <v>3</v>
      </c>
      <c r="Z368">
        <v>80</v>
      </c>
      <c r="AA368">
        <v>0</v>
      </c>
      <c r="AB368">
        <v>8</v>
      </c>
      <c r="AC368">
        <v>5</v>
      </c>
      <c r="AD368">
        <v>3</v>
      </c>
      <c r="AE368">
        <v>8</v>
      </c>
      <c r="AF368">
        <v>7</v>
      </c>
      <c r="AG368">
        <v>7</v>
      </c>
      <c r="AH368">
        <v>7</v>
      </c>
      <c r="AI368">
        <f>IF(tbl_HRData[[#This Row],[Attrition]] = "Yes",1,0)</f>
        <v>1</v>
      </c>
      <c r="AJ368">
        <f>IF(tbl_HRData[[#This Row],[Attrition]] = "No",1,0)</f>
        <v>0</v>
      </c>
      <c r="AK368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368" s="1" t="str">
        <f>IF(tbl_HRData[[#This Row],[MonthlyIncome]]&lt;5000,"Low",
IF(tbl_HRData[[#This Row],[MonthlyIncome]]&lt;10000,"Medium",
IF(tbl_HRData[[#This Row],[MonthlyIncome]]&lt;15000,"Upper Medium","High")))</f>
        <v>Medium</v>
      </c>
      <c r="AM368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369" spans="1:39" x14ac:dyDescent="0.35">
      <c r="A369" s="1">
        <v>368</v>
      </c>
      <c r="B369">
        <v>50</v>
      </c>
      <c r="C369" s="1" t="s">
        <v>40</v>
      </c>
      <c r="D369" s="1" t="s">
        <v>34</v>
      </c>
      <c r="E369">
        <v>1046</v>
      </c>
      <c r="F369" s="1" t="s">
        <v>42</v>
      </c>
      <c r="G369">
        <v>10</v>
      </c>
      <c r="H369">
        <v>3</v>
      </c>
      <c r="I369" s="1" t="s">
        <v>57</v>
      </c>
      <c r="J369">
        <v>491</v>
      </c>
      <c r="K369">
        <v>4</v>
      </c>
      <c r="L369" s="1" t="s">
        <v>43</v>
      </c>
      <c r="M369">
        <v>100</v>
      </c>
      <c r="N369">
        <v>2</v>
      </c>
      <c r="O369">
        <v>3</v>
      </c>
      <c r="P369" s="1" t="s">
        <v>51</v>
      </c>
      <c r="Q369">
        <v>4</v>
      </c>
      <c r="R369" s="1" t="s">
        <v>39</v>
      </c>
      <c r="S369">
        <v>10496</v>
      </c>
      <c r="T369">
        <v>2755</v>
      </c>
      <c r="U369">
        <v>6</v>
      </c>
      <c r="V369" s="1" t="s">
        <v>40</v>
      </c>
      <c r="W369">
        <v>15</v>
      </c>
      <c r="X369">
        <v>3</v>
      </c>
      <c r="Y369">
        <v>4</v>
      </c>
      <c r="Z369">
        <v>80</v>
      </c>
      <c r="AA369">
        <v>0</v>
      </c>
      <c r="AB369">
        <v>20</v>
      </c>
      <c r="AC369">
        <v>2</v>
      </c>
      <c r="AD369">
        <v>3</v>
      </c>
      <c r="AE369">
        <v>4</v>
      </c>
      <c r="AF369">
        <v>3</v>
      </c>
      <c r="AG369">
        <v>1</v>
      </c>
      <c r="AH369">
        <v>3</v>
      </c>
      <c r="AI369">
        <f>IF(tbl_HRData[[#This Row],[Attrition]] = "Yes",1,0)</f>
        <v>0</v>
      </c>
      <c r="AJ369">
        <f>IF(tbl_HRData[[#This Row],[Attrition]] = "No",1,0)</f>
        <v>1</v>
      </c>
      <c r="AK369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369" s="1" t="str">
        <f>IF(tbl_HRData[[#This Row],[MonthlyIncome]]&lt;5000,"Low",
IF(tbl_HRData[[#This Row],[MonthlyIncome]]&lt;10000,"Medium",
IF(tbl_HRData[[#This Row],[MonthlyIncome]]&lt;15000,"Upper Medium","High")))</f>
        <v>Upper Medium</v>
      </c>
      <c r="AM369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370" spans="1:39" x14ac:dyDescent="0.35">
      <c r="A370" s="1">
        <v>369</v>
      </c>
      <c r="B370">
        <v>40</v>
      </c>
      <c r="C370" s="1" t="s">
        <v>33</v>
      </c>
      <c r="D370" s="1" t="s">
        <v>34</v>
      </c>
      <c r="E370">
        <v>575</v>
      </c>
      <c r="F370" s="1" t="s">
        <v>35</v>
      </c>
      <c r="G370">
        <v>22</v>
      </c>
      <c r="H370">
        <v>2</v>
      </c>
      <c r="I370" s="1" t="s">
        <v>56</v>
      </c>
      <c r="J370">
        <v>492</v>
      </c>
      <c r="K370">
        <v>3</v>
      </c>
      <c r="L370" s="1" t="s">
        <v>43</v>
      </c>
      <c r="M370">
        <v>68</v>
      </c>
      <c r="N370">
        <v>2</v>
      </c>
      <c r="O370">
        <v>2</v>
      </c>
      <c r="P370" s="1" t="s">
        <v>38</v>
      </c>
      <c r="Q370">
        <v>3</v>
      </c>
      <c r="R370" s="1" t="s">
        <v>45</v>
      </c>
      <c r="S370">
        <v>6380</v>
      </c>
      <c r="T370">
        <v>6110</v>
      </c>
      <c r="U370">
        <v>2</v>
      </c>
      <c r="V370" s="1" t="s">
        <v>33</v>
      </c>
      <c r="W370">
        <v>12</v>
      </c>
      <c r="X370">
        <v>3</v>
      </c>
      <c r="Y370">
        <v>1</v>
      </c>
      <c r="Z370">
        <v>80</v>
      </c>
      <c r="AA370">
        <v>2</v>
      </c>
      <c r="AB370">
        <v>8</v>
      </c>
      <c r="AC370">
        <v>6</v>
      </c>
      <c r="AD370">
        <v>3</v>
      </c>
      <c r="AE370">
        <v>6</v>
      </c>
      <c r="AF370">
        <v>4</v>
      </c>
      <c r="AG370">
        <v>1</v>
      </c>
      <c r="AH370">
        <v>0</v>
      </c>
      <c r="AI370">
        <f>IF(tbl_HRData[[#This Row],[Attrition]] = "Yes",1,0)</f>
        <v>1</v>
      </c>
      <c r="AJ370">
        <f>IF(tbl_HRData[[#This Row],[Attrition]] = "No",1,0)</f>
        <v>0</v>
      </c>
      <c r="AK370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370" s="1" t="str">
        <f>IF(tbl_HRData[[#This Row],[MonthlyIncome]]&lt;5000,"Low",
IF(tbl_HRData[[#This Row],[MonthlyIncome]]&lt;10000,"Medium",
IF(tbl_HRData[[#This Row],[MonthlyIncome]]&lt;15000,"Upper Medium","High")))</f>
        <v>Medium</v>
      </c>
      <c r="AM370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371" spans="1:39" x14ac:dyDescent="0.35">
      <c r="A371" s="1">
        <v>370</v>
      </c>
      <c r="B371">
        <v>31</v>
      </c>
      <c r="C371" s="1" t="s">
        <v>40</v>
      </c>
      <c r="D371" s="1" t="s">
        <v>34</v>
      </c>
      <c r="E371">
        <v>408</v>
      </c>
      <c r="F371" s="1" t="s">
        <v>42</v>
      </c>
      <c r="G371">
        <v>9</v>
      </c>
      <c r="H371">
        <v>4</v>
      </c>
      <c r="I371" s="1" t="s">
        <v>36</v>
      </c>
      <c r="J371">
        <v>493</v>
      </c>
      <c r="K371">
        <v>3</v>
      </c>
      <c r="L371" s="1" t="s">
        <v>43</v>
      </c>
      <c r="M371">
        <v>42</v>
      </c>
      <c r="N371">
        <v>2</v>
      </c>
      <c r="O371">
        <v>1</v>
      </c>
      <c r="P371" s="1" t="s">
        <v>44</v>
      </c>
      <c r="Q371">
        <v>2</v>
      </c>
      <c r="R371" s="1" t="s">
        <v>39</v>
      </c>
      <c r="S371">
        <v>2657</v>
      </c>
      <c r="T371">
        <v>7551</v>
      </c>
      <c r="U371">
        <v>0</v>
      </c>
      <c r="V371" s="1" t="s">
        <v>33</v>
      </c>
      <c r="W371">
        <v>16</v>
      </c>
      <c r="X371">
        <v>3</v>
      </c>
      <c r="Y371">
        <v>4</v>
      </c>
      <c r="Z371">
        <v>80</v>
      </c>
      <c r="AA371">
        <v>0</v>
      </c>
      <c r="AB371">
        <v>3</v>
      </c>
      <c r="AC371">
        <v>5</v>
      </c>
      <c r="AD371">
        <v>3</v>
      </c>
      <c r="AE371">
        <v>2</v>
      </c>
      <c r="AF371">
        <v>2</v>
      </c>
      <c r="AG371">
        <v>2</v>
      </c>
      <c r="AH371">
        <v>2</v>
      </c>
      <c r="AI371">
        <f>IF(tbl_HRData[[#This Row],[Attrition]] = "Yes",1,0)</f>
        <v>0</v>
      </c>
      <c r="AJ371">
        <f>IF(tbl_HRData[[#This Row],[Attrition]] = "No",1,0)</f>
        <v>1</v>
      </c>
      <c r="AK371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371" s="1" t="str">
        <f>IF(tbl_HRData[[#This Row],[MonthlyIncome]]&lt;5000,"Low",
IF(tbl_HRData[[#This Row],[MonthlyIncome]]&lt;10000,"Medium",
IF(tbl_HRData[[#This Row],[MonthlyIncome]]&lt;15000,"Upper Medium","High")))</f>
        <v>Low</v>
      </c>
      <c r="AM371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372" spans="1:39" x14ac:dyDescent="0.35">
      <c r="A372" s="1">
        <v>371</v>
      </c>
      <c r="B372">
        <v>21</v>
      </c>
      <c r="C372" s="1" t="s">
        <v>33</v>
      </c>
      <c r="D372" s="1" t="s">
        <v>34</v>
      </c>
      <c r="E372">
        <v>156</v>
      </c>
      <c r="F372" s="1" t="s">
        <v>35</v>
      </c>
      <c r="G372">
        <v>12</v>
      </c>
      <c r="H372">
        <v>3</v>
      </c>
      <c r="I372" s="1" t="s">
        <v>36</v>
      </c>
      <c r="J372">
        <v>494</v>
      </c>
      <c r="K372">
        <v>3</v>
      </c>
      <c r="L372" s="1" t="s">
        <v>37</v>
      </c>
      <c r="M372">
        <v>90</v>
      </c>
      <c r="N372">
        <v>4</v>
      </c>
      <c r="O372">
        <v>1</v>
      </c>
      <c r="P372" s="1" t="s">
        <v>54</v>
      </c>
      <c r="Q372">
        <v>2</v>
      </c>
      <c r="R372" s="1" t="s">
        <v>39</v>
      </c>
      <c r="S372">
        <v>2716</v>
      </c>
      <c r="T372">
        <v>25422</v>
      </c>
      <c r="U372">
        <v>1</v>
      </c>
      <c r="V372" s="1" t="s">
        <v>40</v>
      </c>
      <c r="W372">
        <v>15</v>
      </c>
      <c r="X372">
        <v>3</v>
      </c>
      <c r="Y372">
        <v>4</v>
      </c>
      <c r="Z372">
        <v>80</v>
      </c>
      <c r="AA372">
        <v>0</v>
      </c>
      <c r="AB372">
        <v>1</v>
      </c>
      <c r="AC372">
        <v>0</v>
      </c>
      <c r="AD372">
        <v>3</v>
      </c>
      <c r="AE372">
        <v>1</v>
      </c>
      <c r="AF372">
        <v>0</v>
      </c>
      <c r="AG372">
        <v>0</v>
      </c>
      <c r="AH372">
        <v>0</v>
      </c>
      <c r="AI372">
        <f>IF(tbl_HRData[[#This Row],[Attrition]] = "Yes",1,0)</f>
        <v>1</v>
      </c>
      <c r="AJ372">
        <f>IF(tbl_HRData[[#This Row],[Attrition]] = "No",1,0)</f>
        <v>0</v>
      </c>
      <c r="AK372" t="str">
        <f>IF(tbl_HRData[[#This Row],[Age]] &lt; 25, "Under 25", IF(tbl_HRData[[#This Row],[Age]] &lt;= 34, "25-34", IF(tbl_HRData[[#This Row],[Age]] &lt;= 44, "35-44", IF(tbl_HRData[[#This Row],[Age]] &lt;= 54, "45-54", "55+"))))</f>
        <v>Under 25</v>
      </c>
      <c r="AL372" s="1" t="str">
        <f>IF(tbl_HRData[[#This Row],[MonthlyIncome]]&lt;5000,"Low",
IF(tbl_HRData[[#This Row],[MonthlyIncome]]&lt;10000,"Medium",
IF(tbl_HRData[[#This Row],[MonthlyIncome]]&lt;15000,"Upper Medium","High")))</f>
        <v>Low</v>
      </c>
      <c r="AM372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373" spans="1:39" x14ac:dyDescent="0.35">
      <c r="A373" s="1">
        <v>372</v>
      </c>
      <c r="B373">
        <v>29</v>
      </c>
      <c r="C373" s="1" t="s">
        <v>40</v>
      </c>
      <c r="D373" s="1" t="s">
        <v>34</v>
      </c>
      <c r="E373">
        <v>1283</v>
      </c>
      <c r="F373" s="1" t="s">
        <v>42</v>
      </c>
      <c r="G373">
        <v>23</v>
      </c>
      <c r="H373">
        <v>3</v>
      </c>
      <c r="I373" s="1" t="s">
        <v>36</v>
      </c>
      <c r="J373">
        <v>495</v>
      </c>
      <c r="K373">
        <v>4</v>
      </c>
      <c r="L373" s="1" t="s">
        <v>43</v>
      </c>
      <c r="M373">
        <v>54</v>
      </c>
      <c r="N373">
        <v>3</v>
      </c>
      <c r="O373">
        <v>1</v>
      </c>
      <c r="P373" s="1" t="s">
        <v>44</v>
      </c>
      <c r="Q373">
        <v>4</v>
      </c>
      <c r="R373" s="1" t="s">
        <v>39</v>
      </c>
      <c r="S373">
        <v>2201</v>
      </c>
      <c r="T373">
        <v>18168</v>
      </c>
      <c r="U373">
        <v>9</v>
      </c>
      <c r="V373" s="1" t="s">
        <v>40</v>
      </c>
      <c r="W373">
        <v>16</v>
      </c>
      <c r="X373">
        <v>3</v>
      </c>
      <c r="Y373">
        <v>4</v>
      </c>
      <c r="Z373">
        <v>80</v>
      </c>
      <c r="AA373">
        <v>0</v>
      </c>
      <c r="AB373">
        <v>6</v>
      </c>
      <c r="AC373">
        <v>4</v>
      </c>
      <c r="AD373">
        <v>3</v>
      </c>
      <c r="AE373">
        <v>3</v>
      </c>
      <c r="AF373">
        <v>2</v>
      </c>
      <c r="AG373">
        <v>1</v>
      </c>
      <c r="AH373">
        <v>2</v>
      </c>
      <c r="AI373">
        <f>IF(tbl_HRData[[#This Row],[Attrition]] = "Yes",1,0)</f>
        <v>0</v>
      </c>
      <c r="AJ373">
        <f>IF(tbl_HRData[[#This Row],[Attrition]] = "No",1,0)</f>
        <v>1</v>
      </c>
      <c r="AK373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373" s="1" t="str">
        <f>IF(tbl_HRData[[#This Row],[MonthlyIncome]]&lt;5000,"Low",
IF(tbl_HRData[[#This Row],[MonthlyIncome]]&lt;10000,"Medium",
IF(tbl_HRData[[#This Row],[MonthlyIncome]]&lt;15000,"Upper Medium","High")))</f>
        <v>Low</v>
      </c>
      <c r="AM373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374" spans="1:39" x14ac:dyDescent="0.35">
      <c r="A374" s="1">
        <v>373</v>
      </c>
      <c r="B374">
        <v>35</v>
      </c>
      <c r="C374" s="1" t="s">
        <v>40</v>
      </c>
      <c r="D374" s="1" t="s">
        <v>34</v>
      </c>
      <c r="E374">
        <v>755</v>
      </c>
      <c r="F374" s="1" t="s">
        <v>42</v>
      </c>
      <c r="G374">
        <v>9</v>
      </c>
      <c r="H374">
        <v>4</v>
      </c>
      <c r="I374" s="1" t="s">
        <v>36</v>
      </c>
      <c r="J374">
        <v>496</v>
      </c>
      <c r="K374">
        <v>3</v>
      </c>
      <c r="L374" s="1" t="s">
        <v>43</v>
      </c>
      <c r="M374">
        <v>97</v>
      </c>
      <c r="N374">
        <v>2</v>
      </c>
      <c r="O374">
        <v>2</v>
      </c>
      <c r="P374" s="1" t="s">
        <v>51</v>
      </c>
      <c r="Q374">
        <v>2</v>
      </c>
      <c r="R374" s="1" t="s">
        <v>39</v>
      </c>
      <c r="S374">
        <v>6540</v>
      </c>
      <c r="T374">
        <v>19394</v>
      </c>
      <c r="U374">
        <v>9</v>
      </c>
      <c r="V374" s="1" t="s">
        <v>40</v>
      </c>
      <c r="W374">
        <v>19</v>
      </c>
      <c r="X374">
        <v>3</v>
      </c>
      <c r="Y374">
        <v>3</v>
      </c>
      <c r="Z374">
        <v>80</v>
      </c>
      <c r="AA374">
        <v>0</v>
      </c>
      <c r="AB374">
        <v>10</v>
      </c>
      <c r="AC374">
        <v>5</v>
      </c>
      <c r="AD374">
        <v>3</v>
      </c>
      <c r="AE374">
        <v>1</v>
      </c>
      <c r="AF374">
        <v>1</v>
      </c>
      <c r="AG374">
        <v>0</v>
      </c>
      <c r="AH374">
        <v>0</v>
      </c>
      <c r="AI374">
        <f>IF(tbl_HRData[[#This Row],[Attrition]] = "Yes",1,0)</f>
        <v>0</v>
      </c>
      <c r="AJ374">
        <f>IF(tbl_HRData[[#This Row],[Attrition]] = "No",1,0)</f>
        <v>1</v>
      </c>
      <c r="AK374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374" s="1" t="str">
        <f>IF(tbl_HRData[[#This Row],[MonthlyIncome]]&lt;5000,"Low",
IF(tbl_HRData[[#This Row],[MonthlyIncome]]&lt;10000,"Medium",
IF(tbl_HRData[[#This Row],[MonthlyIncome]]&lt;15000,"Upper Medium","High")))</f>
        <v>Medium</v>
      </c>
      <c r="AM374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375" spans="1:39" x14ac:dyDescent="0.35">
      <c r="A375" s="1">
        <v>374</v>
      </c>
      <c r="B375">
        <v>27</v>
      </c>
      <c r="C375" s="1" t="s">
        <v>40</v>
      </c>
      <c r="D375" s="1" t="s">
        <v>34</v>
      </c>
      <c r="E375">
        <v>1469</v>
      </c>
      <c r="F375" s="1" t="s">
        <v>42</v>
      </c>
      <c r="G375">
        <v>1</v>
      </c>
      <c r="H375">
        <v>2</v>
      </c>
      <c r="I375" s="1" t="s">
        <v>48</v>
      </c>
      <c r="J375">
        <v>497</v>
      </c>
      <c r="K375">
        <v>4</v>
      </c>
      <c r="L375" s="1" t="s">
        <v>43</v>
      </c>
      <c r="M375">
        <v>82</v>
      </c>
      <c r="N375">
        <v>3</v>
      </c>
      <c r="O375">
        <v>1</v>
      </c>
      <c r="P375" s="1" t="s">
        <v>47</v>
      </c>
      <c r="Q375">
        <v>2</v>
      </c>
      <c r="R375" s="1" t="s">
        <v>49</v>
      </c>
      <c r="S375">
        <v>3816</v>
      </c>
      <c r="T375">
        <v>17881</v>
      </c>
      <c r="U375">
        <v>1</v>
      </c>
      <c r="V375" s="1" t="s">
        <v>40</v>
      </c>
      <c r="W375">
        <v>11</v>
      </c>
      <c r="X375">
        <v>3</v>
      </c>
      <c r="Y375">
        <v>2</v>
      </c>
      <c r="Z375">
        <v>80</v>
      </c>
      <c r="AA375">
        <v>1</v>
      </c>
      <c r="AB375">
        <v>5</v>
      </c>
      <c r="AC375">
        <v>2</v>
      </c>
      <c r="AD375">
        <v>3</v>
      </c>
      <c r="AE375">
        <v>5</v>
      </c>
      <c r="AF375">
        <v>2</v>
      </c>
      <c r="AG375">
        <v>0</v>
      </c>
      <c r="AH375">
        <v>4</v>
      </c>
      <c r="AI375">
        <f>IF(tbl_HRData[[#This Row],[Attrition]] = "Yes",1,0)</f>
        <v>0</v>
      </c>
      <c r="AJ375">
        <f>IF(tbl_HRData[[#This Row],[Attrition]] = "No",1,0)</f>
        <v>1</v>
      </c>
      <c r="AK375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375" s="1" t="str">
        <f>IF(tbl_HRData[[#This Row],[MonthlyIncome]]&lt;5000,"Low",
IF(tbl_HRData[[#This Row],[MonthlyIncome]]&lt;10000,"Medium",
IF(tbl_HRData[[#This Row],[MonthlyIncome]]&lt;15000,"Upper Medium","High")))</f>
        <v>Low</v>
      </c>
      <c r="AM375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376" spans="1:39" x14ac:dyDescent="0.35">
      <c r="A376" s="1">
        <v>375</v>
      </c>
      <c r="B376">
        <v>28</v>
      </c>
      <c r="C376" s="1" t="s">
        <v>40</v>
      </c>
      <c r="D376" s="1" t="s">
        <v>34</v>
      </c>
      <c r="E376">
        <v>304</v>
      </c>
      <c r="F376" s="1" t="s">
        <v>35</v>
      </c>
      <c r="G376">
        <v>9</v>
      </c>
      <c r="H376">
        <v>4</v>
      </c>
      <c r="I376" s="1" t="s">
        <v>36</v>
      </c>
      <c r="J376">
        <v>498</v>
      </c>
      <c r="K376">
        <v>2</v>
      </c>
      <c r="L376" s="1" t="s">
        <v>43</v>
      </c>
      <c r="M376">
        <v>92</v>
      </c>
      <c r="N376">
        <v>3</v>
      </c>
      <c r="O376">
        <v>2</v>
      </c>
      <c r="P376" s="1" t="s">
        <v>38</v>
      </c>
      <c r="Q376">
        <v>4</v>
      </c>
      <c r="R376" s="1" t="s">
        <v>39</v>
      </c>
      <c r="S376">
        <v>5253</v>
      </c>
      <c r="T376">
        <v>20750</v>
      </c>
      <c r="U376">
        <v>1</v>
      </c>
      <c r="V376" s="1" t="s">
        <v>40</v>
      </c>
      <c r="W376">
        <v>16</v>
      </c>
      <c r="X376">
        <v>3</v>
      </c>
      <c r="Y376">
        <v>4</v>
      </c>
      <c r="Z376">
        <v>80</v>
      </c>
      <c r="AA376">
        <v>0</v>
      </c>
      <c r="AB376">
        <v>7</v>
      </c>
      <c r="AC376">
        <v>1</v>
      </c>
      <c r="AD376">
        <v>3</v>
      </c>
      <c r="AE376">
        <v>7</v>
      </c>
      <c r="AF376">
        <v>5</v>
      </c>
      <c r="AG376">
        <v>0</v>
      </c>
      <c r="AH376">
        <v>7</v>
      </c>
      <c r="AI376">
        <f>IF(tbl_HRData[[#This Row],[Attrition]] = "Yes",1,0)</f>
        <v>0</v>
      </c>
      <c r="AJ376">
        <f>IF(tbl_HRData[[#This Row],[Attrition]] = "No",1,0)</f>
        <v>1</v>
      </c>
      <c r="AK376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376" s="1" t="str">
        <f>IF(tbl_HRData[[#This Row],[MonthlyIncome]]&lt;5000,"Low",
IF(tbl_HRData[[#This Row],[MonthlyIncome]]&lt;10000,"Medium",
IF(tbl_HRData[[#This Row],[MonthlyIncome]]&lt;15000,"Upper Medium","High")))</f>
        <v>Medium</v>
      </c>
      <c r="AM376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377" spans="1:39" x14ac:dyDescent="0.35">
      <c r="A377" s="1">
        <v>376</v>
      </c>
      <c r="B377">
        <v>49</v>
      </c>
      <c r="C377" s="1" t="s">
        <v>40</v>
      </c>
      <c r="D377" s="1" t="s">
        <v>34</v>
      </c>
      <c r="E377">
        <v>1261</v>
      </c>
      <c r="F377" s="1" t="s">
        <v>42</v>
      </c>
      <c r="G377">
        <v>7</v>
      </c>
      <c r="H377">
        <v>3</v>
      </c>
      <c r="I377" s="1" t="s">
        <v>46</v>
      </c>
      <c r="J377">
        <v>499</v>
      </c>
      <c r="K377">
        <v>2</v>
      </c>
      <c r="L377" s="1" t="s">
        <v>43</v>
      </c>
      <c r="M377">
        <v>31</v>
      </c>
      <c r="N377">
        <v>2</v>
      </c>
      <c r="O377">
        <v>3</v>
      </c>
      <c r="P377" s="1" t="s">
        <v>51</v>
      </c>
      <c r="Q377">
        <v>3</v>
      </c>
      <c r="R377" s="1" t="s">
        <v>39</v>
      </c>
      <c r="S377">
        <v>10965</v>
      </c>
      <c r="T377">
        <v>12066</v>
      </c>
      <c r="U377">
        <v>8</v>
      </c>
      <c r="V377" s="1" t="s">
        <v>40</v>
      </c>
      <c r="W377">
        <v>24</v>
      </c>
      <c r="X377">
        <v>4</v>
      </c>
      <c r="Y377">
        <v>3</v>
      </c>
      <c r="Z377">
        <v>80</v>
      </c>
      <c r="AA377">
        <v>0</v>
      </c>
      <c r="AB377">
        <v>26</v>
      </c>
      <c r="AC377">
        <v>2</v>
      </c>
      <c r="AD377">
        <v>3</v>
      </c>
      <c r="AE377">
        <v>5</v>
      </c>
      <c r="AF377">
        <v>2</v>
      </c>
      <c r="AG377">
        <v>0</v>
      </c>
      <c r="AH377">
        <v>0</v>
      </c>
      <c r="AI377">
        <f>IF(tbl_HRData[[#This Row],[Attrition]] = "Yes",1,0)</f>
        <v>0</v>
      </c>
      <c r="AJ377">
        <f>IF(tbl_HRData[[#This Row],[Attrition]] = "No",1,0)</f>
        <v>1</v>
      </c>
      <c r="AK377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377" s="1" t="str">
        <f>IF(tbl_HRData[[#This Row],[MonthlyIncome]]&lt;5000,"Low",
IF(tbl_HRData[[#This Row],[MonthlyIncome]]&lt;10000,"Medium",
IF(tbl_HRData[[#This Row],[MonthlyIncome]]&lt;15000,"Upper Medium","High")))</f>
        <v>Upper Medium</v>
      </c>
      <c r="AM377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378" spans="1:39" x14ac:dyDescent="0.35">
      <c r="A378" s="1">
        <v>377</v>
      </c>
      <c r="B378">
        <v>51</v>
      </c>
      <c r="C378" s="1" t="s">
        <v>40</v>
      </c>
      <c r="D378" s="1" t="s">
        <v>34</v>
      </c>
      <c r="E378">
        <v>1178</v>
      </c>
      <c r="F378" s="1" t="s">
        <v>35</v>
      </c>
      <c r="G378">
        <v>14</v>
      </c>
      <c r="H378">
        <v>2</v>
      </c>
      <c r="I378" s="1" t="s">
        <v>36</v>
      </c>
      <c r="J378">
        <v>500</v>
      </c>
      <c r="K378">
        <v>3</v>
      </c>
      <c r="L378" s="1" t="s">
        <v>37</v>
      </c>
      <c r="M378">
        <v>87</v>
      </c>
      <c r="N378">
        <v>3</v>
      </c>
      <c r="O378">
        <v>2</v>
      </c>
      <c r="P378" s="1" t="s">
        <v>38</v>
      </c>
      <c r="Q378">
        <v>4</v>
      </c>
      <c r="R378" s="1" t="s">
        <v>45</v>
      </c>
      <c r="S378">
        <v>4936</v>
      </c>
      <c r="T378">
        <v>14862</v>
      </c>
      <c r="U378">
        <v>4</v>
      </c>
      <c r="V378" s="1" t="s">
        <v>40</v>
      </c>
      <c r="W378">
        <v>11</v>
      </c>
      <c r="X378">
        <v>3</v>
      </c>
      <c r="Y378">
        <v>3</v>
      </c>
      <c r="Z378">
        <v>80</v>
      </c>
      <c r="AA378">
        <v>1</v>
      </c>
      <c r="AB378">
        <v>18</v>
      </c>
      <c r="AC378">
        <v>2</v>
      </c>
      <c r="AD378">
        <v>2</v>
      </c>
      <c r="AE378">
        <v>7</v>
      </c>
      <c r="AF378">
        <v>7</v>
      </c>
      <c r="AG378">
        <v>0</v>
      </c>
      <c r="AH378">
        <v>7</v>
      </c>
      <c r="AI378">
        <f>IF(tbl_HRData[[#This Row],[Attrition]] = "Yes",1,0)</f>
        <v>0</v>
      </c>
      <c r="AJ378">
        <f>IF(tbl_HRData[[#This Row],[Attrition]] = "No",1,0)</f>
        <v>1</v>
      </c>
      <c r="AK378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378" s="1" t="str">
        <f>IF(tbl_HRData[[#This Row],[MonthlyIncome]]&lt;5000,"Low",
IF(tbl_HRData[[#This Row],[MonthlyIncome]]&lt;10000,"Medium",
IF(tbl_HRData[[#This Row],[MonthlyIncome]]&lt;15000,"Upper Medium","High")))</f>
        <v>Low</v>
      </c>
      <c r="AM378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379" spans="1:39" x14ac:dyDescent="0.35">
      <c r="A379" s="1">
        <v>378</v>
      </c>
      <c r="B379">
        <v>36</v>
      </c>
      <c r="C379" s="1" t="s">
        <v>40</v>
      </c>
      <c r="D379" s="1" t="s">
        <v>34</v>
      </c>
      <c r="E379">
        <v>329</v>
      </c>
      <c r="F379" s="1" t="s">
        <v>42</v>
      </c>
      <c r="G379">
        <v>2</v>
      </c>
      <c r="H379">
        <v>3</v>
      </c>
      <c r="I379" s="1" t="s">
        <v>36</v>
      </c>
      <c r="J379">
        <v>501</v>
      </c>
      <c r="K379">
        <v>4</v>
      </c>
      <c r="L379" s="1" t="s">
        <v>37</v>
      </c>
      <c r="M379">
        <v>96</v>
      </c>
      <c r="N379">
        <v>3</v>
      </c>
      <c r="O379">
        <v>1</v>
      </c>
      <c r="P379" s="1" t="s">
        <v>44</v>
      </c>
      <c r="Q379">
        <v>3</v>
      </c>
      <c r="R379" s="1" t="s">
        <v>45</v>
      </c>
      <c r="S379">
        <v>2543</v>
      </c>
      <c r="T379">
        <v>11868</v>
      </c>
      <c r="U379">
        <v>4</v>
      </c>
      <c r="V379" s="1" t="s">
        <v>40</v>
      </c>
      <c r="W379">
        <v>13</v>
      </c>
      <c r="X379">
        <v>3</v>
      </c>
      <c r="Y379">
        <v>2</v>
      </c>
      <c r="Z379">
        <v>80</v>
      </c>
      <c r="AA379">
        <v>1</v>
      </c>
      <c r="AB379">
        <v>6</v>
      </c>
      <c r="AC379">
        <v>3</v>
      </c>
      <c r="AD379">
        <v>3</v>
      </c>
      <c r="AE379">
        <v>2</v>
      </c>
      <c r="AF379">
        <v>2</v>
      </c>
      <c r="AG379">
        <v>2</v>
      </c>
      <c r="AH379">
        <v>2</v>
      </c>
      <c r="AI379">
        <f>IF(tbl_HRData[[#This Row],[Attrition]] = "Yes",1,0)</f>
        <v>0</v>
      </c>
      <c r="AJ379">
        <f>IF(tbl_HRData[[#This Row],[Attrition]] = "No",1,0)</f>
        <v>1</v>
      </c>
      <c r="AK379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379" s="1" t="str">
        <f>IF(tbl_HRData[[#This Row],[MonthlyIncome]]&lt;5000,"Low",
IF(tbl_HRData[[#This Row],[MonthlyIncome]]&lt;10000,"Medium",
IF(tbl_HRData[[#This Row],[MonthlyIncome]]&lt;15000,"Upper Medium","High")))</f>
        <v>Low</v>
      </c>
      <c r="AM379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380" spans="1:39" x14ac:dyDescent="0.35">
      <c r="A380" s="1">
        <v>379</v>
      </c>
      <c r="B380">
        <v>34</v>
      </c>
      <c r="C380" s="1" t="s">
        <v>33</v>
      </c>
      <c r="D380" s="1" t="s">
        <v>52</v>
      </c>
      <c r="E380">
        <v>1362</v>
      </c>
      <c r="F380" s="1" t="s">
        <v>35</v>
      </c>
      <c r="G380">
        <v>19</v>
      </c>
      <c r="H380">
        <v>3</v>
      </c>
      <c r="I380" s="1" t="s">
        <v>56</v>
      </c>
      <c r="J380">
        <v>502</v>
      </c>
      <c r="K380">
        <v>1</v>
      </c>
      <c r="L380" s="1" t="s">
        <v>43</v>
      </c>
      <c r="M380">
        <v>67</v>
      </c>
      <c r="N380">
        <v>4</v>
      </c>
      <c r="O380">
        <v>2</v>
      </c>
      <c r="P380" s="1" t="s">
        <v>38</v>
      </c>
      <c r="Q380">
        <v>4</v>
      </c>
      <c r="R380" s="1" t="s">
        <v>39</v>
      </c>
      <c r="S380">
        <v>5304</v>
      </c>
      <c r="T380">
        <v>4652</v>
      </c>
      <c r="U380">
        <v>8</v>
      </c>
      <c r="V380" s="1" t="s">
        <v>33</v>
      </c>
      <c r="W380">
        <v>13</v>
      </c>
      <c r="X380">
        <v>3</v>
      </c>
      <c r="Y380">
        <v>2</v>
      </c>
      <c r="Z380">
        <v>80</v>
      </c>
      <c r="AA380">
        <v>0</v>
      </c>
      <c r="AB380">
        <v>9</v>
      </c>
      <c r="AC380">
        <v>3</v>
      </c>
      <c r="AD380">
        <v>2</v>
      </c>
      <c r="AE380">
        <v>5</v>
      </c>
      <c r="AF380">
        <v>2</v>
      </c>
      <c r="AG380">
        <v>0</v>
      </c>
      <c r="AH380">
        <v>4</v>
      </c>
      <c r="AI380">
        <f>IF(tbl_HRData[[#This Row],[Attrition]] = "Yes",1,0)</f>
        <v>1</v>
      </c>
      <c r="AJ380">
        <f>IF(tbl_HRData[[#This Row],[Attrition]] = "No",1,0)</f>
        <v>0</v>
      </c>
      <c r="AK380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380" s="1" t="str">
        <f>IF(tbl_HRData[[#This Row],[MonthlyIncome]]&lt;5000,"Low",
IF(tbl_HRData[[#This Row],[MonthlyIncome]]&lt;10000,"Medium",
IF(tbl_HRData[[#This Row],[MonthlyIncome]]&lt;15000,"Upper Medium","High")))</f>
        <v>Medium</v>
      </c>
      <c r="AM380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381" spans="1:39" x14ac:dyDescent="0.35">
      <c r="A381" s="1">
        <v>380</v>
      </c>
      <c r="B381">
        <v>55</v>
      </c>
      <c r="C381" s="1" t="s">
        <v>40</v>
      </c>
      <c r="D381" s="1" t="s">
        <v>34</v>
      </c>
      <c r="E381">
        <v>1311</v>
      </c>
      <c r="F381" s="1" t="s">
        <v>42</v>
      </c>
      <c r="G381">
        <v>2</v>
      </c>
      <c r="H381">
        <v>3</v>
      </c>
      <c r="I381" s="1" t="s">
        <v>36</v>
      </c>
      <c r="J381">
        <v>505</v>
      </c>
      <c r="K381">
        <v>3</v>
      </c>
      <c r="L381" s="1" t="s">
        <v>37</v>
      </c>
      <c r="M381">
        <v>97</v>
      </c>
      <c r="N381">
        <v>3</v>
      </c>
      <c r="O381">
        <v>4</v>
      </c>
      <c r="P381" s="1" t="s">
        <v>53</v>
      </c>
      <c r="Q381">
        <v>4</v>
      </c>
      <c r="R381" s="1" t="s">
        <v>39</v>
      </c>
      <c r="S381">
        <v>16659</v>
      </c>
      <c r="T381">
        <v>23258</v>
      </c>
      <c r="U381">
        <v>2</v>
      </c>
      <c r="V381" s="1" t="s">
        <v>33</v>
      </c>
      <c r="W381">
        <v>13</v>
      </c>
      <c r="X381">
        <v>3</v>
      </c>
      <c r="Y381">
        <v>3</v>
      </c>
      <c r="Z381">
        <v>80</v>
      </c>
      <c r="AA381">
        <v>0</v>
      </c>
      <c r="AB381">
        <v>30</v>
      </c>
      <c r="AC381">
        <v>2</v>
      </c>
      <c r="AD381">
        <v>3</v>
      </c>
      <c r="AE381">
        <v>5</v>
      </c>
      <c r="AF381">
        <v>4</v>
      </c>
      <c r="AG381">
        <v>1</v>
      </c>
      <c r="AH381">
        <v>2</v>
      </c>
      <c r="AI381">
        <f>IF(tbl_HRData[[#This Row],[Attrition]] = "Yes",1,0)</f>
        <v>0</v>
      </c>
      <c r="AJ381">
        <f>IF(tbl_HRData[[#This Row],[Attrition]] = "No",1,0)</f>
        <v>1</v>
      </c>
      <c r="AK381" t="str">
        <f>IF(tbl_HRData[[#This Row],[Age]] &lt; 25, "Under 25", IF(tbl_HRData[[#This Row],[Age]] &lt;= 34, "25-34", IF(tbl_HRData[[#This Row],[Age]] &lt;= 44, "35-44", IF(tbl_HRData[[#This Row],[Age]] &lt;= 54, "45-54", "55+"))))</f>
        <v>55+</v>
      </c>
      <c r="AL381" s="1" t="str">
        <f>IF(tbl_HRData[[#This Row],[MonthlyIncome]]&lt;5000,"Low",
IF(tbl_HRData[[#This Row],[MonthlyIncome]]&lt;10000,"Medium",
IF(tbl_HRData[[#This Row],[MonthlyIncome]]&lt;15000,"Upper Medium","High")))</f>
        <v>High</v>
      </c>
      <c r="AM381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382" spans="1:39" x14ac:dyDescent="0.35">
      <c r="A382" s="1">
        <v>381</v>
      </c>
      <c r="B382">
        <v>24</v>
      </c>
      <c r="C382" s="1" t="s">
        <v>40</v>
      </c>
      <c r="D382" s="1" t="s">
        <v>34</v>
      </c>
      <c r="E382">
        <v>1371</v>
      </c>
      <c r="F382" s="1" t="s">
        <v>35</v>
      </c>
      <c r="G382">
        <v>10</v>
      </c>
      <c r="H382">
        <v>4</v>
      </c>
      <c r="I382" s="1" t="s">
        <v>56</v>
      </c>
      <c r="J382">
        <v>507</v>
      </c>
      <c r="K382">
        <v>4</v>
      </c>
      <c r="L382" s="1" t="s">
        <v>37</v>
      </c>
      <c r="M382">
        <v>77</v>
      </c>
      <c r="N382">
        <v>3</v>
      </c>
      <c r="O382">
        <v>2</v>
      </c>
      <c r="P382" s="1" t="s">
        <v>38</v>
      </c>
      <c r="Q382">
        <v>3</v>
      </c>
      <c r="R382" s="1" t="s">
        <v>49</v>
      </c>
      <c r="S382">
        <v>4260</v>
      </c>
      <c r="T382">
        <v>5915</v>
      </c>
      <c r="U382">
        <v>1</v>
      </c>
      <c r="V382" s="1" t="s">
        <v>33</v>
      </c>
      <c r="W382">
        <v>12</v>
      </c>
      <c r="X382">
        <v>3</v>
      </c>
      <c r="Y382">
        <v>4</v>
      </c>
      <c r="Z382">
        <v>80</v>
      </c>
      <c r="AA382">
        <v>1</v>
      </c>
      <c r="AB382">
        <v>5</v>
      </c>
      <c r="AC382">
        <v>2</v>
      </c>
      <c r="AD382">
        <v>4</v>
      </c>
      <c r="AE382">
        <v>5</v>
      </c>
      <c r="AF382">
        <v>2</v>
      </c>
      <c r="AG382">
        <v>0</v>
      </c>
      <c r="AH382">
        <v>3</v>
      </c>
      <c r="AI382">
        <f>IF(tbl_HRData[[#This Row],[Attrition]] = "Yes",1,0)</f>
        <v>0</v>
      </c>
      <c r="AJ382">
        <f>IF(tbl_HRData[[#This Row],[Attrition]] = "No",1,0)</f>
        <v>1</v>
      </c>
      <c r="AK382" t="str">
        <f>IF(tbl_HRData[[#This Row],[Age]] &lt; 25, "Under 25", IF(tbl_HRData[[#This Row],[Age]] &lt;= 34, "25-34", IF(tbl_HRData[[#This Row],[Age]] &lt;= 44, "35-44", IF(tbl_HRData[[#This Row],[Age]] &lt;= 54, "45-54", "55+"))))</f>
        <v>Under 25</v>
      </c>
      <c r="AL382" s="1" t="str">
        <f>IF(tbl_HRData[[#This Row],[MonthlyIncome]]&lt;5000,"Low",
IF(tbl_HRData[[#This Row],[MonthlyIncome]]&lt;10000,"Medium",
IF(tbl_HRData[[#This Row],[MonthlyIncome]]&lt;15000,"Upper Medium","High")))</f>
        <v>Low</v>
      </c>
      <c r="AM382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383" spans="1:39" x14ac:dyDescent="0.35">
      <c r="A383" s="1">
        <v>382</v>
      </c>
      <c r="B383">
        <v>30</v>
      </c>
      <c r="C383" s="1" t="s">
        <v>40</v>
      </c>
      <c r="D383" s="1" t="s">
        <v>34</v>
      </c>
      <c r="E383">
        <v>202</v>
      </c>
      <c r="F383" s="1" t="s">
        <v>35</v>
      </c>
      <c r="G383">
        <v>2</v>
      </c>
      <c r="H383">
        <v>1</v>
      </c>
      <c r="I383" s="1" t="s">
        <v>57</v>
      </c>
      <c r="J383">
        <v>508</v>
      </c>
      <c r="K383">
        <v>3</v>
      </c>
      <c r="L383" s="1" t="s">
        <v>43</v>
      </c>
      <c r="M383">
        <v>72</v>
      </c>
      <c r="N383">
        <v>3</v>
      </c>
      <c r="O383">
        <v>1</v>
      </c>
      <c r="P383" s="1" t="s">
        <v>54</v>
      </c>
      <c r="Q383">
        <v>2</v>
      </c>
      <c r="R383" s="1" t="s">
        <v>45</v>
      </c>
      <c r="S383">
        <v>2476</v>
      </c>
      <c r="T383">
        <v>17434</v>
      </c>
      <c r="U383">
        <v>1</v>
      </c>
      <c r="V383" s="1" t="s">
        <v>40</v>
      </c>
      <c r="W383">
        <v>18</v>
      </c>
      <c r="X383">
        <v>3</v>
      </c>
      <c r="Y383">
        <v>1</v>
      </c>
      <c r="Z383">
        <v>80</v>
      </c>
      <c r="AA383">
        <v>1</v>
      </c>
      <c r="AB383">
        <v>1</v>
      </c>
      <c r="AC383">
        <v>3</v>
      </c>
      <c r="AD383">
        <v>3</v>
      </c>
      <c r="AE383">
        <v>1</v>
      </c>
      <c r="AF383">
        <v>0</v>
      </c>
      <c r="AG383">
        <v>0</v>
      </c>
      <c r="AH383">
        <v>0</v>
      </c>
      <c r="AI383">
        <f>IF(tbl_HRData[[#This Row],[Attrition]] = "Yes",1,0)</f>
        <v>0</v>
      </c>
      <c r="AJ383">
        <f>IF(tbl_HRData[[#This Row],[Attrition]] = "No",1,0)</f>
        <v>1</v>
      </c>
      <c r="AK383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383" s="1" t="str">
        <f>IF(tbl_HRData[[#This Row],[MonthlyIncome]]&lt;5000,"Low",
IF(tbl_HRData[[#This Row],[MonthlyIncome]]&lt;10000,"Medium",
IF(tbl_HRData[[#This Row],[MonthlyIncome]]&lt;15000,"Upper Medium","High")))</f>
        <v>Low</v>
      </c>
      <c r="AM383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384" spans="1:39" x14ac:dyDescent="0.35">
      <c r="A384" s="1">
        <v>383</v>
      </c>
      <c r="B384">
        <v>26</v>
      </c>
      <c r="C384" s="1" t="s">
        <v>33</v>
      </c>
      <c r="D384" s="1" t="s">
        <v>41</v>
      </c>
      <c r="E384">
        <v>575</v>
      </c>
      <c r="F384" s="1" t="s">
        <v>42</v>
      </c>
      <c r="G384">
        <v>3</v>
      </c>
      <c r="H384">
        <v>1</v>
      </c>
      <c r="I384" s="1" t="s">
        <v>57</v>
      </c>
      <c r="J384">
        <v>510</v>
      </c>
      <c r="K384">
        <v>3</v>
      </c>
      <c r="L384" s="1" t="s">
        <v>43</v>
      </c>
      <c r="M384">
        <v>73</v>
      </c>
      <c r="N384">
        <v>3</v>
      </c>
      <c r="O384">
        <v>1</v>
      </c>
      <c r="P384" s="1" t="s">
        <v>44</v>
      </c>
      <c r="Q384">
        <v>1</v>
      </c>
      <c r="R384" s="1" t="s">
        <v>39</v>
      </c>
      <c r="S384">
        <v>3102</v>
      </c>
      <c r="T384">
        <v>6582</v>
      </c>
      <c r="U384">
        <v>0</v>
      </c>
      <c r="V384" s="1" t="s">
        <v>40</v>
      </c>
      <c r="W384">
        <v>22</v>
      </c>
      <c r="X384">
        <v>4</v>
      </c>
      <c r="Y384">
        <v>3</v>
      </c>
      <c r="Z384">
        <v>80</v>
      </c>
      <c r="AA384">
        <v>0</v>
      </c>
      <c r="AB384">
        <v>7</v>
      </c>
      <c r="AC384">
        <v>2</v>
      </c>
      <c r="AD384">
        <v>3</v>
      </c>
      <c r="AE384">
        <v>6</v>
      </c>
      <c r="AF384">
        <v>4</v>
      </c>
      <c r="AG384">
        <v>0</v>
      </c>
      <c r="AH384">
        <v>4</v>
      </c>
      <c r="AI384">
        <f>IF(tbl_HRData[[#This Row],[Attrition]] = "Yes",1,0)</f>
        <v>1</v>
      </c>
      <c r="AJ384">
        <f>IF(tbl_HRData[[#This Row],[Attrition]] = "No",1,0)</f>
        <v>0</v>
      </c>
      <c r="AK384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384" s="1" t="str">
        <f>IF(tbl_HRData[[#This Row],[MonthlyIncome]]&lt;5000,"Low",
IF(tbl_HRData[[#This Row],[MonthlyIncome]]&lt;10000,"Medium",
IF(tbl_HRData[[#This Row],[MonthlyIncome]]&lt;15000,"Upper Medium","High")))</f>
        <v>Low</v>
      </c>
      <c r="AM384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385" spans="1:39" x14ac:dyDescent="0.35">
      <c r="A385" s="1">
        <v>384</v>
      </c>
      <c r="B385">
        <v>22</v>
      </c>
      <c r="C385" s="1" t="s">
        <v>40</v>
      </c>
      <c r="D385" s="1" t="s">
        <v>34</v>
      </c>
      <c r="E385">
        <v>253</v>
      </c>
      <c r="F385" s="1" t="s">
        <v>42</v>
      </c>
      <c r="G385">
        <v>11</v>
      </c>
      <c r="H385">
        <v>3</v>
      </c>
      <c r="I385" s="1" t="s">
        <v>48</v>
      </c>
      <c r="J385">
        <v>511</v>
      </c>
      <c r="K385">
        <v>1</v>
      </c>
      <c r="L385" s="1" t="s">
        <v>37</v>
      </c>
      <c r="M385">
        <v>43</v>
      </c>
      <c r="N385">
        <v>3</v>
      </c>
      <c r="O385">
        <v>1</v>
      </c>
      <c r="P385" s="1" t="s">
        <v>44</v>
      </c>
      <c r="Q385">
        <v>2</v>
      </c>
      <c r="R385" s="1" t="s">
        <v>45</v>
      </c>
      <c r="S385">
        <v>2244</v>
      </c>
      <c r="T385">
        <v>24440</v>
      </c>
      <c r="U385">
        <v>1</v>
      </c>
      <c r="V385" s="1" t="s">
        <v>40</v>
      </c>
      <c r="W385">
        <v>13</v>
      </c>
      <c r="X385">
        <v>3</v>
      </c>
      <c r="Y385">
        <v>4</v>
      </c>
      <c r="Z385">
        <v>80</v>
      </c>
      <c r="AA385">
        <v>1</v>
      </c>
      <c r="AB385">
        <v>2</v>
      </c>
      <c r="AC385">
        <v>1</v>
      </c>
      <c r="AD385">
        <v>3</v>
      </c>
      <c r="AE385">
        <v>2</v>
      </c>
      <c r="AF385">
        <v>1</v>
      </c>
      <c r="AG385">
        <v>1</v>
      </c>
      <c r="AH385">
        <v>2</v>
      </c>
      <c r="AI385">
        <f>IF(tbl_HRData[[#This Row],[Attrition]] = "Yes",1,0)</f>
        <v>0</v>
      </c>
      <c r="AJ385">
        <f>IF(tbl_HRData[[#This Row],[Attrition]] = "No",1,0)</f>
        <v>1</v>
      </c>
      <c r="AK385" t="str">
        <f>IF(tbl_HRData[[#This Row],[Age]] &lt; 25, "Under 25", IF(tbl_HRData[[#This Row],[Age]] &lt;= 34, "25-34", IF(tbl_HRData[[#This Row],[Age]] &lt;= 44, "35-44", IF(tbl_HRData[[#This Row],[Age]] &lt;= 54, "45-54", "55+"))))</f>
        <v>Under 25</v>
      </c>
      <c r="AL385" s="1" t="str">
        <f>IF(tbl_HRData[[#This Row],[MonthlyIncome]]&lt;5000,"Low",
IF(tbl_HRData[[#This Row],[MonthlyIncome]]&lt;10000,"Medium",
IF(tbl_HRData[[#This Row],[MonthlyIncome]]&lt;15000,"Upper Medium","High")))</f>
        <v>Low</v>
      </c>
      <c r="AM385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386" spans="1:39" x14ac:dyDescent="0.35">
      <c r="A386" s="1">
        <v>385</v>
      </c>
      <c r="B386">
        <v>36</v>
      </c>
      <c r="C386" s="1" t="s">
        <v>40</v>
      </c>
      <c r="D386" s="1" t="s">
        <v>34</v>
      </c>
      <c r="E386">
        <v>164</v>
      </c>
      <c r="F386" s="1" t="s">
        <v>35</v>
      </c>
      <c r="G386">
        <v>2</v>
      </c>
      <c r="H386">
        <v>2</v>
      </c>
      <c r="I386" s="1" t="s">
        <v>48</v>
      </c>
      <c r="J386">
        <v>513</v>
      </c>
      <c r="K386">
        <v>2</v>
      </c>
      <c r="L386" s="1" t="s">
        <v>43</v>
      </c>
      <c r="M386">
        <v>61</v>
      </c>
      <c r="N386">
        <v>2</v>
      </c>
      <c r="O386">
        <v>3</v>
      </c>
      <c r="P386" s="1" t="s">
        <v>38</v>
      </c>
      <c r="Q386">
        <v>3</v>
      </c>
      <c r="R386" s="1" t="s">
        <v>45</v>
      </c>
      <c r="S386">
        <v>7596</v>
      </c>
      <c r="T386">
        <v>3809</v>
      </c>
      <c r="U386">
        <v>1</v>
      </c>
      <c r="V386" s="1" t="s">
        <v>40</v>
      </c>
      <c r="W386">
        <v>13</v>
      </c>
      <c r="X386">
        <v>3</v>
      </c>
      <c r="Y386">
        <v>2</v>
      </c>
      <c r="Z386">
        <v>80</v>
      </c>
      <c r="AA386">
        <v>2</v>
      </c>
      <c r="AB386">
        <v>10</v>
      </c>
      <c r="AC386">
        <v>2</v>
      </c>
      <c r="AD386">
        <v>3</v>
      </c>
      <c r="AE386">
        <v>10</v>
      </c>
      <c r="AF386">
        <v>9</v>
      </c>
      <c r="AG386">
        <v>9</v>
      </c>
      <c r="AH386">
        <v>0</v>
      </c>
      <c r="AI386">
        <f>IF(tbl_HRData[[#This Row],[Attrition]] = "Yes",1,0)</f>
        <v>0</v>
      </c>
      <c r="AJ386">
        <f>IF(tbl_HRData[[#This Row],[Attrition]] = "No",1,0)</f>
        <v>1</v>
      </c>
      <c r="AK386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386" s="1" t="str">
        <f>IF(tbl_HRData[[#This Row],[MonthlyIncome]]&lt;5000,"Low",
IF(tbl_HRData[[#This Row],[MonthlyIncome]]&lt;10000,"Medium",
IF(tbl_HRData[[#This Row],[MonthlyIncome]]&lt;15000,"Upper Medium","High")))</f>
        <v>Medium</v>
      </c>
      <c r="AM386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387" spans="1:39" x14ac:dyDescent="0.35">
      <c r="A387" s="1">
        <v>386</v>
      </c>
      <c r="B387">
        <v>30</v>
      </c>
      <c r="C387" s="1" t="s">
        <v>33</v>
      </c>
      <c r="D387" s="1" t="s">
        <v>41</v>
      </c>
      <c r="E387">
        <v>464</v>
      </c>
      <c r="F387" s="1" t="s">
        <v>42</v>
      </c>
      <c r="G387">
        <v>4</v>
      </c>
      <c r="H387">
        <v>3</v>
      </c>
      <c r="I387" s="1" t="s">
        <v>57</v>
      </c>
      <c r="J387">
        <v>514</v>
      </c>
      <c r="K387">
        <v>3</v>
      </c>
      <c r="L387" s="1" t="s">
        <v>43</v>
      </c>
      <c r="M387">
        <v>40</v>
      </c>
      <c r="N387">
        <v>3</v>
      </c>
      <c r="O387">
        <v>1</v>
      </c>
      <c r="P387" s="1" t="s">
        <v>44</v>
      </c>
      <c r="Q387">
        <v>4</v>
      </c>
      <c r="R387" s="1" t="s">
        <v>39</v>
      </c>
      <c r="S387">
        <v>2285</v>
      </c>
      <c r="T387">
        <v>3427</v>
      </c>
      <c r="U387">
        <v>9</v>
      </c>
      <c r="V387" s="1" t="s">
        <v>33</v>
      </c>
      <c r="W387">
        <v>23</v>
      </c>
      <c r="X387">
        <v>4</v>
      </c>
      <c r="Y387">
        <v>3</v>
      </c>
      <c r="Z387">
        <v>80</v>
      </c>
      <c r="AA387">
        <v>0</v>
      </c>
      <c r="AB387">
        <v>3</v>
      </c>
      <c r="AC387">
        <v>4</v>
      </c>
      <c r="AD387">
        <v>3</v>
      </c>
      <c r="AE387">
        <v>1</v>
      </c>
      <c r="AF387">
        <v>0</v>
      </c>
      <c r="AG387">
        <v>0</v>
      </c>
      <c r="AH387">
        <v>0</v>
      </c>
      <c r="AI387">
        <f>IF(tbl_HRData[[#This Row],[Attrition]] = "Yes",1,0)</f>
        <v>1</v>
      </c>
      <c r="AJ387">
        <f>IF(tbl_HRData[[#This Row],[Attrition]] = "No",1,0)</f>
        <v>0</v>
      </c>
      <c r="AK387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387" s="1" t="str">
        <f>IF(tbl_HRData[[#This Row],[MonthlyIncome]]&lt;5000,"Low",
IF(tbl_HRData[[#This Row],[MonthlyIncome]]&lt;10000,"Medium",
IF(tbl_HRData[[#This Row],[MonthlyIncome]]&lt;15000,"Upper Medium","High")))</f>
        <v>Low</v>
      </c>
      <c r="AM387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388" spans="1:39" x14ac:dyDescent="0.35">
      <c r="A388" s="1">
        <v>387</v>
      </c>
      <c r="B388">
        <v>37</v>
      </c>
      <c r="C388" s="1" t="s">
        <v>40</v>
      </c>
      <c r="D388" s="1" t="s">
        <v>34</v>
      </c>
      <c r="E388">
        <v>1107</v>
      </c>
      <c r="F388" s="1" t="s">
        <v>42</v>
      </c>
      <c r="G388">
        <v>14</v>
      </c>
      <c r="H388">
        <v>3</v>
      </c>
      <c r="I388" s="1" t="s">
        <v>36</v>
      </c>
      <c r="J388">
        <v>515</v>
      </c>
      <c r="K388">
        <v>4</v>
      </c>
      <c r="L388" s="1" t="s">
        <v>37</v>
      </c>
      <c r="M388">
        <v>95</v>
      </c>
      <c r="N388">
        <v>3</v>
      </c>
      <c r="O388">
        <v>1</v>
      </c>
      <c r="P388" s="1" t="s">
        <v>47</v>
      </c>
      <c r="Q388">
        <v>1</v>
      </c>
      <c r="R388" s="1" t="s">
        <v>49</v>
      </c>
      <c r="S388">
        <v>3034</v>
      </c>
      <c r="T388">
        <v>26914</v>
      </c>
      <c r="U388">
        <v>1</v>
      </c>
      <c r="V388" s="1" t="s">
        <v>40</v>
      </c>
      <c r="W388">
        <v>12</v>
      </c>
      <c r="X388">
        <v>3</v>
      </c>
      <c r="Y388">
        <v>3</v>
      </c>
      <c r="Z388">
        <v>80</v>
      </c>
      <c r="AA388">
        <v>1</v>
      </c>
      <c r="AB388">
        <v>18</v>
      </c>
      <c r="AC388">
        <v>2</v>
      </c>
      <c r="AD388">
        <v>2</v>
      </c>
      <c r="AE388">
        <v>18</v>
      </c>
      <c r="AF388">
        <v>7</v>
      </c>
      <c r="AG388">
        <v>12</v>
      </c>
      <c r="AH388">
        <v>17</v>
      </c>
      <c r="AI388">
        <f>IF(tbl_HRData[[#This Row],[Attrition]] = "Yes",1,0)</f>
        <v>0</v>
      </c>
      <c r="AJ388">
        <f>IF(tbl_HRData[[#This Row],[Attrition]] = "No",1,0)</f>
        <v>1</v>
      </c>
      <c r="AK388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388" s="1" t="str">
        <f>IF(tbl_HRData[[#This Row],[MonthlyIncome]]&lt;5000,"Low",
IF(tbl_HRData[[#This Row],[MonthlyIncome]]&lt;10000,"Medium",
IF(tbl_HRData[[#This Row],[MonthlyIncome]]&lt;15000,"Upper Medium","High")))</f>
        <v>Low</v>
      </c>
      <c r="AM388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389" spans="1:39" x14ac:dyDescent="0.35">
      <c r="A389" s="1">
        <v>388</v>
      </c>
      <c r="B389">
        <v>40</v>
      </c>
      <c r="C389" s="1" t="s">
        <v>40</v>
      </c>
      <c r="D389" s="1" t="s">
        <v>34</v>
      </c>
      <c r="E389">
        <v>759</v>
      </c>
      <c r="F389" s="1" t="s">
        <v>35</v>
      </c>
      <c r="G389">
        <v>2</v>
      </c>
      <c r="H389">
        <v>2</v>
      </c>
      <c r="I389" s="1" t="s">
        <v>56</v>
      </c>
      <c r="J389">
        <v>516</v>
      </c>
      <c r="K389">
        <v>4</v>
      </c>
      <c r="L389" s="1" t="s">
        <v>37</v>
      </c>
      <c r="M389">
        <v>46</v>
      </c>
      <c r="N389">
        <v>3</v>
      </c>
      <c r="O389">
        <v>2</v>
      </c>
      <c r="P389" s="1" t="s">
        <v>38</v>
      </c>
      <c r="Q389">
        <v>2</v>
      </c>
      <c r="R389" s="1" t="s">
        <v>49</v>
      </c>
      <c r="S389">
        <v>5715</v>
      </c>
      <c r="T389">
        <v>22553</v>
      </c>
      <c r="U389">
        <v>7</v>
      </c>
      <c r="V389" s="1" t="s">
        <v>40</v>
      </c>
      <c r="W389">
        <v>12</v>
      </c>
      <c r="X389">
        <v>3</v>
      </c>
      <c r="Y389">
        <v>3</v>
      </c>
      <c r="Z389">
        <v>80</v>
      </c>
      <c r="AA389">
        <v>2</v>
      </c>
      <c r="AB389">
        <v>8</v>
      </c>
      <c r="AC389">
        <v>5</v>
      </c>
      <c r="AD389">
        <v>3</v>
      </c>
      <c r="AE389">
        <v>5</v>
      </c>
      <c r="AF389">
        <v>4</v>
      </c>
      <c r="AG389">
        <v>1</v>
      </c>
      <c r="AH389">
        <v>3</v>
      </c>
      <c r="AI389">
        <f>IF(tbl_HRData[[#This Row],[Attrition]] = "Yes",1,0)</f>
        <v>0</v>
      </c>
      <c r="AJ389">
        <f>IF(tbl_HRData[[#This Row],[Attrition]] = "No",1,0)</f>
        <v>1</v>
      </c>
      <c r="AK389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389" s="1" t="str">
        <f>IF(tbl_HRData[[#This Row],[MonthlyIncome]]&lt;5000,"Low",
IF(tbl_HRData[[#This Row],[MonthlyIncome]]&lt;10000,"Medium",
IF(tbl_HRData[[#This Row],[MonthlyIncome]]&lt;15000,"Upper Medium","High")))</f>
        <v>Medium</v>
      </c>
      <c r="AM389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390" spans="1:39" x14ac:dyDescent="0.35">
      <c r="A390" s="1">
        <v>389</v>
      </c>
      <c r="B390">
        <v>42</v>
      </c>
      <c r="C390" s="1" t="s">
        <v>40</v>
      </c>
      <c r="D390" s="1" t="s">
        <v>34</v>
      </c>
      <c r="E390">
        <v>201</v>
      </c>
      <c r="F390" s="1" t="s">
        <v>42</v>
      </c>
      <c r="G390">
        <v>1</v>
      </c>
      <c r="H390">
        <v>4</v>
      </c>
      <c r="I390" s="1" t="s">
        <v>36</v>
      </c>
      <c r="J390">
        <v>517</v>
      </c>
      <c r="K390">
        <v>2</v>
      </c>
      <c r="L390" s="1" t="s">
        <v>37</v>
      </c>
      <c r="M390">
        <v>95</v>
      </c>
      <c r="N390">
        <v>3</v>
      </c>
      <c r="O390">
        <v>1</v>
      </c>
      <c r="P390" s="1" t="s">
        <v>47</v>
      </c>
      <c r="Q390">
        <v>1</v>
      </c>
      <c r="R390" s="1" t="s">
        <v>49</v>
      </c>
      <c r="S390">
        <v>2576</v>
      </c>
      <c r="T390">
        <v>20490</v>
      </c>
      <c r="U390">
        <v>3</v>
      </c>
      <c r="V390" s="1" t="s">
        <v>40</v>
      </c>
      <c r="W390">
        <v>16</v>
      </c>
      <c r="X390">
        <v>3</v>
      </c>
      <c r="Y390">
        <v>2</v>
      </c>
      <c r="Z390">
        <v>80</v>
      </c>
      <c r="AA390">
        <v>1</v>
      </c>
      <c r="AB390">
        <v>8</v>
      </c>
      <c r="AC390">
        <v>5</v>
      </c>
      <c r="AD390">
        <v>3</v>
      </c>
      <c r="AE390">
        <v>5</v>
      </c>
      <c r="AF390">
        <v>2</v>
      </c>
      <c r="AG390">
        <v>1</v>
      </c>
      <c r="AH390">
        <v>2</v>
      </c>
      <c r="AI390">
        <f>IF(tbl_HRData[[#This Row],[Attrition]] = "Yes",1,0)</f>
        <v>0</v>
      </c>
      <c r="AJ390">
        <f>IF(tbl_HRData[[#This Row],[Attrition]] = "No",1,0)</f>
        <v>1</v>
      </c>
      <c r="AK390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390" s="1" t="str">
        <f>IF(tbl_HRData[[#This Row],[MonthlyIncome]]&lt;5000,"Low",
IF(tbl_HRData[[#This Row],[MonthlyIncome]]&lt;10000,"Medium",
IF(tbl_HRData[[#This Row],[MonthlyIncome]]&lt;15000,"Upper Medium","High")))</f>
        <v>Low</v>
      </c>
      <c r="AM390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391" spans="1:39" x14ac:dyDescent="0.35">
      <c r="A391" s="1">
        <v>390</v>
      </c>
      <c r="B391">
        <v>37</v>
      </c>
      <c r="C391" s="1" t="s">
        <v>40</v>
      </c>
      <c r="D391" s="1" t="s">
        <v>34</v>
      </c>
      <c r="E391">
        <v>1305</v>
      </c>
      <c r="F391" s="1" t="s">
        <v>42</v>
      </c>
      <c r="G391">
        <v>10</v>
      </c>
      <c r="H391">
        <v>4</v>
      </c>
      <c r="I391" s="1" t="s">
        <v>36</v>
      </c>
      <c r="J391">
        <v>518</v>
      </c>
      <c r="K391">
        <v>3</v>
      </c>
      <c r="L391" s="1" t="s">
        <v>43</v>
      </c>
      <c r="M391">
        <v>49</v>
      </c>
      <c r="N391">
        <v>3</v>
      </c>
      <c r="O391">
        <v>2</v>
      </c>
      <c r="P391" s="1" t="s">
        <v>50</v>
      </c>
      <c r="Q391">
        <v>2</v>
      </c>
      <c r="R391" s="1" t="s">
        <v>39</v>
      </c>
      <c r="S391">
        <v>4197</v>
      </c>
      <c r="T391">
        <v>21123</v>
      </c>
      <c r="U391">
        <v>2</v>
      </c>
      <c r="V391" s="1" t="s">
        <v>33</v>
      </c>
      <c r="W391">
        <v>12</v>
      </c>
      <c r="X391">
        <v>3</v>
      </c>
      <c r="Y391">
        <v>4</v>
      </c>
      <c r="Z391">
        <v>80</v>
      </c>
      <c r="AA391">
        <v>0</v>
      </c>
      <c r="AB391">
        <v>18</v>
      </c>
      <c r="AC391">
        <v>2</v>
      </c>
      <c r="AD391">
        <v>2</v>
      </c>
      <c r="AE391">
        <v>1</v>
      </c>
      <c r="AF391">
        <v>0</v>
      </c>
      <c r="AG391">
        <v>0</v>
      </c>
      <c r="AH391">
        <v>1</v>
      </c>
      <c r="AI391">
        <f>IF(tbl_HRData[[#This Row],[Attrition]] = "Yes",1,0)</f>
        <v>0</v>
      </c>
      <c r="AJ391">
        <f>IF(tbl_HRData[[#This Row],[Attrition]] = "No",1,0)</f>
        <v>1</v>
      </c>
      <c r="AK391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391" s="1" t="str">
        <f>IF(tbl_HRData[[#This Row],[MonthlyIncome]]&lt;5000,"Low",
IF(tbl_HRData[[#This Row],[MonthlyIncome]]&lt;10000,"Medium",
IF(tbl_HRData[[#This Row],[MonthlyIncome]]&lt;15000,"Upper Medium","High")))</f>
        <v>Low</v>
      </c>
      <c r="AM391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392" spans="1:39" x14ac:dyDescent="0.35">
      <c r="A392" s="1">
        <v>391</v>
      </c>
      <c r="B392">
        <v>43</v>
      </c>
      <c r="C392" s="1" t="s">
        <v>40</v>
      </c>
      <c r="D392" s="1" t="s">
        <v>34</v>
      </c>
      <c r="E392">
        <v>982</v>
      </c>
      <c r="F392" s="1" t="s">
        <v>42</v>
      </c>
      <c r="G392">
        <v>12</v>
      </c>
      <c r="H392">
        <v>3</v>
      </c>
      <c r="I392" s="1" t="s">
        <v>36</v>
      </c>
      <c r="J392">
        <v>520</v>
      </c>
      <c r="K392">
        <v>1</v>
      </c>
      <c r="L392" s="1" t="s">
        <v>43</v>
      </c>
      <c r="M392">
        <v>59</v>
      </c>
      <c r="N392">
        <v>2</v>
      </c>
      <c r="O392">
        <v>4</v>
      </c>
      <c r="P392" s="1" t="s">
        <v>55</v>
      </c>
      <c r="Q392">
        <v>2</v>
      </c>
      <c r="R392" s="1" t="s">
        <v>49</v>
      </c>
      <c r="S392">
        <v>14336</v>
      </c>
      <c r="T392">
        <v>4345</v>
      </c>
      <c r="U392">
        <v>1</v>
      </c>
      <c r="V392" s="1" t="s">
        <v>40</v>
      </c>
      <c r="W392">
        <v>11</v>
      </c>
      <c r="X392">
        <v>3</v>
      </c>
      <c r="Y392">
        <v>3</v>
      </c>
      <c r="Z392">
        <v>80</v>
      </c>
      <c r="AA392">
        <v>1</v>
      </c>
      <c r="AB392">
        <v>25</v>
      </c>
      <c r="AC392">
        <v>3</v>
      </c>
      <c r="AD392">
        <v>3</v>
      </c>
      <c r="AE392">
        <v>25</v>
      </c>
      <c r="AF392">
        <v>10</v>
      </c>
      <c r="AG392">
        <v>3</v>
      </c>
      <c r="AH392">
        <v>9</v>
      </c>
      <c r="AI392">
        <f>IF(tbl_HRData[[#This Row],[Attrition]] = "Yes",1,0)</f>
        <v>0</v>
      </c>
      <c r="AJ392">
        <f>IF(tbl_HRData[[#This Row],[Attrition]] = "No",1,0)</f>
        <v>1</v>
      </c>
      <c r="AK392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392" s="1" t="str">
        <f>IF(tbl_HRData[[#This Row],[MonthlyIncome]]&lt;5000,"Low",
IF(tbl_HRData[[#This Row],[MonthlyIncome]]&lt;10000,"Medium",
IF(tbl_HRData[[#This Row],[MonthlyIncome]]&lt;15000,"Upper Medium","High")))</f>
        <v>Upper Medium</v>
      </c>
      <c r="AM392" s="1" t="str">
        <f>IF(tbl_HRData[[#This Row],[YearsAtCompany]]&lt;=5,"0-5 Years",
IF(tbl_HRData[[#This Row],[YearsAtCompany]]&lt;=10,"6-10 Years",
IF(tbl_HRData[[#This Row],[YearsAtCompany]]&lt;=20,"11-20 Years","21+ Years")))</f>
        <v>21+ Years</v>
      </c>
    </row>
    <row r="393" spans="1:39" x14ac:dyDescent="0.35">
      <c r="A393" s="1">
        <v>392</v>
      </c>
      <c r="B393">
        <v>40</v>
      </c>
      <c r="C393" s="1" t="s">
        <v>40</v>
      </c>
      <c r="D393" s="1" t="s">
        <v>34</v>
      </c>
      <c r="E393">
        <v>555</v>
      </c>
      <c r="F393" s="1" t="s">
        <v>42</v>
      </c>
      <c r="G393">
        <v>2</v>
      </c>
      <c r="H393">
        <v>3</v>
      </c>
      <c r="I393" s="1" t="s">
        <v>48</v>
      </c>
      <c r="J393">
        <v>521</v>
      </c>
      <c r="K393">
        <v>2</v>
      </c>
      <c r="L393" s="1" t="s">
        <v>37</v>
      </c>
      <c r="M393">
        <v>78</v>
      </c>
      <c r="N393">
        <v>2</v>
      </c>
      <c r="O393">
        <v>2</v>
      </c>
      <c r="P393" s="1" t="s">
        <v>47</v>
      </c>
      <c r="Q393">
        <v>3</v>
      </c>
      <c r="R393" s="1" t="s">
        <v>45</v>
      </c>
      <c r="S393">
        <v>3448</v>
      </c>
      <c r="T393">
        <v>13436</v>
      </c>
      <c r="U393">
        <v>6</v>
      </c>
      <c r="V393" s="1" t="s">
        <v>40</v>
      </c>
      <c r="W393">
        <v>22</v>
      </c>
      <c r="X393">
        <v>4</v>
      </c>
      <c r="Y393">
        <v>2</v>
      </c>
      <c r="Z393">
        <v>80</v>
      </c>
      <c r="AA393">
        <v>1</v>
      </c>
      <c r="AB393">
        <v>20</v>
      </c>
      <c r="AC393">
        <v>3</v>
      </c>
      <c r="AD393">
        <v>3</v>
      </c>
      <c r="AE393">
        <v>1</v>
      </c>
      <c r="AF393">
        <v>0</v>
      </c>
      <c r="AG393">
        <v>0</v>
      </c>
      <c r="AH393">
        <v>0</v>
      </c>
      <c r="AI393">
        <f>IF(tbl_HRData[[#This Row],[Attrition]] = "Yes",1,0)</f>
        <v>0</v>
      </c>
      <c r="AJ393">
        <f>IF(tbl_HRData[[#This Row],[Attrition]] = "No",1,0)</f>
        <v>1</v>
      </c>
      <c r="AK393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393" s="1" t="str">
        <f>IF(tbl_HRData[[#This Row],[MonthlyIncome]]&lt;5000,"Low",
IF(tbl_HRData[[#This Row],[MonthlyIncome]]&lt;10000,"Medium",
IF(tbl_HRData[[#This Row],[MonthlyIncome]]&lt;15000,"Upper Medium","High")))</f>
        <v>Low</v>
      </c>
      <c r="AM393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394" spans="1:39" x14ac:dyDescent="0.35">
      <c r="A394" s="1">
        <v>393</v>
      </c>
      <c r="B394">
        <v>54</v>
      </c>
      <c r="C394" s="1" t="s">
        <v>40</v>
      </c>
      <c r="D394" s="1" t="s">
        <v>34</v>
      </c>
      <c r="E394">
        <v>821</v>
      </c>
      <c r="F394" s="1" t="s">
        <v>42</v>
      </c>
      <c r="G394">
        <v>5</v>
      </c>
      <c r="H394">
        <v>2</v>
      </c>
      <c r="I394" s="1" t="s">
        <v>48</v>
      </c>
      <c r="J394">
        <v>522</v>
      </c>
      <c r="K394">
        <v>1</v>
      </c>
      <c r="L394" s="1" t="s">
        <v>43</v>
      </c>
      <c r="M394">
        <v>86</v>
      </c>
      <c r="N394">
        <v>3</v>
      </c>
      <c r="O394">
        <v>5</v>
      </c>
      <c r="P394" s="1" t="s">
        <v>55</v>
      </c>
      <c r="Q394">
        <v>1</v>
      </c>
      <c r="R394" s="1" t="s">
        <v>45</v>
      </c>
      <c r="S394">
        <v>19406</v>
      </c>
      <c r="T394">
        <v>8509</v>
      </c>
      <c r="U394">
        <v>4</v>
      </c>
      <c r="V394" s="1" t="s">
        <v>40</v>
      </c>
      <c r="W394">
        <v>11</v>
      </c>
      <c r="X394">
        <v>3</v>
      </c>
      <c r="Y394">
        <v>3</v>
      </c>
      <c r="Z394">
        <v>80</v>
      </c>
      <c r="AA394">
        <v>1</v>
      </c>
      <c r="AB394">
        <v>24</v>
      </c>
      <c r="AC394">
        <v>4</v>
      </c>
      <c r="AD394">
        <v>2</v>
      </c>
      <c r="AE394">
        <v>4</v>
      </c>
      <c r="AF394">
        <v>2</v>
      </c>
      <c r="AG394">
        <v>1</v>
      </c>
      <c r="AH394">
        <v>2</v>
      </c>
      <c r="AI394">
        <f>IF(tbl_HRData[[#This Row],[Attrition]] = "Yes",1,0)</f>
        <v>0</v>
      </c>
      <c r="AJ394">
        <f>IF(tbl_HRData[[#This Row],[Attrition]] = "No",1,0)</f>
        <v>1</v>
      </c>
      <c r="AK394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394" s="1" t="str">
        <f>IF(tbl_HRData[[#This Row],[MonthlyIncome]]&lt;5000,"Low",
IF(tbl_HRData[[#This Row],[MonthlyIncome]]&lt;10000,"Medium",
IF(tbl_HRData[[#This Row],[MonthlyIncome]]&lt;15000,"Upper Medium","High")))</f>
        <v>High</v>
      </c>
      <c r="AM394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395" spans="1:39" x14ac:dyDescent="0.35">
      <c r="A395" s="1">
        <v>394</v>
      </c>
      <c r="B395">
        <v>34</v>
      </c>
      <c r="C395" s="1" t="s">
        <v>40</v>
      </c>
      <c r="D395" s="1" t="s">
        <v>52</v>
      </c>
      <c r="E395">
        <v>1381</v>
      </c>
      <c r="F395" s="1" t="s">
        <v>35</v>
      </c>
      <c r="G395">
        <v>4</v>
      </c>
      <c r="H395">
        <v>4</v>
      </c>
      <c r="I395" s="1" t="s">
        <v>56</v>
      </c>
      <c r="J395">
        <v>523</v>
      </c>
      <c r="K395">
        <v>3</v>
      </c>
      <c r="L395" s="1" t="s">
        <v>37</v>
      </c>
      <c r="M395">
        <v>72</v>
      </c>
      <c r="N395">
        <v>3</v>
      </c>
      <c r="O395">
        <v>2</v>
      </c>
      <c r="P395" s="1" t="s">
        <v>38</v>
      </c>
      <c r="Q395">
        <v>3</v>
      </c>
      <c r="R395" s="1" t="s">
        <v>45</v>
      </c>
      <c r="S395">
        <v>6538</v>
      </c>
      <c r="T395">
        <v>12740</v>
      </c>
      <c r="U395">
        <v>9</v>
      </c>
      <c r="V395" s="1" t="s">
        <v>40</v>
      </c>
      <c r="W395">
        <v>15</v>
      </c>
      <c r="X395">
        <v>3</v>
      </c>
      <c r="Y395">
        <v>1</v>
      </c>
      <c r="Z395">
        <v>80</v>
      </c>
      <c r="AA395">
        <v>1</v>
      </c>
      <c r="AB395">
        <v>6</v>
      </c>
      <c r="AC395">
        <v>3</v>
      </c>
      <c r="AD395">
        <v>3</v>
      </c>
      <c r="AE395">
        <v>3</v>
      </c>
      <c r="AF395">
        <v>2</v>
      </c>
      <c r="AG395">
        <v>1</v>
      </c>
      <c r="AH395">
        <v>2</v>
      </c>
      <c r="AI395">
        <f>IF(tbl_HRData[[#This Row],[Attrition]] = "Yes",1,0)</f>
        <v>0</v>
      </c>
      <c r="AJ395">
        <f>IF(tbl_HRData[[#This Row],[Attrition]] = "No",1,0)</f>
        <v>1</v>
      </c>
      <c r="AK395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395" s="1" t="str">
        <f>IF(tbl_HRData[[#This Row],[MonthlyIncome]]&lt;5000,"Low",
IF(tbl_HRData[[#This Row],[MonthlyIncome]]&lt;10000,"Medium",
IF(tbl_HRData[[#This Row],[MonthlyIncome]]&lt;15000,"Upper Medium","High")))</f>
        <v>Medium</v>
      </c>
      <c r="AM395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396" spans="1:39" x14ac:dyDescent="0.35">
      <c r="A396" s="1">
        <v>395</v>
      </c>
      <c r="B396">
        <v>31</v>
      </c>
      <c r="C396" s="1" t="s">
        <v>40</v>
      </c>
      <c r="D396" s="1" t="s">
        <v>34</v>
      </c>
      <c r="E396">
        <v>480</v>
      </c>
      <c r="F396" s="1" t="s">
        <v>42</v>
      </c>
      <c r="G396">
        <v>7</v>
      </c>
      <c r="H396">
        <v>2</v>
      </c>
      <c r="I396" s="1" t="s">
        <v>48</v>
      </c>
      <c r="J396">
        <v>524</v>
      </c>
      <c r="K396">
        <v>2</v>
      </c>
      <c r="L396" s="1" t="s">
        <v>37</v>
      </c>
      <c r="M396">
        <v>31</v>
      </c>
      <c r="N396">
        <v>3</v>
      </c>
      <c r="O396">
        <v>2</v>
      </c>
      <c r="P396" s="1" t="s">
        <v>50</v>
      </c>
      <c r="Q396">
        <v>1</v>
      </c>
      <c r="R396" s="1" t="s">
        <v>45</v>
      </c>
      <c r="S396">
        <v>4306</v>
      </c>
      <c r="T396">
        <v>4156</v>
      </c>
      <c r="U396">
        <v>1</v>
      </c>
      <c r="V396" s="1" t="s">
        <v>40</v>
      </c>
      <c r="W396">
        <v>12</v>
      </c>
      <c r="X396">
        <v>3</v>
      </c>
      <c r="Y396">
        <v>2</v>
      </c>
      <c r="Z396">
        <v>80</v>
      </c>
      <c r="AA396">
        <v>1</v>
      </c>
      <c r="AB396">
        <v>13</v>
      </c>
      <c r="AC396">
        <v>5</v>
      </c>
      <c r="AD396">
        <v>1</v>
      </c>
      <c r="AE396">
        <v>13</v>
      </c>
      <c r="AF396">
        <v>10</v>
      </c>
      <c r="AG396">
        <v>3</v>
      </c>
      <c r="AH396">
        <v>12</v>
      </c>
      <c r="AI396">
        <f>IF(tbl_HRData[[#This Row],[Attrition]] = "Yes",1,0)</f>
        <v>0</v>
      </c>
      <c r="AJ396">
        <f>IF(tbl_HRData[[#This Row],[Attrition]] = "No",1,0)</f>
        <v>1</v>
      </c>
      <c r="AK396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396" s="1" t="str">
        <f>IF(tbl_HRData[[#This Row],[MonthlyIncome]]&lt;5000,"Low",
IF(tbl_HRData[[#This Row],[MonthlyIncome]]&lt;10000,"Medium",
IF(tbl_HRData[[#This Row],[MonthlyIncome]]&lt;15000,"Upper Medium","High")))</f>
        <v>Low</v>
      </c>
      <c r="AM396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397" spans="1:39" x14ac:dyDescent="0.35">
      <c r="A397" s="1">
        <v>396</v>
      </c>
      <c r="B397">
        <v>43</v>
      </c>
      <c r="C397" s="1" t="s">
        <v>40</v>
      </c>
      <c r="D397" s="1" t="s">
        <v>41</v>
      </c>
      <c r="E397">
        <v>313</v>
      </c>
      <c r="F397" s="1" t="s">
        <v>42</v>
      </c>
      <c r="G397">
        <v>21</v>
      </c>
      <c r="H397">
        <v>3</v>
      </c>
      <c r="I397" s="1" t="s">
        <v>48</v>
      </c>
      <c r="J397">
        <v>525</v>
      </c>
      <c r="K397">
        <v>4</v>
      </c>
      <c r="L397" s="1" t="s">
        <v>43</v>
      </c>
      <c r="M397">
        <v>61</v>
      </c>
      <c r="N397">
        <v>3</v>
      </c>
      <c r="O397">
        <v>1</v>
      </c>
      <c r="P397" s="1" t="s">
        <v>47</v>
      </c>
      <c r="Q397">
        <v>4</v>
      </c>
      <c r="R397" s="1" t="s">
        <v>45</v>
      </c>
      <c r="S397">
        <v>2258</v>
      </c>
      <c r="T397">
        <v>15238</v>
      </c>
      <c r="U397">
        <v>7</v>
      </c>
      <c r="V397" s="1" t="s">
        <v>40</v>
      </c>
      <c r="W397">
        <v>20</v>
      </c>
      <c r="X397">
        <v>4</v>
      </c>
      <c r="Y397">
        <v>1</v>
      </c>
      <c r="Z397">
        <v>80</v>
      </c>
      <c r="AA397">
        <v>1</v>
      </c>
      <c r="AB397">
        <v>8</v>
      </c>
      <c r="AC397">
        <v>1</v>
      </c>
      <c r="AD397">
        <v>3</v>
      </c>
      <c r="AE397">
        <v>3</v>
      </c>
      <c r="AF397">
        <v>2</v>
      </c>
      <c r="AG397">
        <v>1</v>
      </c>
      <c r="AH397">
        <v>2</v>
      </c>
      <c r="AI397">
        <f>IF(tbl_HRData[[#This Row],[Attrition]] = "Yes",1,0)</f>
        <v>0</v>
      </c>
      <c r="AJ397">
        <f>IF(tbl_HRData[[#This Row],[Attrition]] = "No",1,0)</f>
        <v>1</v>
      </c>
      <c r="AK397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397" s="1" t="str">
        <f>IF(tbl_HRData[[#This Row],[MonthlyIncome]]&lt;5000,"Low",
IF(tbl_HRData[[#This Row],[MonthlyIncome]]&lt;10000,"Medium",
IF(tbl_HRData[[#This Row],[MonthlyIncome]]&lt;15000,"Upper Medium","High")))</f>
        <v>Low</v>
      </c>
      <c r="AM397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398" spans="1:39" x14ac:dyDescent="0.35">
      <c r="A398" s="1">
        <v>397</v>
      </c>
      <c r="B398">
        <v>43</v>
      </c>
      <c r="C398" s="1" t="s">
        <v>40</v>
      </c>
      <c r="D398" s="1" t="s">
        <v>34</v>
      </c>
      <c r="E398">
        <v>1473</v>
      </c>
      <c r="F398" s="1" t="s">
        <v>42</v>
      </c>
      <c r="G398">
        <v>8</v>
      </c>
      <c r="H398">
        <v>4</v>
      </c>
      <c r="I398" s="1" t="s">
        <v>46</v>
      </c>
      <c r="J398">
        <v>526</v>
      </c>
      <c r="K398">
        <v>3</v>
      </c>
      <c r="L398" s="1" t="s">
        <v>37</v>
      </c>
      <c r="M398">
        <v>74</v>
      </c>
      <c r="N398">
        <v>3</v>
      </c>
      <c r="O398">
        <v>2</v>
      </c>
      <c r="P398" s="1" t="s">
        <v>51</v>
      </c>
      <c r="Q398">
        <v>3</v>
      </c>
      <c r="R398" s="1" t="s">
        <v>49</v>
      </c>
      <c r="S398">
        <v>4522</v>
      </c>
      <c r="T398">
        <v>2227</v>
      </c>
      <c r="U398">
        <v>4</v>
      </c>
      <c r="V398" s="1" t="s">
        <v>33</v>
      </c>
      <c r="W398">
        <v>14</v>
      </c>
      <c r="X398">
        <v>3</v>
      </c>
      <c r="Y398">
        <v>4</v>
      </c>
      <c r="Z398">
        <v>80</v>
      </c>
      <c r="AA398">
        <v>0</v>
      </c>
      <c r="AB398">
        <v>8</v>
      </c>
      <c r="AC398">
        <v>3</v>
      </c>
      <c r="AD398">
        <v>3</v>
      </c>
      <c r="AE398">
        <v>5</v>
      </c>
      <c r="AF398">
        <v>2</v>
      </c>
      <c r="AG398">
        <v>0</v>
      </c>
      <c r="AH398">
        <v>2</v>
      </c>
      <c r="AI398">
        <f>IF(tbl_HRData[[#This Row],[Attrition]] = "Yes",1,0)</f>
        <v>0</v>
      </c>
      <c r="AJ398">
        <f>IF(tbl_HRData[[#This Row],[Attrition]] = "No",1,0)</f>
        <v>1</v>
      </c>
      <c r="AK398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398" s="1" t="str">
        <f>IF(tbl_HRData[[#This Row],[MonthlyIncome]]&lt;5000,"Low",
IF(tbl_HRData[[#This Row],[MonthlyIncome]]&lt;10000,"Medium",
IF(tbl_HRData[[#This Row],[MonthlyIncome]]&lt;15000,"Upper Medium","High")))</f>
        <v>Low</v>
      </c>
      <c r="AM398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399" spans="1:39" x14ac:dyDescent="0.35">
      <c r="A399" s="1">
        <v>398</v>
      </c>
      <c r="B399">
        <v>25</v>
      </c>
      <c r="C399" s="1" t="s">
        <v>40</v>
      </c>
      <c r="D399" s="1" t="s">
        <v>34</v>
      </c>
      <c r="E399">
        <v>891</v>
      </c>
      <c r="F399" s="1" t="s">
        <v>35</v>
      </c>
      <c r="G399">
        <v>4</v>
      </c>
      <c r="H399">
        <v>2</v>
      </c>
      <c r="I399" s="1" t="s">
        <v>36</v>
      </c>
      <c r="J399">
        <v>527</v>
      </c>
      <c r="K399">
        <v>2</v>
      </c>
      <c r="L399" s="1" t="s">
        <v>37</v>
      </c>
      <c r="M399">
        <v>99</v>
      </c>
      <c r="N399">
        <v>2</v>
      </c>
      <c r="O399">
        <v>2</v>
      </c>
      <c r="P399" s="1" t="s">
        <v>38</v>
      </c>
      <c r="Q399">
        <v>4</v>
      </c>
      <c r="R399" s="1" t="s">
        <v>39</v>
      </c>
      <c r="S399">
        <v>4487</v>
      </c>
      <c r="T399">
        <v>12090</v>
      </c>
      <c r="U399">
        <v>1</v>
      </c>
      <c r="V399" s="1" t="s">
        <v>33</v>
      </c>
      <c r="W399">
        <v>11</v>
      </c>
      <c r="X399">
        <v>3</v>
      </c>
      <c r="Y399">
        <v>2</v>
      </c>
      <c r="Z399">
        <v>80</v>
      </c>
      <c r="AA399">
        <v>0</v>
      </c>
      <c r="AB399">
        <v>5</v>
      </c>
      <c r="AC399">
        <v>3</v>
      </c>
      <c r="AD399">
        <v>3</v>
      </c>
      <c r="AE399">
        <v>5</v>
      </c>
      <c r="AF399">
        <v>4</v>
      </c>
      <c r="AG399">
        <v>1</v>
      </c>
      <c r="AH399">
        <v>3</v>
      </c>
      <c r="AI399">
        <f>IF(tbl_HRData[[#This Row],[Attrition]] = "Yes",1,0)</f>
        <v>0</v>
      </c>
      <c r="AJ399">
        <f>IF(tbl_HRData[[#This Row],[Attrition]] = "No",1,0)</f>
        <v>1</v>
      </c>
      <c r="AK399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399" s="1" t="str">
        <f>IF(tbl_HRData[[#This Row],[MonthlyIncome]]&lt;5000,"Low",
IF(tbl_HRData[[#This Row],[MonthlyIncome]]&lt;10000,"Medium",
IF(tbl_HRData[[#This Row],[MonthlyIncome]]&lt;15000,"Upper Medium","High")))</f>
        <v>Low</v>
      </c>
      <c r="AM399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400" spans="1:39" x14ac:dyDescent="0.35">
      <c r="A400" s="1">
        <v>399</v>
      </c>
      <c r="B400">
        <v>37</v>
      </c>
      <c r="C400" s="1" t="s">
        <v>40</v>
      </c>
      <c r="D400" s="1" t="s">
        <v>52</v>
      </c>
      <c r="E400">
        <v>1063</v>
      </c>
      <c r="F400" s="1" t="s">
        <v>42</v>
      </c>
      <c r="G400">
        <v>25</v>
      </c>
      <c r="H400">
        <v>5</v>
      </c>
      <c r="I400" s="1" t="s">
        <v>48</v>
      </c>
      <c r="J400">
        <v>529</v>
      </c>
      <c r="K400">
        <v>2</v>
      </c>
      <c r="L400" s="1" t="s">
        <v>37</v>
      </c>
      <c r="M400">
        <v>72</v>
      </c>
      <c r="N400">
        <v>3</v>
      </c>
      <c r="O400">
        <v>2</v>
      </c>
      <c r="P400" s="1" t="s">
        <v>44</v>
      </c>
      <c r="Q400">
        <v>3</v>
      </c>
      <c r="R400" s="1" t="s">
        <v>45</v>
      </c>
      <c r="S400">
        <v>4449</v>
      </c>
      <c r="T400">
        <v>23866</v>
      </c>
      <c r="U400">
        <v>3</v>
      </c>
      <c r="V400" s="1" t="s">
        <v>33</v>
      </c>
      <c r="W400">
        <v>15</v>
      </c>
      <c r="X400">
        <v>3</v>
      </c>
      <c r="Y400">
        <v>1</v>
      </c>
      <c r="Z400">
        <v>80</v>
      </c>
      <c r="AA400">
        <v>2</v>
      </c>
      <c r="AB400">
        <v>15</v>
      </c>
      <c r="AC400">
        <v>2</v>
      </c>
      <c r="AD400">
        <v>3</v>
      </c>
      <c r="AE400">
        <v>13</v>
      </c>
      <c r="AF400">
        <v>11</v>
      </c>
      <c r="AG400">
        <v>10</v>
      </c>
      <c r="AH400">
        <v>7</v>
      </c>
      <c r="AI400">
        <f>IF(tbl_HRData[[#This Row],[Attrition]] = "Yes",1,0)</f>
        <v>0</v>
      </c>
      <c r="AJ400">
        <f>IF(tbl_HRData[[#This Row],[Attrition]] = "No",1,0)</f>
        <v>1</v>
      </c>
      <c r="AK400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400" s="1" t="str">
        <f>IF(tbl_HRData[[#This Row],[MonthlyIncome]]&lt;5000,"Low",
IF(tbl_HRData[[#This Row],[MonthlyIncome]]&lt;10000,"Medium",
IF(tbl_HRData[[#This Row],[MonthlyIncome]]&lt;15000,"Upper Medium","High")))</f>
        <v>Low</v>
      </c>
      <c r="AM400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401" spans="1:39" x14ac:dyDescent="0.35">
      <c r="A401" s="1">
        <v>400</v>
      </c>
      <c r="B401">
        <v>31</v>
      </c>
      <c r="C401" s="1" t="s">
        <v>40</v>
      </c>
      <c r="D401" s="1" t="s">
        <v>34</v>
      </c>
      <c r="E401">
        <v>329</v>
      </c>
      <c r="F401" s="1" t="s">
        <v>42</v>
      </c>
      <c r="G401">
        <v>1</v>
      </c>
      <c r="H401">
        <v>2</v>
      </c>
      <c r="I401" s="1" t="s">
        <v>36</v>
      </c>
      <c r="J401">
        <v>530</v>
      </c>
      <c r="K401">
        <v>4</v>
      </c>
      <c r="L401" s="1" t="s">
        <v>43</v>
      </c>
      <c r="M401">
        <v>98</v>
      </c>
      <c r="N401">
        <v>2</v>
      </c>
      <c r="O401">
        <v>1</v>
      </c>
      <c r="P401" s="1" t="s">
        <v>47</v>
      </c>
      <c r="Q401">
        <v>1</v>
      </c>
      <c r="R401" s="1" t="s">
        <v>45</v>
      </c>
      <c r="S401">
        <v>2218</v>
      </c>
      <c r="T401">
        <v>16193</v>
      </c>
      <c r="U401">
        <v>1</v>
      </c>
      <c r="V401" s="1" t="s">
        <v>40</v>
      </c>
      <c r="W401">
        <v>12</v>
      </c>
      <c r="X401">
        <v>3</v>
      </c>
      <c r="Y401">
        <v>3</v>
      </c>
      <c r="Z401">
        <v>80</v>
      </c>
      <c r="AA401">
        <v>1</v>
      </c>
      <c r="AB401">
        <v>4</v>
      </c>
      <c r="AC401">
        <v>3</v>
      </c>
      <c r="AD401">
        <v>3</v>
      </c>
      <c r="AE401">
        <v>4</v>
      </c>
      <c r="AF401">
        <v>2</v>
      </c>
      <c r="AG401">
        <v>3</v>
      </c>
      <c r="AH401">
        <v>2</v>
      </c>
      <c r="AI401">
        <f>IF(tbl_HRData[[#This Row],[Attrition]] = "Yes",1,0)</f>
        <v>0</v>
      </c>
      <c r="AJ401">
        <f>IF(tbl_HRData[[#This Row],[Attrition]] = "No",1,0)</f>
        <v>1</v>
      </c>
      <c r="AK401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401" s="1" t="str">
        <f>IF(tbl_HRData[[#This Row],[MonthlyIncome]]&lt;5000,"Low",
IF(tbl_HRData[[#This Row],[MonthlyIncome]]&lt;10000,"Medium",
IF(tbl_HRData[[#This Row],[MonthlyIncome]]&lt;15000,"Upper Medium","High")))</f>
        <v>Low</v>
      </c>
      <c r="AM401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402" spans="1:39" x14ac:dyDescent="0.35">
      <c r="A402" s="1">
        <v>401</v>
      </c>
      <c r="B402">
        <v>39</v>
      </c>
      <c r="C402" s="1" t="s">
        <v>40</v>
      </c>
      <c r="D402" s="1" t="s">
        <v>41</v>
      </c>
      <c r="E402">
        <v>1218</v>
      </c>
      <c r="F402" s="1" t="s">
        <v>42</v>
      </c>
      <c r="G402">
        <v>1</v>
      </c>
      <c r="H402">
        <v>1</v>
      </c>
      <c r="I402" s="1" t="s">
        <v>36</v>
      </c>
      <c r="J402">
        <v>531</v>
      </c>
      <c r="K402">
        <v>2</v>
      </c>
      <c r="L402" s="1" t="s">
        <v>43</v>
      </c>
      <c r="M402">
        <v>52</v>
      </c>
      <c r="N402">
        <v>3</v>
      </c>
      <c r="O402">
        <v>5</v>
      </c>
      <c r="P402" s="1" t="s">
        <v>53</v>
      </c>
      <c r="Q402">
        <v>3</v>
      </c>
      <c r="R402" s="1" t="s">
        <v>49</v>
      </c>
      <c r="S402">
        <v>19197</v>
      </c>
      <c r="T402">
        <v>8213</v>
      </c>
      <c r="U402">
        <v>1</v>
      </c>
      <c r="V402" s="1" t="s">
        <v>33</v>
      </c>
      <c r="W402">
        <v>14</v>
      </c>
      <c r="X402">
        <v>3</v>
      </c>
      <c r="Y402">
        <v>3</v>
      </c>
      <c r="Z402">
        <v>80</v>
      </c>
      <c r="AA402">
        <v>1</v>
      </c>
      <c r="AB402">
        <v>21</v>
      </c>
      <c r="AC402">
        <v>3</v>
      </c>
      <c r="AD402">
        <v>3</v>
      </c>
      <c r="AE402">
        <v>21</v>
      </c>
      <c r="AF402">
        <v>8</v>
      </c>
      <c r="AG402">
        <v>1</v>
      </c>
      <c r="AH402">
        <v>6</v>
      </c>
      <c r="AI402">
        <f>IF(tbl_HRData[[#This Row],[Attrition]] = "Yes",1,0)</f>
        <v>0</v>
      </c>
      <c r="AJ402">
        <f>IF(tbl_HRData[[#This Row],[Attrition]] = "No",1,0)</f>
        <v>1</v>
      </c>
      <c r="AK402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402" s="1" t="str">
        <f>IF(tbl_HRData[[#This Row],[MonthlyIncome]]&lt;5000,"Low",
IF(tbl_HRData[[#This Row],[MonthlyIncome]]&lt;10000,"Medium",
IF(tbl_HRData[[#This Row],[MonthlyIncome]]&lt;15000,"Upper Medium","High")))</f>
        <v>High</v>
      </c>
      <c r="AM402" s="1" t="str">
        <f>IF(tbl_HRData[[#This Row],[YearsAtCompany]]&lt;=5,"0-5 Years",
IF(tbl_HRData[[#This Row],[YearsAtCompany]]&lt;=10,"6-10 Years",
IF(tbl_HRData[[#This Row],[YearsAtCompany]]&lt;=20,"11-20 Years","21+ Years")))</f>
        <v>21+ Years</v>
      </c>
    </row>
    <row r="403" spans="1:39" x14ac:dyDescent="0.35">
      <c r="A403" s="1">
        <v>402</v>
      </c>
      <c r="B403">
        <v>56</v>
      </c>
      <c r="C403" s="1" t="s">
        <v>40</v>
      </c>
      <c r="D403" s="1" t="s">
        <v>41</v>
      </c>
      <c r="E403">
        <v>906</v>
      </c>
      <c r="F403" s="1" t="s">
        <v>35</v>
      </c>
      <c r="G403">
        <v>6</v>
      </c>
      <c r="H403">
        <v>3</v>
      </c>
      <c r="I403" s="1" t="s">
        <v>36</v>
      </c>
      <c r="J403">
        <v>532</v>
      </c>
      <c r="K403">
        <v>3</v>
      </c>
      <c r="L403" s="1" t="s">
        <v>37</v>
      </c>
      <c r="M403">
        <v>86</v>
      </c>
      <c r="N403">
        <v>4</v>
      </c>
      <c r="O403">
        <v>4</v>
      </c>
      <c r="P403" s="1" t="s">
        <v>38</v>
      </c>
      <c r="Q403">
        <v>1</v>
      </c>
      <c r="R403" s="1" t="s">
        <v>45</v>
      </c>
      <c r="S403">
        <v>13212</v>
      </c>
      <c r="T403">
        <v>18256</v>
      </c>
      <c r="U403">
        <v>9</v>
      </c>
      <c r="V403" s="1" t="s">
        <v>40</v>
      </c>
      <c r="W403">
        <v>11</v>
      </c>
      <c r="X403">
        <v>3</v>
      </c>
      <c r="Y403">
        <v>4</v>
      </c>
      <c r="Z403">
        <v>80</v>
      </c>
      <c r="AA403">
        <v>3</v>
      </c>
      <c r="AB403">
        <v>36</v>
      </c>
      <c r="AC403">
        <v>0</v>
      </c>
      <c r="AD403">
        <v>2</v>
      </c>
      <c r="AE403">
        <v>7</v>
      </c>
      <c r="AF403">
        <v>7</v>
      </c>
      <c r="AG403">
        <v>7</v>
      </c>
      <c r="AH403">
        <v>7</v>
      </c>
      <c r="AI403">
        <f>IF(tbl_HRData[[#This Row],[Attrition]] = "Yes",1,0)</f>
        <v>0</v>
      </c>
      <c r="AJ403">
        <f>IF(tbl_HRData[[#This Row],[Attrition]] = "No",1,0)</f>
        <v>1</v>
      </c>
      <c r="AK403" t="str">
        <f>IF(tbl_HRData[[#This Row],[Age]] &lt; 25, "Under 25", IF(tbl_HRData[[#This Row],[Age]] &lt;= 34, "25-34", IF(tbl_HRData[[#This Row],[Age]] &lt;= 44, "35-44", IF(tbl_HRData[[#This Row],[Age]] &lt;= 54, "45-54", "55+"))))</f>
        <v>55+</v>
      </c>
      <c r="AL403" s="1" t="str">
        <f>IF(tbl_HRData[[#This Row],[MonthlyIncome]]&lt;5000,"Low",
IF(tbl_HRData[[#This Row],[MonthlyIncome]]&lt;10000,"Medium",
IF(tbl_HRData[[#This Row],[MonthlyIncome]]&lt;15000,"Upper Medium","High")))</f>
        <v>Upper Medium</v>
      </c>
      <c r="AM403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404" spans="1:39" x14ac:dyDescent="0.35">
      <c r="A404" s="1">
        <v>403</v>
      </c>
      <c r="B404">
        <v>30</v>
      </c>
      <c r="C404" s="1" t="s">
        <v>40</v>
      </c>
      <c r="D404" s="1" t="s">
        <v>34</v>
      </c>
      <c r="E404">
        <v>1082</v>
      </c>
      <c r="F404" s="1" t="s">
        <v>35</v>
      </c>
      <c r="G404">
        <v>12</v>
      </c>
      <c r="H404">
        <v>3</v>
      </c>
      <c r="I404" s="1" t="s">
        <v>57</v>
      </c>
      <c r="J404">
        <v>533</v>
      </c>
      <c r="K404">
        <v>2</v>
      </c>
      <c r="L404" s="1" t="s">
        <v>37</v>
      </c>
      <c r="M404">
        <v>83</v>
      </c>
      <c r="N404">
        <v>3</v>
      </c>
      <c r="O404">
        <v>2</v>
      </c>
      <c r="P404" s="1" t="s">
        <v>38</v>
      </c>
      <c r="Q404">
        <v>3</v>
      </c>
      <c r="R404" s="1" t="s">
        <v>39</v>
      </c>
      <c r="S404">
        <v>6577</v>
      </c>
      <c r="T404">
        <v>19558</v>
      </c>
      <c r="U404">
        <v>0</v>
      </c>
      <c r="V404" s="1" t="s">
        <v>40</v>
      </c>
      <c r="W404">
        <v>11</v>
      </c>
      <c r="X404">
        <v>3</v>
      </c>
      <c r="Y404">
        <v>2</v>
      </c>
      <c r="Z404">
        <v>80</v>
      </c>
      <c r="AA404">
        <v>0</v>
      </c>
      <c r="AB404">
        <v>6</v>
      </c>
      <c r="AC404">
        <v>6</v>
      </c>
      <c r="AD404">
        <v>3</v>
      </c>
      <c r="AE404">
        <v>5</v>
      </c>
      <c r="AF404">
        <v>4</v>
      </c>
      <c r="AG404">
        <v>4</v>
      </c>
      <c r="AH404">
        <v>4</v>
      </c>
      <c r="AI404">
        <f>IF(tbl_HRData[[#This Row],[Attrition]] = "Yes",1,0)</f>
        <v>0</v>
      </c>
      <c r="AJ404">
        <f>IF(tbl_HRData[[#This Row],[Attrition]] = "No",1,0)</f>
        <v>1</v>
      </c>
      <c r="AK404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404" s="1" t="str">
        <f>IF(tbl_HRData[[#This Row],[MonthlyIncome]]&lt;5000,"Low",
IF(tbl_HRData[[#This Row],[MonthlyIncome]]&lt;10000,"Medium",
IF(tbl_HRData[[#This Row],[MonthlyIncome]]&lt;15000,"Upper Medium","High")))</f>
        <v>Medium</v>
      </c>
      <c r="AM404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405" spans="1:39" x14ac:dyDescent="0.35">
      <c r="A405" s="1">
        <v>404</v>
      </c>
      <c r="B405">
        <v>41</v>
      </c>
      <c r="C405" s="1" t="s">
        <v>40</v>
      </c>
      <c r="D405" s="1" t="s">
        <v>34</v>
      </c>
      <c r="E405">
        <v>645</v>
      </c>
      <c r="F405" s="1" t="s">
        <v>35</v>
      </c>
      <c r="G405">
        <v>1</v>
      </c>
      <c r="H405">
        <v>3</v>
      </c>
      <c r="I405" s="1" t="s">
        <v>56</v>
      </c>
      <c r="J405">
        <v>534</v>
      </c>
      <c r="K405">
        <v>2</v>
      </c>
      <c r="L405" s="1" t="s">
        <v>43</v>
      </c>
      <c r="M405">
        <v>49</v>
      </c>
      <c r="N405">
        <v>4</v>
      </c>
      <c r="O405">
        <v>3</v>
      </c>
      <c r="P405" s="1" t="s">
        <v>38</v>
      </c>
      <c r="Q405">
        <v>1</v>
      </c>
      <c r="R405" s="1" t="s">
        <v>45</v>
      </c>
      <c r="S405">
        <v>8392</v>
      </c>
      <c r="T405">
        <v>19566</v>
      </c>
      <c r="U405">
        <v>1</v>
      </c>
      <c r="V405" s="1" t="s">
        <v>40</v>
      </c>
      <c r="W405">
        <v>16</v>
      </c>
      <c r="X405">
        <v>3</v>
      </c>
      <c r="Y405">
        <v>3</v>
      </c>
      <c r="Z405">
        <v>80</v>
      </c>
      <c r="AA405">
        <v>1</v>
      </c>
      <c r="AB405">
        <v>10</v>
      </c>
      <c r="AC405">
        <v>2</v>
      </c>
      <c r="AD405">
        <v>3</v>
      </c>
      <c r="AE405">
        <v>10</v>
      </c>
      <c r="AF405">
        <v>7</v>
      </c>
      <c r="AG405">
        <v>0</v>
      </c>
      <c r="AH405">
        <v>7</v>
      </c>
      <c r="AI405">
        <f>IF(tbl_HRData[[#This Row],[Attrition]] = "Yes",1,0)</f>
        <v>0</v>
      </c>
      <c r="AJ405">
        <f>IF(tbl_HRData[[#This Row],[Attrition]] = "No",1,0)</f>
        <v>1</v>
      </c>
      <c r="AK405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405" s="1" t="str">
        <f>IF(tbl_HRData[[#This Row],[MonthlyIncome]]&lt;5000,"Low",
IF(tbl_HRData[[#This Row],[MonthlyIncome]]&lt;10000,"Medium",
IF(tbl_HRData[[#This Row],[MonthlyIncome]]&lt;15000,"Upper Medium","High")))</f>
        <v>Medium</v>
      </c>
      <c r="AM405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406" spans="1:39" x14ac:dyDescent="0.35">
      <c r="A406" s="1">
        <v>405</v>
      </c>
      <c r="B406">
        <v>28</v>
      </c>
      <c r="C406" s="1" t="s">
        <v>40</v>
      </c>
      <c r="D406" s="1" t="s">
        <v>34</v>
      </c>
      <c r="E406">
        <v>1300</v>
      </c>
      <c r="F406" s="1" t="s">
        <v>42</v>
      </c>
      <c r="G406">
        <v>17</v>
      </c>
      <c r="H406">
        <v>2</v>
      </c>
      <c r="I406" s="1" t="s">
        <v>48</v>
      </c>
      <c r="J406">
        <v>536</v>
      </c>
      <c r="K406">
        <v>3</v>
      </c>
      <c r="L406" s="1" t="s">
        <v>43</v>
      </c>
      <c r="M406">
        <v>79</v>
      </c>
      <c r="N406">
        <v>3</v>
      </c>
      <c r="O406">
        <v>2</v>
      </c>
      <c r="P406" s="1" t="s">
        <v>47</v>
      </c>
      <c r="Q406">
        <v>1</v>
      </c>
      <c r="R406" s="1" t="s">
        <v>49</v>
      </c>
      <c r="S406">
        <v>4558</v>
      </c>
      <c r="T406">
        <v>13535</v>
      </c>
      <c r="U406">
        <v>1</v>
      </c>
      <c r="V406" s="1" t="s">
        <v>40</v>
      </c>
      <c r="W406">
        <v>12</v>
      </c>
      <c r="X406">
        <v>3</v>
      </c>
      <c r="Y406">
        <v>4</v>
      </c>
      <c r="Z406">
        <v>80</v>
      </c>
      <c r="AA406">
        <v>1</v>
      </c>
      <c r="AB406">
        <v>10</v>
      </c>
      <c r="AC406">
        <v>2</v>
      </c>
      <c r="AD406">
        <v>3</v>
      </c>
      <c r="AE406">
        <v>10</v>
      </c>
      <c r="AF406">
        <v>0</v>
      </c>
      <c r="AG406">
        <v>1</v>
      </c>
      <c r="AH406">
        <v>8</v>
      </c>
      <c r="AI406">
        <f>IF(tbl_HRData[[#This Row],[Attrition]] = "Yes",1,0)</f>
        <v>0</v>
      </c>
      <c r="AJ406">
        <f>IF(tbl_HRData[[#This Row],[Attrition]] = "No",1,0)</f>
        <v>1</v>
      </c>
      <c r="AK406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406" s="1" t="str">
        <f>IF(tbl_HRData[[#This Row],[MonthlyIncome]]&lt;5000,"Low",
IF(tbl_HRData[[#This Row],[MonthlyIncome]]&lt;10000,"Medium",
IF(tbl_HRData[[#This Row],[MonthlyIncome]]&lt;15000,"Upper Medium","High")))</f>
        <v>Low</v>
      </c>
      <c r="AM406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407" spans="1:39" x14ac:dyDescent="0.35">
      <c r="A407" s="1">
        <v>406</v>
      </c>
      <c r="B407">
        <v>25</v>
      </c>
      <c r="C407" s="1" t="s">
        <v>33</v>
      </c>
      <c r="D407" s="1" t="s">
        <v>34</v>
      </c>
      <c r="E407">
        <v>688</v>
      </c>
      <c r="F407" s="1" t="s">
        <v>42</v>
      </c>
      <c r="G407">
        <v>3</v>
      </c>
      <c r="H407">
        <v>3</v>
      </c>
      <c r="I407" s="1" t="s">
        <v>48</v>
      </c>
      <c r="J407">
        <v>538</v>
      </c>
      <c r="K407">
        <v>1</v>
      </c>
      <c r="L407" s="1" t="s">
        <v>43</v>
      </c>
      <c r="M407">
        <v>91</v>
      </c>
      <c r="N407">
        <v>3</v>
      </c>
      <c r="O407">
        <v>1</v>
      </c>
      <c r="P407" s="1" t="s">
        <v>47</v>
      </c>
      <c r="Q407">
        <v>1</v>
      </c>
      <c r="R407" s="1" t="s">
        <v>45</v>
      </c>
      <c r="S407">
        <v>4031</v>
      </c>
      <c r="T407">
        <v>9396</v>
      </c>
      <c r="U407">
        <v>5</v>
      </c>
      <c r="V407" s="1" t="s">
        <v>40</v>
      </c>
      <c r="W407">
        <v>13</v>
      </c>
      <c r="X407">
        <v>3</v>
      </c>
      <c r="Y407">
        <v>3</v>
      </c>
      <c r="Z407">
        <v>80</v>
      </c>
      <c r="AA407">
        <v>1</v>
      </c>
      <c r="AB407">
        <v>6</v>
      </c>
      <c r="AC407">
        <v>5</v>
      </c>
      <c r="AD407">
        <v>3</v>
      </c>
      <c r="AE407">
        <v>2</v>
      </c>
      <c r="AF407">
        <v>2</v>
      </c>
      <c r="AG407">
        <v>0</v>
      </c>
      <c r="AH407">
        <v>2</v>
      </c>
      <c r="AI407">
        <f>IF(tbl_HRData[[#This Row],[Attrition]] = "Yes",1,0)</f>
        <v>1</v>
      </c>
      <c r="AJ407">
        <f>IF(tbl_HRData[[#This Row],[Attrition]] = "No",1,0)</f>
        <v>0</v>
      </c>
      <c r="AK407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407" s="1" t="str">
        <f>IF(tbl_HRData[[#This Row],[MonthlyIncome]]&lt;5000,"Low",
IF(tbl_HRData[[#This Row],[MonthlyIncome]]&lt;10000,"Medium",
IF(tbl_HRData[[#This Row],[MonthlyIncome]]&lt;15000,"Upper Medium","High")))</f>
        <v>Low</v>
      </c>
      <c r="AM407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408" spans="1:39" x14ac:dyDescent="0.35">
      <c r="A408" s="1">
        <v>407</v>
      </c>
      <c r="B408">
        <v>52</v>
      </c>
      <c r="C408" s="1" t="s">
        <v>40</v>
      </c>
      <c r="D408" s="1" t="s">
        <v>34</v>
      </c>
      <c r="E408">
        <v>319</v>
      </c>
      <c r="F408" s="1" t="s">
        <v>42</v>
      </c>
      <c r="G408">
        <v>3</v>
      </c>
      <c r="H408">
        <v>3</v>
      </c>
      <c r="I408" s="1" t="s">
        <v>48</v>
      </c>
      <c r="J408">
        <v>543</v>
      </c>
      <c r="K408">
        <v>4</v>
      </c>
      <c r="L408" s="1" t="s">
        <v>43</v>
      </c>
      <c r="M408">
        <v>39</v>
      </c>
      <c r="N408">
        <v>2</v>
      </c>
      <c r="O408">
        <v>3</v>
      </c>
      <c r="P408" s="1" t="s">
        <v>50</v>
      </c>
      <c r="Q408">
        <v>3</v>
      </c>
      <c r="R408" s="1" t="s">
        <v>45</v>
      </c>
      <c r="S408">
        <v>7969</v>
      </c>
      <c r="T408">
        <v>19609</v>
      </c>
      <c r="U408">
        <v>2</v>
      </c>
      <c r="V408" s="1" t="s">
        <v>33</v>
      </c>
      <c r="W408">
        <v>14</v>
      </c>
      <c r="X408">
        <v>3</v>
      </c>
      <c r="Y408">
        <v>3</v>
      </c>
      <c r="Z408">
        <v>80</v>
      </c>
      <c r="AA408">
        <v>0</v>
      </c>
      <c r="AB408">
        <v>28</v>
      </c>
      <c r="AC408">
        <v>4</v>
      </c>
      <c r="AD408">
        <v>3</v>
      </c>
      <c r="AE408">
        <v>5</v>
      </c>
      <c r="AF408">
        <v>4</v>
      </c>
      <c r="AG408">
        <v>0</v>
      </c>
      <c r="AH408">
        <v>4</v>
      </c>
      <c r="AI408">
        <f>IF(tbl_HRData[[#This Row],[Attrition]] = "Yes",1,0)</f>
        <v>0</v>
      </c>
      <c r="AJ408">
        <f>IF(tbl_HRData[[#This Row],[Attrition]] = "No",1,0)</f>
        <v>1</v>
      </c>
      <c r="AK408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408" s="1" t="str">
        <f>IF(tbl_HRData[[#This Row],[MonthlyIncome]]&lt;5000,"Low",
IF(tbl_HRData[[#This Row],[MonthlyIncome]]&lt;10000,"Medium",
IF(tbl_HRData[[#This Row],[MonthlyIncome]]&lt;15000,"Upper Medium","High")))</f>
        <v>Medium</v>
      </c>
      <c r="AM408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409" spans="1:39" x14ac:dyDescent="0.35">
      <c r="A409" s="1">
        <v>408</v>
      </c>
      <c r="B409">
        <v>45</v>
      </c>
      <c r="C409" s="1" t="s">
        <v>40</v>
      </c>
      <c r="D409" s="1" t="s">
        <v>34</v>
      </c>
      <c r="E409">
        <v>192</v>
      </c>
      <c r="F409" s="1" t="s">
        <v>42</v>
      </c>
      <c r="G409">
        <v>10</v>
      </c>
      <c r="H409">
        <v>2</v>
      </c>
      <c r="I409" s="1" t="s">
        <v>36</v>
      </c>
      <c r="J409">
        <v>544</v>
      </c>
      <c r="K409">
        <v>1</v>
      </c>
      <c r="L409" s="1" t="s">
        <v>43</v>
      </c>
      <c r="M409">
        <v>69</v>
      </c>
      <c r="N409">
        <v>3</v>
      </c>
      <c r="O409">
        <v>1</v>
      </c>
      <c r="P409" s="1" t="s">
        <v>44</v>
      </c>
      <c r="Q409">
        <v>4</v>
      </c>
      <c r="R409" s="1" t="s">
        <v>45</v>
      </c>
      <c r="S409">
        <v>2654</v>
      </c>
      <c r="T409">
        <v>9655</v>
      </c>
      <c r="U409">
        <v>3</v>
      </c>
      <c r="V409" s="1" t="s">
        <v>40</v>
      </c>
      <c r="W409">
        <v>21</v>
      </c>
      <c r="X409">
        <v>4</v>
      </c>
      <c r="Y409">
        <v>4</v>
      </c>
      <c r="Z409">
        <v>80</v>
      </c>
      <c r="AA409">
        <v>2</v>
      </c>
      <c r="AB409">
        <v>8</v>
      </c>
      <c r="AC409">
        <v>3</v>
      </c>
      <c r="AD409">
        <v>2</v>
      </c>
      <c r="AE409">
        <v>2</v>
      </c>
      <c r="AF409">
        <v>2</v>
      </c>
      <c r="AG409">
        <v>0</v>
      </c>
      <c r="AH409">
        <v>2</v>
      </c>
      <c r="AI409">
        <f>IF(tbl_HRData[[#This Row],[Attrition]] = "Yes",1,0)</f>
        <v>0</v>
      </c>
      <c r="AJ409">
        <f>IF(tbl_HRData[[#This Row],[Attrition]] = "No",1,0)</f>
        <v>1</v>
      </c>
      <c r="AK409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409" s="1" t="str">
        <f>IF(tbl_HRData[[#This Row],[MonthlyIncome]]&lt;5000,"Low",
IF(tbl_HRData[[#This Row],[MonthlyIncome]]&lt;10000,"Medium",
IF(tbl_HRData[[#This Row],[MonthlyIncome]]&lt;15000,"Upper Medium","High")))</f>
        <v>Low</v>
      </c>
      <c r="AM409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410" spans="1:39" x14ac:dyDescent="0.35">
      <c r="A410" s="1">
        <v>409</v>
      </c>
      <c r="B410">
        <v>52</v>
      </c>
      <c r="C410" s="1" t="s">
        <v>40</v>
      </c>
      <c r="D410" s="1" t="s">
        <v>34</v>
      </c>
      <c r="E410">
        <v>1490</v>
      </c>
      <c r="F410" s="1" t="s">
        <v>42</v>
      </c>
      <c r="G410">
        <v>4</v>
      </c>
      <c r="H410">
        <v>2</v>
      </c>
      <c r="I410" s="1" t="s">
        <v>36</v>
      </c>
      <c r="J410">
        <v>546</v>
      </c>
      <c r="K410">
        <v>4</v>
      </c>
      <c r="L410" s="1" t="s">
        <v>37</v>
      </c>
      <c r="M410">
        <v>30</v>
      </c>
      <c r="N410">
        <v>3</v>
      </c>
      <c r="O410">
        <v>4</v>
      </c>
      <c r="P410" s="1" t="s">
        <v>53</v>
      </c>
      <c r="Q410">
        <v>4</v>
      </c>
      <c r="R410" s="1" t="s">
        <v>45</v>
      </c>
      <c r="S410">
        <v>16555</v>
      </c>
      <c r="T410">
        <v>10310</v>
      </c>
      <c r="U410">
        <v>2</v>
      </c>
      <c r="V410" s="1" t="s">
        <v>40</v>
      </c>
      <c r="W410">
        <v>13</v>
      </c>
      <c r="X410">
        <v>3</v>
      </c>
      <c r="Y410">
        <v>4</v>
      </c>
      <c r="Z410">
        <v>80</v>
      </c>
      <c r="AA410">
        <v>0</v>
      </c>
      <c r="AB410">
        <v>31</v>
      </c>
      <c r="AC410">
        <v>2</v>
      </c>
      <c r="AD410">
        <v>1</v>
      </c>
      <c r="AE410">
        <v>5</v>
      </c>
      <c r="AF410">
        <v>2</v>
      </c>
      <c r="AG410">
        <v>1</v>
      </c>
      <c r="AH410">
        <v>4</v>
      </c>
      <c r="AI410">
        <f>IF(tbl_HRData[[#This Row],[Attrition]] = "Yes",1,0)</f>
        <v>0</v>
      </c>
      <c r="AJ410">
        <f>IF(tbl_HRData[[#This Row],[Attrition]] = "No",1,0)</f>
        <v>1</v>
      </c>
      <c r="AK410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410" s="1" t="str">
        <f>IF(tbl_HRData[[#This Row],[MonthlyIncome]]&lt;5000,"Low",
IF(tbl_HRData[[#This Row],[MonthlyIncome]]&lt;10000,"Medium",
IF(tbl_HRData[[#This Row],[MonthlyIncome]]&lt;15000,"Upper Medium","High")))</f>
        <v>High</v>
      </c>
      <c r="AM410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411" spans="1:39" x14ac:dyDescent="0.35">
      <c r="A411" s="1">
        <v>410</v>
      </c>
      <c r="B411">
        <v>42</v>
      </c>
      <c r="C411" s="1" t="s">
        <v>40</v>
      </c>
      <c r="D411" s="1" t="s">
        <v>41</v>
      </c>
      <c r="E411">
        <v>532</v>
      </c>
      <c r="F411" s="1" t="s">
        <v>42</v>
      </c>
      <c r="G411">
        <v>29</v>
      </c>
      <c r="H411">
        <v>2</v>
      </c>
      <c r="I411" s="1" t="s">
        <v>36</v>
      </c>
      <c r="J411">
        <v>547</v>
      </c>
      <c r="K411">
        <v>1</v>
      </c>
      <c r="L411" s="1" t="s">
        <v>37</v>
      </c>
      <c r="M411">
        <v>92</v>
      </c>
      <c r="N411">
        <v>3</v>
      </c>
      <c r="O411">
        <v>2</v>
      </c>
      <c r="P411" s="1" t="s">
        <v>44</v>
      </c>
      <c r="Q411">
        <v>3</v>
      </c>
      <c r="R411" s="1" t="s">
        <v>49</v>
      </c>
      <c r="S411">
        <v>4556</v>
      </c>
      <c r="T411">
        <v>12932</v>
      </c>
      <c r="U411">
        <v>2</v>
      </c>
      <c r="V411" s="1" t="s">
        <v>40</v>
      </c>
      <c r="W411">
        <v>11</v>
      </c>
      <c r="X411">
        <v>3</v>
      </c>
      <c r="Y411">
        <v>2</v>
      </c>
      <c r="Z411">
        <v>80</v>
      </c>
      <c r="AA411">
        <v>1</v>
      </c>
      <c r="AB411">
        <v>19</v>
      </c>
      <c r="AC411">
        <v>3</v>
      </c>
      <c r="AD411">
        <v>3</v>
      </c>
      <c r="AE411">
        <v>5</v>
      </c>
      <c r="AF411">
        <v>4</v>
      </c>
      <c r="AG411">
        <v>0</v>
      </c>
      <c r="AH411">
        <v>2</v>
      </c>
      <c r="AI411">
        <f>IF(tbl_HRData[[#This Row],[Attrition]] = "Yes",1,0)</f>
        <v>0</v>
      </c>
      <c r="AJ411">
        <f>IF(tbl_HRData[[#This Row],[Attrition]] = "No",1,0)</f>
        <v>1</v>
      </c>
      <c r="AK411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411" s="1" t="str">
        <f>IF(tbl_HRData[[#This Row],[MonthlyIncome]]&lt;5000,"Low",
IF(tbl_HRData[[#This Row],[MonthlyIncome]]&lt;10000,"Medium",
IF(tbl_HRData[[#This Row],[MonthlyIncome]]&lt;15000,"Upper Medium","High")))</f>
        <v>Low</v>
      </c>
      <c r="AM411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412" spans="1:39" x14ac:dyDescent="0.35">
      <c r="A412" s="1">
        <v>411</v>
      </c>
      <c r="B412">
        <v>30</v>
      </c>
      <c r="C412" s="1" t="s">
        <v>40</v>
      </c>
      <c r="D412" s="1" t="s">
        <v>34</v>
      </c>
      <c r="E412">
        <v>317</v>
      </c>
      <c r="F412" s="1" t="s">
        <v>42</v>
      </c>
      <c r="G412">
        <v>2</v>
      </c>
      <c r="H412">
        <v>3</v>
      </c>
      <c r="I412" s="1" t="s">
        <v>36</v>
      </c>
      <c r="J412">
        <v>548</v>
      </c>
      <c r="K412">
        <v>3</v>
      </c>
      <c r="L412" s="1" t="s">
        <v>37</v>
      </c>
      <c r="M412">
        <v>43</v>
      </c>
      <c r="N412">
        <v>1</v>
      </c>
      <c r="O412">
        <v>2</v>
      </c>
      <c r="P412" s="1" t="s">
        <v>50</v>
      </c>
      <c r="Q412">
        <v>4</v>
      </c>
      <c r="R412" s="1" t="s">
        <v>39</v>
      </c>
      <c r="S412">
        <v>6091</v>
      </c>
      <c r="T412">
        <v>24793</v>
      </c>
      <c r="U412">
        <v>2</v>
      </c>
      <c r="V412" s="1" t="s">
        <v>40</v>
      </c>
      <c r="W412">
        <v>20</v>
      </c>
      <c r="X412">
        <v>4</v>
      </c>
      <c r="Y412">
        <v>3</v>
      </c>
      <c r="Z412">
        <v>80</v>
      </c>
      <c r="AA412">
        <v>0</v>
      </c>
      <c r="AB412">
        <v>11</v>
      </c>
      <c r="AC412">
        <v>2</v>
      </c>
      <c r="AD412">
        <v>3</v>
      </c>
      <c r="AE412">
        <v>5</v>
      </c>
      <c r="AF412">
        <v>4</v>
      </c>
      <c r="AG412">
        <v>0</v>
      </c>
      <c r="AH412">
        <v>2</v>
      </c>
      <c r="AI412">
        <f>IF(tbl_HRData[[#This Row],[Attrition]] = "Yes",1,0)</f>
        <v>0</v>
      </c>
      <c r="AJ412">
        <f>IF(tbl_HRData[[#This Row],[Attrition]] = "No",1,0)</f>
        <v>1</v>
      </c>
      <c r="AK412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412" s="1" t="str">
        <f>IF(tbl_HRData[[#This Row],[MonthlyIncome]]&lt;5000,"Low",
IF(tbl_HRData[[#This Row],[MonthlyIncome]]&lt;10000,"Medium",
IF(tbl_HRData[[#This Row],[MonthlyIncome]]&lt;15000,"Upper Medium","High")))</f>
        <v>Medium</v>
      </c>
      <c r="AM412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413" spans="1:39" x14ac:dyDescent="0.35">
      <c r="A413" s="1">
        <v>412</v>
      </c>
      <c r="B413">
        <v>60</v>
      </c>
      <c r="C413" s="1" t="s">
        <v>40</v>
      </c>
      <c r="D413" s="1" t="s">
        <v>34</v>
      </c>
      <c r="E413">
        <v>422</v>
      </c>
      <c r="F413" s="1" t="s">
        <v>42</v>
      </c>
      <c r="G413">
        <v>7</v>
      </c>
      <c r="H413">
        <v>3</v>
      </c>
      <c r="I413" s="1" t="s">
        <v>36</v>
      </c>
      <c r="J413">
        <v>549</v>
      </c>
      <c r="K413">
        <v>1</v>
      </c>
      <c r="L413" s="1" t="s">
        <v>37</v>
      </c>
      <c r="M413">
        <v>41</v>
      </c>
      <c r="N413">
        <v>3</v>
      </c>
      <c r="O413">
        <v>5</v>
      </c>
      <c r="P413" s="1" t="s">
        <v>53</v>
      </c>
      <c r="Q413">
        <v>1</v>
      </c>
      <c r="R413" s="1" t="s">
        <v>45</v>
      </c>
      <c r="S413">
        <v>19566</v>
      </c>
      <c r="T413">
        <v>3854</v>
      </c>
      <c r="U413">
        <v>5</v>
      </c>
      <c r="V413" s="1" t="s">
        <v>40</v>
      </c>
      <c r="W413">
        <v>11</v>
      </c>
      <c r="X413">
        <v>3</v>
      </c>
      <c r="Y413">
        <v>4</v>
      </c>
      <c r="Z413">
        <v>80</v>
      </c>
      <c r="AA413">
        <v>0</v>
      </c>
      <c r="AB413">
        <v>33</v>
      </c>
      <c r="AC413">
        <v>5</v>
      </c>
      <c r="AD413">
        <v>1</v>
      </c>
      <c r="AE413">
        <v>29</v>
      </c>
      <c r="AF413">
        <v>8</v>
      </c>
      <c r="AG413">
        <v>11</v>
      </c>
      <c r="AH413">
        <v>10</v>
      </c>
      <c r="AI413">
        <f>IF(tbl_HRData[[#This Row],[Attrition]] = "Yes",1,0)</f>
        <v>0</v>
      </c>
      <c r="AJ413">
        <f>IF(tbl_HRData[[#This Row],[Attrition]] = "No",1,0)</f>
        <v>1</v>
      </c>
      <c r="AK413" t="str">
        <f>IF(tbl_HRData[[#This Row],[Age]] &lt; 25, "Under 25", IF(tbl_HRData[[#This Row],[Age]] &lt;= 34, "25-34", IF(tbl_HRData[[#This Row],[Age]] &lt;= 44, "35-44", IF(tbl_HRData[[#This Row],[Age]] &lt;= 54, "45-54", "55+"))))</f>
        <v>55+</v>
      </c>
      <c r="AL413" s="1" t="str">
        <f>IF(tbl_HRData[[#This Row],[MonthlyIncome]]&lt;5000,"Low",
IF(tbl_HRData[[#This Row],[MonthlyIncome]]&lt;10000,"Medium",
IF(tbl_HRData[[#This Row],[MonthlyIncome]]&lt;15000,"Upper Medium","High")))</f>
        <v>High</v>
      </c>
      <c r="AM413" s="1" t="str">
        <f>IF(tbl_HRData[[#This Row],[YearsAtCompany]]&lt;=5,"0-5 Years",
IF(tbl_HRData[[#This Row],[YearsAtCompany]]&lt;=10,"6-10 Years",
IF(tbl_HRData[[#This Row],[YearsAtCompany]]&lt;=20,"11-20 Years","21+ Years")))</f>
        <v>21+ Years</v>
      </c>
    </row>
    <row r="414" spans="1:39" x14ac:dyDescent="0.35">
      <c r="A414" s="1">
        <v>413</v>
      </c>
      <c r="B414">
        <v>46</v>
      </c>
      <c r="C414" s="1" t="s">
        <v>40</v>
      </c>
      <c r="D414" s="1" t="s">
        <v>34</v>
      </c>
      <c r="E414">
        <v>1485</v>
      </c>
      <c r="F414" s="1" t="s">
        <v>42</v>
      </c>
      <c r="G414">
        <v>18</v>
      </c>
      <c r="H414">
        <v>3</v>
      </c>
      <c r="I414" s="1" t="s">
        <v>48</v>
      </c>
      <c r="J414">
        <v>550</v>
      </c>
      <c r="K414">
        <v>3</v>
      </c>
      <c r="L414" s="1" t="s">
        <v>37</v>
      </c>
      <c r="M414">
        <v>87</v>
      </c>
      <c r="N414">
        <v>3</v>
      </c>
      <c r="O414">
        <v>2</v>
      </c>
      <c r="P414" s="1" t="s">
        <v>50</v>
      </c>
      <c r="Q414">
        <v>3</v>
      </c>
      <c r="R414" s="1" t="s">
        <v>49</v>
      </c>
      <c r="S414">
        <v>4810</v>
      </c>
      <c r="T414">
        <v>26314</v>
      </c>
      <c r="U414">
        <v>2</v>
      </c>
      <c r="V414" s="1" t="s">
        <v>40</v>
      </c>
      <c r="W414">
        <v>14</v>
      </c>
      <c r="X414">
        <v>3</v>
      </c>
      <c r="Y414">
        <v>3</v>
      </c>
      <c r="Z414">
        <v>80</v>
      </c>
      <c r="AA414">
        <v>1</v>
      </c>
      <c r="AB414">
        <v>19</v>
      </c>
      <c r="AC414">
        <v>5</v>
      </c>
      <c r="AD414">
        <v>2</v>
      </c>
      <c r="AE414">
        <v>10</v>
      </c>
      <c r="AF414">
        <v>7</v>
      </c>
      <c r="AG414">
        <v>0</v>
      </c>
      <c r="AH414">
        <v>8</v>
      </c>
      <c r="AI414">
        <f>IF(tbl_HRData[[#This Row],[Attrition]] = "Yes",1,0)</f>
        <v>0</v>
      </c>
      <c r="AJ414">
        <f>IF(tbl_HRData[[#This Row],[Attrition]] = "No",1,0)</f>
        <v>1</v>
      </c>
      <c r="AK414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414" s="1" t="str">
        <f>IF(tbl_HRData[[#This Row],[MonthlyIncome]]&lt;5000,"Low",
IF(tbl_HRData[[#This Row],[MonthlyIncome]]&lt;10000,"Medium",
IF(tbl_HRData[[#This Row],[MonthlyIncome]]&lt;15000,"Upper Medium","High")))</f>
        <v>Low</v>
      </c>
      <c r="AM414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415" spans="1:39" x14ac:dyDescent="0.35">
      <c r="A415" s="1">
        <v>414</v>
      </c>
      <c r="B415">
        <v>42</v>
      </c>
      <c r="C415" s="1" t="s">
        <v>40</v>
      </c>
      <c r="D415" s="1" t="s">
        <v>41</v>
      </c>
      <c r="E415">
        <v>1368</v>
      </c>
      <c r="F415" s="1" t="s">
        <v>42</v>
      </c>
      <c r="G415">
        <v>28</v>
      </c>
      <c r="H415">
        <v>4</v>
      </c>
      <c r="I415" s="1" t="s">
        <v>57</v>
      </c>
      <c r="J415">
        <v>551</v>
      </c>
      <c r="K415">
        <v>4</v>
      </c>
      <c r="L415" s="1" t="s">
        <v>37</v>
      </c>
      <c r="M415">
        <v>88</v>
      </c>
      <c r="N415">
        <v>2</v>
      </c>
      <c r="O415">
        <v>2</v>
      </c>
      <c r="P415" s="1" t="s">
        <v>51</v>
      </c>
      <c r="Q415">
        <v>4</v>
      </c>
      <c r="R415" s="1" t="s">
        <v>45</v>
      </c>
      <c r="S415">
        <v>4523</v>
      </c>
      <c r="T415">
        <v>4386</v>
      </c>
      <c r="U415">
        <v>0</v>
      </c>
      <c r="V415" s="1" t="s">
        <v>40</v>
      </c>
      <c r="W415">
        <v>11</v>
      </c>
      <c r="X415">
        <v>3</v>
      </c>
      <c r="Y415">
        <v>4</v>
      </c>
      <c r="Z415">
        <v>80</v>
      </c>
      <c r="AA415">
        <v>3</v>
      </c>
      <c r="AB415">
        <v>7</v>
      </c>
      <c r="AC415">
        <v>4</v>
      </c>
      <c r="AD415">
        <v>4</v>
      </c>
      <c r="AE415">
        <v>6</v>
      </c>
      <c r="AF415">
        <v>5</v>
      </c>
      <c r="AG415">
        <v>0</v>
      </c>
      <c r="AH415">
        <v>4</v>
      </c>
      <c r="AI415">
        <f>IF(tbl_HRData[[#This Row],[Attrition]] = "Yes",1,0)</f>
        <v>0</v>
      </c>
      <c r="AJ415">
        <f>IF(tbl_HRData[[#This Row],[Attrition]] = "No",1,0)</f>
        <v>1</v>
      </c>
      <c r="AK415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415" s="1" t="str">
        <f>IF(tbl_HRData[[#This Row],[MonthlyIncome]]&lt;5000,"Low",
IF(tbl_HRData[[#This Row],[MonthlyIncome]]&lt;10000,"Medium",
IF(tbl_HRData[[#This Row],[MonthlyIncome]]&lt;15000,"Upper Medium","High")))</f>
        <v>Low</v>
      </c>
      <c r="AM415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416" spans="1:39" x14ac:dyDescent="0.35">
      <c r="A416" s="1">
        <v>415</v>
      </c>
      <c r="B416">
        <v>24</v>
      </c>
      <c r="C416" s="1" t="s">
        <v>33</v>
      </c>
      <c r="D416" s="1" t="s">
        <v>34</v>
      </c>
      <c r="E416">
        <v>1448</v>
      </c>
      <c r="F416" s="1" t="s">
        <v>35</v>
      </c>
      <c r="G416">
        <v>1</v>
      </c>
      <c r="H416">
        <v>1</v>
      </c>
      <c r="I416" s="1" t="s">
        <v>57</v>
      </c>
      <c r="J416">
        <v>554</v>
      </c>
      <c r="K416">
        <v>1</v>
      </c>
      <c r="L416" s="1" t="s">
        <v>37</v>
      </c>
      <c r="M416">
        <v>62</v>
      </c>
      <c r="N416">
        <v>3</v>
      </c>
      <c r="O416">
        <v>1</v>
      </c>
      <c r="P416" s="1" t="s">
        <v>54</v>
      </c>
      <c r="Q416">
        <v>2</v>
      </c>
      <c r="R416" s="1" t="s">
        <v>39</v>
      </c>
      <c r="S416">
        <v>3202</v>
      </c>
      <c r="T416">
        <v>21972</v>
      </c>
      <c r="U416">
        <v>1</v>
      </c>
      <c r="V416" s="1" t="s">
        <v>33</v>
      </c>
      <c r="W416">
        <v>16</v>
      </c>
      <c r="X416">
        <v>3</v>
      </c>
      <c r="Y416">
        <v>2</v>
      </c>
      <c r="Z416">
        <v>80</v>
      </c>
      <c r="AA416">
        <v>0</v>
      </c>
      <c r="AB416">
        <v>6</v>
      </c>
      <c r="AC416">
        <v>4</v>
      </c>
      <c r="AD416">
        <v>3</v>
      </c>
      <c r="AE416">
        <v>5</v>
      </c>
      <c r="AF416">
        <v>3</v>
      </c>
      <c r="AG416">
        <v>1</v>
      </c>
      <c r="AH416">
        <v>4</v>
      </c>
      <c r="AI416">
        <f>IF(tbl_HRData[[#This Row],[Attrition]] = "Yes",1,0)</f>
        <v>1</v>
      </c>
      <c r="AJ416">
        <f>IF(tbl_HRData[[#This Row],[Attrition]] = "No",1,0)</f>
        <v>0</v>
      </c>
      <c r="AK416" t="str">
        <f>IF(tbl_HRData[[#This Row],[Age]] &lt; 25, "Under 25", IF(tbl_HRData[[#This Row],[Age]] &lt;= 34, "25-34", IF(tbl_HRData[[#This Row],[Age]] &lt;= 44, "35-44", IF(tbl_HRData[[#This Row],[Age]] &lt;= 54, "45-54", "55+"))))</f>
        <v>Under 25</v>
      </c>
      <c r="AL416" s="1" t="str">
        <f>IF(tbl_HRData[[#This Row],[MonthlyIncome]]&lt;5000,"Low",
IF(tbl_HRData[[#This Row],[MonthlyIncome]]&lt;10000,"Medium",
IF(tbl_HRData[[#This Row],[MonthlyIncome]]&lt;15000,"Upper Medium","High")))</f>
        <v>Low</v>
      </c>
      <c r="AM416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417" spans="1:39" x14ac:dyDescent="0.35">
      <c r="A417" s="1">
        <v>416</v>
      </c>
      <c r="B417">
        <v>34</v>
      </c>
      <c r="C417" s="1" t="s">
        <v>33</v>
      </c>
      <c r="D417" s="1" t="s">
        <v>41</v>
      </c>
      <c r="E417">
        <v>296</v>
      </c>
      <c r="F417" s="1" t="s">
        <v>35</v>
      </c>
      <c r="G417">
        <v>6</v>
      </c>
      <c r="H417">
        <v>2</v>
      </c>
      <c r="I417" s="1" t="s">
        <v>56</v>
      </c>
      <c r="J417">
        <v>555</v>
      </c>
      <c r="K417">
        <v>4</v>
      </c>
      <c r="L417" s="1" t="s">
        <v>37</v>
      </c>
      <c r="M417">
        <v>33</v>
      </c>
      <c r="N417">
        <v>1</v>
      </c>
      <c r="O417">
        <v>1</v>
      </c>
      <c r="P417" s="1" t="s">
        <v>54</v>
      </c>
      <c r="Q417">
        <v>3</v>
      </c>
      <c r="R417" s="1" t="s">
        <v>49</v>
      </c>
      <c r="S417">
        <v>2351</v>
      </c>
      <c r="T417">
        <v>12253</v>
      </c>
      <c r="U417">
        <v>0</v>
      </c>
      <c r="V417" s="1" t="s">
        <v>40</v>
      </c>
      <c r="W417">
        <v>16</v>
      </c>
      <c r="X417">
        <v>3</v>
      </c>
      <c r="Y417">
        <v>4</v>
      </c>
      <c r="Z417">
        <v>80</v>
      </c>
      <c r="AA417">
        <v>1</v>
      </c>
      <c r="AB417">
        <v>3</v>
      </c>
      <c r="AC417">
        <v>3</v>
      </c>
      <c r="AD417">
        <v>2</v>
      </c>
      <c r="AE417">
        <v>2</v>
      </c>
      <c r="AF417">
        <v>2</v>
      </c>
      <c r="AG417">
        <v>1</v>
      </c>
      <c r="AH417">
        <v>0</v>
      </c>
      <c r="AI417">
        <f>IF(tbl_HRData[[#This Row],[Attrition]] = "Yes",1,0)</f>
        <v>1</v>
      </c>
      <c r="AJ417">
        <f>IF(tbl_HRData[[#This Row],[Attrition]] = "No",1,0)</f>
        <v>0</v>
      </c>
      <c r="AK417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417" s="1" t="str">
        <f>IF(tbl_HRData[[#This Row],[MonthlyIncome]]&lt;5000,"Low",
IF(tbl_HRData[[#This Row],[MonthlyIncome]]&lt;10000,"Medium",
IF(tbl_HRData[[#This Row],[MonthlyIncome]]&lt;15000,"Upper Medium","High")))</f>
        <v>Low</v>
      </c>
      <c r="AM417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418" spans="1:39" x14ac:dyDescent="0.35">
      <c r="A418" s="1">
        <v>417</v>
      </c>
      <c r="B418">
        <v>38</v>
      </c>
      <c r="C418" s="1" t="s">
        <v>40</v>
      </c>
      <c r="D418" s="1" t="s">
        <v>41</v>
      </c>
      <c r="E418">
        <v>1490</v>
      </c>
      <c r="F418" s="1" t="s">
        <v>42</v>
      </c>
      <c r="G418">
        <v>2</v>
      </c>
      <c r="H418">
        <v>2</v>
      </c>
      <c r="I418" s="1" t="s">
        <v>36</v>
      </c>
      <c r="J418">
        <v>556</v>
      </c>
      <c r="K418">
        <v>4</v>
      </c>
      <c r="L418" s="1" t="s">
        <v>43</v>
      </c>
      <c r="M418">
        <v>42</v>
      </c>
      <c r="N418">
        <v>3</v>
      </c>
      <c r="O418">
        <v>1</v>
      </c>
      <c r="P418" s="1" t="s">
        <v>47</v>
      </c>
      <c r="Q418">
        <v>4</v>
      </c>
      <c r="R418" s="1" t="s">
        <v>45</v>
      </c>
      <c r="S418">
        <v>1702</v>
      </c>
      <c r="T418">
        <v>12106</v>
      </c>
      <c r="U418">
        <v>1</v>
      </c>
      <c r="V418" s="1" t="s">
        <v>33</v>
      </c>
      <c r="W418">
        <v>23</v>
      </c>
      <c r="X418">
        <v>4</v>
      </c>
      <c r="Y418">
        <v>3</v>
      </c>
      <c r="Z418">
        <v>80</v>
      </c>
      <c r="AA418">
        <v>1</v>
      </c>
      <c r="AB418">
        <v>1</v>
      </c>
      <c r="AC418">
        <v>3</v>
      </c>
      <c r="AD418">
        <v>3</v>
      </c>
      <c r="AE418">
        <v>1</v>
      </c>
      <c r="AF418">
        <v>0</v>
      </c>
      <c r="AG418">
        <v>0</v>
      </c>
      <c r="AH418">
        <v>0</v>
      </c>
      <c r="AI418">
        <f>IF(tbl_HRData[[#This Row],[Attrition]] = "Yes",1,0)</f>
        <v>0</v>
      </c>
      <c r="AJ418">
        <f>IF(tbl_HRData[[#This Row],[Attrition]] = "No",1,0)</f>
        <v>1</v>
      </c>
      <c r="AK418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418" s="1" t="str">
        <f>IF(tbl_HRData[[#This Row],[MonthlyIncome]]&lt;5000,"Low",
IF(tbl_HRData[[#This Row],[MonthlyIncome]]&lt;10000,"Medium",
IF(tbl_HRData[[#This Row],[MonthlyIncome]]&lt;15000,"Upper Medium","High")))</f>
        <v>Low</v>
      </c>
      <c r="AM418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419" spans="1:39" x14ac:dyDescent="0.35">
      <c r="A419" s="1">
        <v>418</v>
      </c>
      <c r="B419">
        <v>40</v>
      </c>
      <c r="C419" s="1" t="s">
        <v>40</v>
      </c>
      <c r="D419" s="1" t="s">
        <v>34</v>
      </c>
      <c r="E419">
        <v>1398</v>
      </c>
      <c r="F419" s="1" t="s">
        <v>35</v>
      </c>
      <c r="G419">
        <v>2</v>
      </c>
      <c r="H419">
        <v>4</v>
      </c>
      <c r="I419" s="1" t="s">
        <v>36</v>
      </c>
      <c r="J419">
        <v>558</v>
      </c>
      <c r="K419">
        <v>3</v>
      </c>
      <c r="L419" s="1" t="s">
        <v>37</v>
      </c>
      <c r="M419">
        <v>79</v>
      </c>
      <c r="N419">
        <v>3</v>
      </c>
      <c r="O419">
        <v>5</v>
      </c>
      <c r="P419" s="1" t="s">
        <v>53</v>
      </c>
      <c r="Q419">
        <v>3</v>
      </c>
      <c r="R419" s="1" t="s">
        <v>45</v>
      </c>
      <c r="S419">
        <v>18041</v>
      </c>
      <c r="T419">
        <v>13022</v>
      </c>
      <c r="U419">
        <v>0</v>
      </c>
      <c r="V419" s="1" t="s">
        <v>40</v>
      </c>
      <c r="W419">
        <v>14</v>
      </c>
      <c r="X419">
        <v>3</v>
      </c>
      <c r="Y419">
        <v>4</v>
      </c>
      <c r="Z419">
        <v>80</v>
      </c>
      <c r="AA419">
        <v>0</v>
      </c>
      <c r="AB419">
        <v>21</v>
      </c>
      <c r="AC419">
        <v>2</v>
      </c>
      <c r="AD419">
        <v>3</v>
      </c>
      <c r="AE419">
        <v>20</v>
      </c>
      <c r="AF419">
        <v>15</v>
      </c>
      <c r="AG419">
        <v>1</v>
      </c>
      <c r="AH419">
        <v>12</v>
      </c>
      <c r="AI419">
        <f>IF(tbl_HRData[[#This Row],[Attrition]] = "Yes",1,0)</f>
        <v>0</v>
      </c>
      <c r="AJ419">
        <f>IF(tbl_HRData[[#This Row],[Attrition]] = "No",1,0)</f>
        <v>1</v>
      </c>
      <c r="AK419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419" s="1" t="str">
        <f>IF(tbl_HRData[[#This Row],[MonthlyIncome]]&lt;5000,"Low",
IF(tbl_HRData[[#This Row],[MonthlyIncome]]&lt;10000,"Medium",
IF(tbl_HRData[[#This Row],[MonthlyIncome]]&lt;15000,"Upper Medium","High")))</f>
        <v>High</v>
      </c>
      <c r="AM419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420" spans="1:39" x14ac:dyDescent="0.35">
      <c r="A420" s="1">
        <v>419</v>
      </c>
      <c r="B420">
        <v>26</v>
      </c>
      <c r="C420" s="1" t="s">
        <v>40</v>
      </c>
      <c r="D420" s="1" t="s">
        <v>34</v>
      </c>
      <c r="E420">
        <v>1349</v>
      </c>
      <c r="F420" s="1" t="s">
        <v>42</v>
      </c>
      <c r="G420">
        <v>23</v>
      </c>
      <c r="H420">
        <v>3</v>
      </c>
      <c r="I420" s="1" t="s">
        <v>36</v>
      </c>
      <c r="J420">
        <v>560</v>
      </c>
      <c r="K420">
        <v>1</v>
      </c>
      <c r="L420" s="1" t="s">
        <v>37</v>
      </c>
      <c r="M420">
        <v>90</v>
      </c>
      <c r="N420">
        <v>3</v>
      </c>
      <c r="O420">
        <v>1</v>
      </c>
      <c r="P420" s="1" t="s">
        <v>44</v>
      </c>
      <c r="Q420">
        <v>4</v>
      </c>
      <c r="R420" s="1" t="s">
        <v>49</v>
      </c>
      <c r="S420">
        <v>2886</v>
      </c>
      <c r="T420">
        <v>3032</v>
      </c>
      <c r="U420">
        <v>1</v>
      </c>
      <c r="V420" s="1" t="s">
        <v>40</v>
      </c>
      <c r="W420">
        <v>22</v>
      </c>
      <c r="X420">
        <v>4</v>
      </c>
      <c r="Y420">
        <v>2</v>
      </c>
      <c r="Z420">
        <v>80</v>
      </c>
      <c r="AA420">
        <v>2</v>
      </c>
      <c r="AB420">
        <v>3</v>
      </c>
      <c r="AC420">
        <v>3</v>
      </c>
      <c r="AD420">
        <v>1</v>
      </c>
      <c r="AE420">
        <v>3</v>
      </c>
      <c r="AF420">
        <v>2</v>
      </c>
      <c r="AG420">
        <v>0</v>
      </c>
      <c r="AH420">
        <v>2</v>
      </c>
      <c r="AI420">
        <f>IF(tbl_HRData[[#This Row],[Attrition]] = "Yes",1,0)</f>
        <v>0</v>
      </c>
      <c r="AJ420">
        <f>IF(tbl_HRData[[#This Row],[Attrition]] = "No",1,0)</f>
        <v>1</v>
      </c>
      <c r="AK420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420" s="1" t="str">
        <f>IF(tbl_HRData[[#This Row],[MonthlyIncome]]&lt;5000,"Low",
IF(tbl_HRData[[#This Row],[MonthlyIncome]]&lt;10000,"Medium",
IF(tbl_HRData[[#This Row],[MonthlyIncome]]&lt;15000,"Upper Medium","High")))</f>
        <v>Low</v>
      </c>
      <c r="AM420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421" spans="1:39" x14ac:dyDescent="0.35">
      <c r="A421" s="1">
        <v>420</v>
      </c>
      <c r="B421">
        <v>30</v>
      </c>
      <c r="C421" s="1" t="s">
        <v>40</v>
      </c>
      <c r="D421" s="1" t="s">
        <v>52</v>
      </c>
      <c r="E421">
        <v>1400</v>
      </c>
      <c r="F421" s="1" t="s">
        <v>42</v>
      </c>
      <c r="G421">
        <v>3</v>
      </c>
      <c r="H421">
        <v>3</v>
      </c>
      <c r="I421" s="1" t="s">
        <v>36</v>
      </c>
      <c r="J421">
        <v>562</v>
      </c>
      <c r="K421">
        <v>3</v>
      </c>
      <c r="L421" s="1" t="s">
        <v>43</v>
      </c>
      <c r="M421">
        <v>53</v>
      </c>
      <c r="N421">
        <v>3</v>
      </c>
      <c r="O421">
        <v>1</v>
      </c>
      <c r="P421" s="1" t="s">
        <v>47</v>
      </c>
      <c r="Q421">
        <v>4</v>
      </c>
      <c r="R421" s="1" t="s">
        <v>45</v>
      </c>
      <c r="S421">
        <v>2097</v>
      </c>
      <c r="T421">
        <v>16734</v>
      </c>
      <c r="U421">
        <v>4</v>
      </c>
      <c r="V421" s="1" t="s">
        <v>40</v>
      </c>
      <c r="W421">
        <v>15</v>
      </c>
      <c r="X421">
        <v>3</v>
      </c>
      <c r="Y421">
        <v>3</v>
      </c>
      <c r="Z421">
        <v>80</v>
      </c>
      <c r="AA421">
        <v>1</v>
      </c>
      <c r="AB421">
        <v>9</v>
      </c>
      <c r="AC421">
        <v>3</v>
      </c>
      <c r="AD421">
        <v>1</v>
      </c>
      <c r="AE421">
        <v>5</v>
      </c>
      <c r="AF421">
        <v>3</v>
      </c>
      <c r="AG421">
        <v>1</v>
      </c>
      <c r="AH421">
        <v>4</v>
      </c>
      <c r="AI421">
        <f>IF(tbl_HRData[[#This Row],[Attrition]] = "Yes",1,0)</f>
        <v>0</v>
      </c>
      <c r="AJ421">
        <f>IF(tbl_HRData[[#This Row],[Attrition]] = "No",1,0)</f>
        <v>1</v>
      </c>
      <c r="AK421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421" s="1" t="str">
        <f>IF(tbl_HRData[[#This Row],[MonthlyIncome]]&lt;5000,"Low",
IF(tbl_HRData[[#This Row],[MonthlyIncome]]&lt;10000,"Medium",
IF(tbl_HRData[[#This Row],[MonthlyIncome]]&lt;15000,"Upper Medium","High")))</f>
        <v>Low</v>
      </c>
      <c r="AM421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422" spans="1:39" x14ac:dyDescent="0.35">
      <c r="A422" s="1">
        <v>421</v>
      </c>
      <c r="B422">
        <v>29</v>
      </c>
      <c r="C422" s="1" t="s">
        <v>40</v>
      </c>
      <c r="D422" s="1" t="s">
        <v>34</v>
      </c>
      <c r="E422">
        <v>986</v>
      </c>
      <c r="F422" s="1" t="s">
        <v>42</v>
      </c>
      <c r="G422">
        <v>3</v>
      </c>
      <c r="H422">
        <v>4</v>
      </c>
      <c r="I422" s="1" t="s">
        <v>48</v>
      </c>
      <c r="J422">
        <v>564</v>
      </c>
      <c r="K422">
        <v>2</v>
      </c>
      <c r="L422" s="1" t="s">
        <v>43</v>
      </c>
      <c r="M422">
        <v>93</v>
      </c>
      <c r="N422">
        <v>2</v>
      </c>
      <c r="O422">
        <v>3</v>
      </c>
      <c r="P422" s="1" t="s">
        <v>55</v>
      </c>
      <c r="Q422">
        <v>3</v>
      </c>
      <c r="R422" s="1" t="s">
        <v>45</v>
      </c>
      <c r="S422">
        <v>11935</v>
      </c>
      <c r="T422">
        <v>21526</v>
      </c>
      <c r="U422">
        <v>1</v>
      </c>
      <c r="V422" s="1" t="s">
        <v>40</v>
      </c>
      <c r="W422">
        <v>18</v>
      </c>
      <c r="X422">
        <v>3</v>
      </c>
      <c r="Y422">
        <v>3</v>
      </c>
      <c r="Z422">
        <v>80</v>
      </c>
      <c r="AA422">
        <v>0</v>
      </c>
      <c r="AB422">
        <v>10</v>
      </c>
      <c r="AC422">
        <v>2</v>
      </c>
      <c r="AD422">
        <v>3</v>
      </c>
      <c r="AE422">
        <v>10</v>
      </c>
      <c r="AF422">
        <v>2</v>
      </c>
      <c r="AG422">
        <v>0</v>
      </c>
      <c r="AH422">
        <v>7</v>
      </c>
      <c r="AI422">
        <f>IF(tbl_HRData[[#This Row],[Attrition]] = "Yes",1,0)</f>
        <v>0</v>
      </c>
      <c r="AJ422">
        <f>IF(tbl_HRData[[#This Row],[Attrition]] = "No",1,0)</f>
        <v>1</v>
      </c>
      <c r="AK422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422" s="1" t="str">
        <f>IF(tbl_HRData[[#This Row],[MonthlyIncome]]&lt;5000,"Low",
IF(tbl_HRData[[#This Row],[MonthlyIncome]]&lt;10000,"Medium",
IF(tbl_HRData[[#This Row],[MonthlyIncome]]&lt;15000,"Upper Medium","High")))</f>
        <v>Upper Medium</v>
      </c>
      <c r="AM422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423" spans="1:39" x14ac:dyDescent="0.35">
      <c r="A423" s="1">
        <v>422</v>
      </c>
      <c r="B423">
        <v>29</v>
      </c>
      <c r="C423" s="1" t="s">
        <v>33</v>
      </c>
      <c r="D423" s="1" t="s">
        <v>34</v>
      </c>
      <c r="E423">
        <v>408</v>
      </c>
      <c r="F423" s="1" t="s">
        <v>42</v>
      </c>
      <c r="G423">
        <v>25</v>
      </c>
      <c r="H423">
        <v>5</v>
      </c>
      <c r="I423" s="1" t="s">
        <v>57</v>
      </c>
      <c r="J423">
        <v>565</v>
      </c>
      <c r="K423">
        <v>3</v>
      </c>
      <c r="L423" s="1" t="s">
        <v>37</v>
      </c>
      <c r="M423">
        <v>71</v>
      </c>
      <c r="N423">
        <v>2</v>
      </c>
      <c r="O423">
        <v>1</v>
      </c>
      <c r="P423" s="1" t="s">
        <v>44</v>
      </c>
      <c r="Q423">
        <v>2</v>
      </c>
      <c r="R423" s="1" t="s">
        <v>45</v>
      </c>
      <c r="S423">
        <v>2546</v>
      </c>
      <c r="T423">
        <v>18300</v>
      </c>
      <c r="U423">
        <v>5</v>
      </c>
      <c r="V423" s="1" t="s">
        <v>40</v>
      </c>
      <c r="W423">
        <v>16</v>
      </c>
      <c r="X423">
        <v>3</v>
      </c>
      <c r="Y423">
        <v>2</v>
      </c>
      <c r="Z423">
        <v>80</v>
      </c>
      <c r="AA423">
        <v>0</v>
      </c>
      <c r="AB423">
        <v>6</v>
      </c>
      <c r="AC423">
        <v>2</v>
      </c>
      <c r="AD423">
        <v>4</v>
      </c>
      <c r="AE423">
        <v>2</v>
      </c>
      <c r="AF423">
        <v>2</v>
      </c>
      <c r="AG423">
        <v>1</v>
      </c>
      <c r="AH423">
        <v>1</v>
      </c>
      <c r="AI423">
        <f>IF(tbl_HRData[[#This Row],[Attrition]] = "Yes",1,0)</f>
        <v>1</v>
      </c>
      <c r="AJ423">
        <f>IF(tbl_HRData[[#This Row],[Attrition]] = "No",1,0)</f>
        <v>0</v>
      </c>
      <c r="AK423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423" s="1" t="str">
        <f>IF(tbl_HRData[[#This Row],[MonthlyIncome]]&lt;5000,"Low",
IF(tbl_HRData[[#This Row],[MonthlyIncome]]&lt;10000,"Medium",
IF(tbl_HRData[[#This Row],[MonthlyIncome]]&lt;15000,"Upper Medium","High")))</f>
        <v>Low</v>
      </c>
      <c r="AM423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424" spans="1:39" x14ac:dyDescent="0.35">
      <c r="A424" s="1">
        <v>423</v>
      </c>
      <c r="B424">
        <v>19</v>
      </c>
      <c r="C424" s="1" t="s">
        <v>33</v>
      </c>
      <c r="D424" s="1" t="s">
        <v>34</v>
      </c>
      <c r="E424">
        <v>489</v>
      </c>
      <c r="F424" s="1" t="s">
        <v>58</v>
      </c>
      <c r="G424">
        <v>2</v>
      </c>
      <c r="H424">
        <v>2</v>
      </c>
      <c r="I424" s="1" t="s">
        <v>57</v>
      </c>
      <c r="J424">
        <v>566</v>
      </c>
      <c r="K424">
        <v>1</v>
      </c>
      <c r="L424" s="1" t="s">
        <v>43</v>
      </c>
      <c r="M424">
        <v>52</v>
      </c>
      <c r="N424">
        <v>2</v>
      </c>
      <c r="O424">
        <v>1</v>
      </c>
      <c r="P424" s="1" t="s">
        <v>58</v>
      </c>
      <c r="Q424">
        <v>4</v>
      </c>
      <c r="R424" s="1" t="s">
        <v>39</v>
      </c>
      <c r="S424">
        <v>2564</v>
      </c>
      <c r="T424">
        <v>18437</v>
      </c>
      <c r="U424">
        <v>1</v>
      </c>
      <c r="V424" s="1" t="s">
        <v>40</v>
      </c>
      <c r="W424">
        <v>12</v>
      </c>
      <c r="X424">
        <v>3</v>
      </c>
      <c r="Y424">
        <v>3</v>
      </c>
      <c r="Z424">
        <v>80</v>
      </c>
      <c r="AA424">
        <v>0</v>
      </c>
      <c r="AB424">
        <v>1</v>
      </c>
      <c r="AC424">
        <v>3</v>
      </c>
      <c r="AD424">
        <v>4</v>
      </c>
      <c r="AE424">
        <v>1</v>
      </c>
      <c r="AF424">
        <v>0</v>
      </c>
      <c r="AG424">
        <v>0</v>
      </c>
      <c r="AH424">
        <v>0</v>
      </c>
      <c r="AI424">
        <f>IF(tbl_HRData[[#This Row],[Attrition]] = "Yes",1,0)</f>
        <v>1</v>
      </c>
      <c r="AJ424">
        <f>IF(tbl_HRData[[#This Row],[Attrition]] = "No",1,0)</f>
        <v>0</v>
      </c>
      <c r="AK424" t="str">
        <f>IF(tbl_HRData[[#This Row],[Age]] &lt; 25, "Under 25", IF(tbl_HRData[[#This Row],[Age]] &lt;= 34, "25-34", IF(tbl_HRData[[#This Row],[Age]] &lt;= 44, "35-44", IF(tbl_HRData[[#This Row],[Age]] &lt;= 54, "45-54", "55+"))))</f>
        <v>Under 25</v>
      </c>
      <c r="AL424" s="1" t="str">
        <f>IF(tbl_HRData[[#This Row],[MonthlyIncome]]&lt;5000,"Low",
IF(tbl_HRData[[#This Row],[MonthlyIncome]]&lt;10000,"Medium",
IF(tbl_HRData[[#This Row],[MonthlyIncome]]&lt;15000,"Upper Medium","High")))</f>
        <v>Low</v>
      </c>
      <c r="AM424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425" spans="1:39" x14ac:dyDescent="0.35">
      <c r="A425" s="1">
        <v>424</v>
      </c>
      <c r="B425">
        <v>30</v>
      </c>
      <c r="C425" s="1" t="s">
        <v>40</v>
      </c>
      <c r="D425" s="1" t="s">
        <v>52</v>
      </c>
      <c r="E425">
        <v>1398</v>
      </c>
      <c r="F425" s="1" t="s">
        <v>35</v>
      </c>
      <c r="G425">
        <v>22</v>
      </c>
      <c r="H425">
        <v>4</v>
      </c>
      <c r="I425" s="1" t="s">
        <v>46</v>
      </c>
      <c r="J425">
        <v>567</v>
      </c>
      <c r="K425">
        <v>3</v>
      </c>
      <c r="L425" s="1" t="s">
        <v>37</v>
      </c>
      <c r="M425">
        <v>69</v>
      </c>
      <c r="N425">
        <v>3</v>
      </c>
      <c r="O425">
        <v>3</v>
      </c>
      <c r="P425" s="1" t="s">
        <v>38</v>
      </c>
      <c r="Q425">
        <v>1</v>
      </c>
      <c r="R425" s="1" t="s">
        <v>45</v>
      </c>
      <c r="S425">
        <v>8412</v>
      </c>
      <c r="T425">
        <v>2890</v>
      </c>
      <c r="U425">
        <v>0</v>
      </c>
      <c r="V425" s="1" t="s">
        <v>40</v>
      </c>
      <c r="W425">
        <v>11</v>
      </c>
      <c r="X425">
        <v>3</v>
      </c>
      <c r="Y425">
        <v>3</v>
      </c>
      <c r="Z425">
        <v>80</v>
      </c>
      <c r="AA425">
        <v>0</v>
      </c>
      <c r="AB425">
        <v>10</v>
      </c>
      <c r="AC425">
        <v>3</v>
      </c>
      <c r="AD425">
        <v>3</v>
      </c>
      <c r="AE425">
        <v>9</v>
      </c>
      <c r="AF425">
        <v>8</v>
      </c>
      <c r="AG425">
        <v>7</v>
      </c>
      <c r="AH425">
        <v>8</v>
      </c>
      <c r="AI425">
        <f>IF(tbl_HRData[[#This Row],[Attrition]] = "Yes",1,0)</f>
        <v>0</v>
      </c>
      <c r="AJ425">
        <f>IF(tbl_HRData[[#This Row],[Attrition]] = "No",1,0)</f>
        <v>1</v>
      </c>
      <c r="AK425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425" s="1" t="str">
        <f>IF(tbl_HRData[[#This Row],[MonthlyIncome]]&lt;5000,"Low",
IF(tbl_HRData[[#This Row],[MonthlyIncome]]&lt;10000,"Medium",
IF(tbl_HRData[[#This Row],[MonthlyIncome]]&lt;15000,"Upper Medium","High")))</f>
        <v>Medium</v>
      </c>
      <c r="AM425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426" spans="1:39" x14ac:dyDescent="0.35">
      <c r="A426" s="1">
        <v>425</v>
      </c>
      <c r="B426">
        <v>57</v>
      </c>
      <c r="C426" s="1" t="s">
        <v>40</v>
      </c>
      <c r="D426" s="1" t="s">
        <v>34</v>
      </c>
      <c r="E426">
        <v>210</v>
      </c>
      <c r="F426" s="1" t="s">
        <v>35</v>
      </c>
      <c r="G426">
        <v>29</v>
      </c>
      <c r="H426">
        <v>3</v>
      </c>
      <c r="I426" s="1" t="s">
        <v>56</v>
      </c>
      <c r="J426">
        <v>568</v>
      </c>
      <c r="K426">
        <v>1</v>
      </c>
      <c r="L426" s="1" t="s">
        <v>43</v>
      </c>
      <c r="M426">
        <v>56</v>
      </c>
      <c r="N426">
        <v>2</v>
      </c>
      <c r="O426">
        <v>4</v>
      </c>
      <c r="P426" s="1" t="s">
        <v>53</v>
      </c>
      <c r="Q426">
        <v>4</v>
      </c>
      <c r="R426" s="1" t="s">
        <v>49</v>
      </c>
      <c r="S426">
        <v>14118</v>
      </c>
      <c r="T426">
        <v>22102</v>
      </c>
      <c r="U426">
        <v>3</v>
      </c>
      <c r="V426" s="1" t="s">
        <v>40</v>
      </c>
      <c r="W426">
        <v>12</v>
      </c>
      <c r="X426">
        <v>3</v>
      </c>
      <c r="Y426">
        <v>3</v>
      </c>
      <c r="Z426">
        <v>80</v>
      </c>
      <c r="AA426">
        <v>1</v>
      </c>
      <c r="AB426">
        <v>32</v>
      </c>
      <c r="AC426">
        <v>3</v>
      </c>
      <c r="AD426">
        <v>2</v>
      </c>
      <c r="AE426">
        <v>1</v>
      </c>
      <c r="AF426">
        <v>0</v>
      </c>
      <c r="AG426">
        <v>0</v>
      </c>
      <c r="AH426">
        <v>0</v>
      </c>
      <c r="AI426">
        <f>IF(tbl_HRData[[#This Row],[Attrition]] = "Yes",1,0)</f>
        <v>0</v>
      </c>
      <c r="AJ426">
        <f>IF(tbl_HRData[[#This Row],[Attrition]] = "No",1,0)</f>
        <v>1</v>
      </c>
      <c r="AK426" t="str">
        <f>IF(tbl_HRData[[#This Row],[Age]] &lt; 25, "Under 25", IF(tbl_HRData[[#This Row],[Age]] &lt;= 34, "25-34", IF(tbl_HRData[[#This Row],[Age]] &lt;= 44, "35-44", IF(tbl_HRData[[#This Row],[Age]] &lt;= 54, "45-54", "55+"))))</f>
        <v>55+</v>
      </c>
      <c r="AL426" s="1" t="str">
        <f>IF(tbl_HRData[[#This Row],[MonthlyIncome]]&lt;5000,"Low",
IF(tbl_HRData[[#This Row],[MonthlyIncome]]&lt;10000,"Medium",
IF(tbl_HRData[[#This Row],[MonthlyIncome]]&lt;15000,"Upper Medium","High")))</f>
        <v>Upper Medium</v>
      </c>
      <c r="AM426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427" spans="1:39" x14ac:dyDescent="0.35">
      <c r="A427" s="1">
        <v>426</v>
      </c>
      <c r="B427">
        <v>50</v>
      </c>
      <c r="C427" s="1" t="s">
        <v>40</v>
      </c>
      <c r="D427" s="1" t="s">
        <v>34</v>
      </c>
      <c r="E427">
        <v>1099</v>
      </c>
      <c r="F427" s="1" t="s">
        <v>42</v>
      </c>
      <c r="G427">
        <v>29</v>
      </c>
      <c r="H427">
        <v>4</v>
      </c>
      <c r="I427" s="1" t="s">
        <v>36</v>
      </c>
      <c r="J427">
        <v>569</v>
      </c>
      <c r="K427">
        <v>2</v>
      </c>
      <c r="L427" s="1" t="s">
        <v>43</v>
      </c>
      <c r="M427">
        <v>88</v>
      </c>
      <c r="N427">
        <v>2</v>
      </c>
      <c r="O427">
        <v>4</v>
      </c>
      <c r="P427" s="1" t="s">
        <v>53</v>
      </c>
      <c r="Q427">
        <v>3</v>
      </c>
      <c r="R427" s="1" t="s">
        <v>45</v>
      </c>
      <c r="S427">
        <v>17046</v>
      </c>
      <c r="T427">
        <v>9314</v>
      </c>
      <c r="U427">
        <v>0</v>
      </c>
      <c r="V427" s="1" t="s">
        <v>40</v>
      </c>
      <c r="W427">
        <v>15</v>
      </c>
      <c r="X427">
        <v>3</v>
      </c>
      <c r="Y427">
        <v>2</v>
      </c>
      <c r="Z427">
        <v>80</v>
      </c>
      <c r="AA427">
        <v>1</v>
      </c>
      <c r="AB427">
        <v>28</v>
      </c>
      <c r="AC427">
        <v>2</v>
      </c>
      <c r="AD427">
        <v>3</v>
      </c>
      <c r="AE427">
        <v>27</v>
      </c>
      <c r="AF427">
        <v>10</v>
      </c>
      <c r="AG427">
        <v>15</v>
      </c>
      <c r="AH427">
        <v>7</v>
      </c>
      <c r="AI427">
        <f>IF(tbl_HRData[[#This Row],[Attrition]] = "Yes",1,0)</f>
        <v>0</v>
      </c>
      <c r="AJ427">
        <f>IF(tbl_HRData[[#This Row],[Attrition]] = "No",1,0)</f>
        <v>1</v>
      </c>
      <c r="AK427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427" s="1" t="str">
        <f>IF(tbl_HRData[[#This Row],[MonthlyIncome]]&lt;5000,"Low",
IF(tbl_HRData[[#This Row],[MonthlyIncome]]&lt;10000,"Medium",
IF(tbl_HRData[[#This Row],[MonthlyIncome]]&lt;15000,"Upper Medium","High")))</f>
        <v>High</v>
      </c>
      <c r="AM427" s="1" t="str">
        <f>IF(tbl_HRData[[#This Row],[YearsAtCompany]]&lt;=5,"0-5 Years",
IF(tbl_HRData[[#This Row],[YearsAtCompany]]&lt;=10,"6-10 Years",
IF(tbl_HRData[[#This Row],[YearsAtCompany]]&lt;=20,"11-20 Years","21+ Years")))</f>
        <v>21+ Years</v>
      </c>
    </row>
    <row r="428" spans="1:39" x14ac:dyDescent="0.35">
      <c r="A428" s="1">
        <v>427</v>
      </c>
      <c r="B428">
        <v>30</v>
      </c>
      <c r="C428" s="1" t="s">
        <v>40</v>
      </c>
      <c r="D428" s="1" t="s">
        <v>52</v>
      </c>
      <c r="E428">
        <v>1116</v>
      </c>
      <c r="F428" s="1" t="s">
        <v>42</v>
      </c>
      <c r="G428">
        <v>2</v>
      </c>
      <c r="H428">
        <v>3</v>
      </c>
      <c r="I428" s="1" t="s">
        <v>48</v>
      </c>
      <c r="J428">
        <v>571</v>
      </c>
      <c r="K428">
        <v>3</v>
      </c>
      <c r="L428" s="1" t="s">
        <v>37</v>
      </c>
      <c r="M428">
        <v>49</v>
      </c>
      <c r="N428">
        <v>3</v>
      </c>
      <c r="O428">
        <v>1</v>
      </c>
      <c r="P428" s="1" t="s">
        <v>47</v>
      </c>
      <c r="Q428">
        <v>4</v>
      </c>
      <c r="R428" s="1" t="s">
        <v>39</v>
      </c>
      <c r="S428">
        <v>2564</v>
      </c>
      <c r="T428">
        <v>7181</v>
      </c>
      <c r="U428">
        <v>0</v>
      </c>
      <c r="V428" s="1" t="s">
        <v>40</v>
      </c>
      <c r="W428">
        <v>14</v>
      </c>
      <c r="X428">
        <v>3</v>
      </c>
      <c r="Y428">
        <v>3</v>
      </c>
      <c r="Z428">
        <v>80</v>
      </c>
      <c r="AA428">
        <v>0</v>
      </c>
      <c r="AB428">
        <v>12</v>
      </c>
      <c r="AC428">
        <v>2</v>
      </c>
      <c r="AD428">
        <v>2</v>
      </c>
      <c r="AE428">
        <v>11</v>
      </c>
      <c r="AF428">
        <v>7</v>
      </c>
      <c r="AG428">
        <v>6</v>
      </c>
      <c r="AH428">
        <v>7</v>
      </c>
      <c r="AI428">
        <f>IF(tbl_HRData[[#This Row],[Attrition]] = "Yes",1,0)</f>
        <v>0</v>
      </c>
      <c r="AJ428">
        <f>IF(tbl_HRData[[#This Row],[Attrition]] = "No",1,0)</f>
        <v>1</v>
      </c>
      <c r="AK428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428" s="1" t="str">
        <f>IF(tbl_HRData[[#This Row],[MonthlyIncome]]&lt;5000,"Low",
IF(tbl_HRData[[#This Row],[MonthlyIncome]]&lt;10000,"Medium",
IF(tbl_HRData[[#This Row],[MonthlyIncome]]&lt;15000,"Upper Medium","High")))</f>
        <v>Low</v>
      </c>
      <c r="AM428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429" spans="1:39" x14ac:dyDescent="0.35">
      <c r="A429" s="1">
        <v>428</v>
      </c>
      <c r="B429">
        <v>60</v>
      </c>
      <c r="C429" s="1" t="s">
        <v>40</v>
      </c>
      <c r="D429" s="1" t="s">
        <v>41</v>
      </c>
      <c r="E429">
        <v>1499</v>
      </c>
      <c r="F429" s="1" t="s">
        <v>35</v>
      </c>
      <c r="G429">
        <v>28</v>
      </c>
      <c r="H429">
        <v>3</v>
      </c>
      <c r="I429" s="1" t="s">
        <v>56</v>
      </c>
      <c r="J429">
        <v>573</v>
      </c>
      <c r="K429">
        <v>3</v>
      </c>
      <c r="L429" s="1" t="s">
        <v>37</v>
      </c>
      <c r="M429">
        <v>80</v>
      </c>
      <c r="N429">
        <v>2</v>
      </c>
      <c r="O429">
        <v>3</v>
      </c>
      <c r="P429" s="1" t="s">
        <v>38</v>
      </c>
      <c r="Q429">
        <v>1</v>
      </c>
      <c r="R429" s="1" t="s">
        <v>45</v>
      </c>
      <c r="S429">
        <v>10266</v>
      </c>
      <c r="T429">
        <v>2845</v>
      </c>
      <c r="U429">
        <v>4</v>
      </c>
      <c r="V429" s="1" t="s">
        <v>40</v>
      </c>
      <c r="W429">
        <v>19</v>
      </c>
      <c r="X429">
        <v>3</v>
      </c>
      <c r="Y429">
        <v>4</v>
      </c>
      <c r="Z429">
        <v>80</v>
      </c>
      <c r="AA429">
        <v>0</v>
      </c>
      <c r="AB429">
        <v>22</v>
      </c>
      <c r="AC429">
        <v>5</v>
      </c>
      <c r="AD429">
        <v>4</v>
      </c>
      <c r="AE429">
        <v>18</v>
      </c>
      <c r="AF429">
        <v>13</v>
      </c>
      <c r="AG429">
        <v>13</v>
      </c>
      <c r="AH429">
        <v>11</v>
      </c>
      <c r="AI429">
        <f>IF(tbl_HRData[[#This Row],[Attrition]] = "Yes",1,0)</f>
        <v>0</v>
      </c>
      <c r="AJ429">
        <f>IF(tbl_HRData[[#This Row],[Attrition]] = "No",1,0)</f>
        <v>1</v>
      </c>
      <c r="AK429" t="str">
        <f>IF(tbl_HRData[[#This Row],[Age]] &lt; 25, "Under 25", IF(tbl_HRData[[#This Row],[Age]] &lt;= 34, "25-34", IF(tbl_HRData[[#This Row],[Age]] &lt;= 44, "35-44", IF(tbl_HRData[[#This Row],[Age]] &lt;= 54, "45-54", "55+"))))</f>
        <v>55+</v>
      </c>
      <c r="AL429" s="1" t="str">
        <f>IF(tbl_HRData[[#This Row],[MonthlyIncome]]&lt;5000,"Low",
IF(tbl_HRData[[#This Row],[MonthlyIncome]]&lt;10000,"Medium",
IF(tbl_HRData[[#This Row],[MonthlyIncome]]&lt;15000,"Upper Medium","High")))</f>
        <v>Upper Medium</v>
      </c>
      <c r="AM429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430" spans="1:39" x14ac:dyDescent="0.35">
      <c r="A430" s="1">
        <v>429</v>
      </c>
      <c r="B430">
        <v>47</v>
      </c>
      <c r="C430" s="1" t="s">
        <v>40</v>
      </c>
      <c r="D430" s="1" t="s">
        <v>34</v>
      </c>
      <c r="E430">
        <v>983</v>
      </c>
      <c r="F430" s="1" t="s">
        <v>42</v>
      </c>
      <c r="G430">
        <v>2</v>
      </c>
      <c r="H430">
        <v>2</v>
      </c>
      <c r="I430" s="1" t="s">
        <v>48</v>
      </c>
      <c r="J430">
        <v>574</v>
      </c>
      <c r="K430">
        <v>1</v>
      </c>
      <c r="L430" s="1" t="s">
        <v>37</v>
      </c>
      <c r="M430">
        <v>65</v>
      </c>
      <c r="N430">
        <v>3</v>
      </c>
      <c r="O430">
        <v>2</v>
      </c>
      <c r="P430" s="1" t="s">
        <v>50</v>
      </c>
      <c r="Q430">
        <v>4</v>
      </c>
      <c r="R430" s="1" t="s">
        <v>49</v>
      </c>
      <c r="S430">
        <v>5070</v>
      </c>
      <c r="T430">
        <v>7389</v>
      </c>
      <c r="U430">
        <v>5</v>
      </c>
      <c r="V430" s="1" t="s">
        <v>40</v>
      </c>
      <c r="W430">
        <v>13</v>
      </c>
      <c r="X430">
        <v>3</v>
      </c>
      <c r="Y430">
        <v>3</v>
      </c>
      <c r="Z430">
        <v>80</v>
      </c>
      <c r="AA430">
        <v>3</v>
      </c>
      <c r="AB430">
        <v>20</v>
      </c>
      <c r="AC430">
        <v>2</v>
      </c>
      <c r="AD430">
        <v>3</v>
      </c>
      <c r="AE430">
        <v>5</v>
      </c>
      <c r="AF430">
        <v>0</v>
      </c>
      <c r="AG430">
        <v>0</v>
      </c>
      <c r="AH430">
        <v>4</v>
      </c>
      <c r="AI430">
        <f>IF(tbl_HRData[[#This Row],[Attrition]] = "Yes",1,0)</f>
        <v>0</v>
      </c>
      <c r="AJ430">
        <f>IF(tbl_HRData[[#This Row],[Attrition]] = "No",1,0)</f>
        <v>1</v>
      </c>
      <c r="AK430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430" s="1" t="str">
        <f>IF(tbl_HRData[[#This Row],[MonthlyIncome]]&lt;5000,"Low",
IF(tbl_HRData[[#This Row],[MonthlyIncome]]&lt;10000,"Medium",
IF(tbl_HRData[[#This Row],[MonthlyIncome]]&lt;15000,"Upper Medium","High")))</f>
        <v>Medium</v>
      </c>
      <c r="AM430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431" spans="1:39" x14ac:dyDescent="0.35">
      <c r="A431" s="1">
        <v>430</v>
      </c>
      <c r="B431">
        <v>46</v>
      </c>
      <c r="C431" s="1" t="s">
        <v>40</v>
      </c>
      <c r="D431" s="1" t="s">
        <v>34</v>
      </c>
      <c r="E431">
        <v>1009</v>
      </c>
      <c r="F431" s="1" t="s">
        <v>42</v>
      </c>
      <c r="G431">
        <v>2</v>
      </c>
      <c r="H431">
        <v>3</v>
      </c>
      <c r="I431" s="1" t="s">
        <v>36</v>
      </c>
      <c r="J431">
        <v>575</v>
      </c>
      <c r="K431">
        <v>1</v>
      </c>
      <c r="L431" s="1" t="s">
        <v>43</v>
      </c>
      <c r="M431">
        <v>51</v>
      </c>
      <c r="N431">
        <v>3</v>
      </c>
      <c r="O431">
        <v>4</v>
      </c>
      <c r="P431" s="1" t="s">
        <v>55</v>
      </c>
      <c r="Q431">
        <v>3</v>
      </c>
      <c r="R431" s="1" t="s">
        <v>45</v>
      </c>
      <c r="S431">
        <v>17861</v>
      </c>
      <c r="T431">
        <v>2288</v>
      </c>
      <c r="U431">
        <v>6</v>
      </c>
      <c r="V431" s="1" t="s">
        <v>40</v>
      </c>
      <c r="W431">
        <v>13</v>
      </c>
      <c r="X431">
        <v>3</v>
      </c>
      <c r="Y431">
        <v>3</v>
      </c>
      <c r="Z431">
        <v>80</v>
      </c>
      <c r="AA431">
        <v>0</v>
      </c>
      <c r="AB431">
        <v>26</v>
      </c>
      <c r="AC431">
        <v>2</v>
      </c>
      <c r="AD431">
        <v>1</v>
      </c>
      <c r="AE431">
        <v>3</v>
      </c>
      <c r="AF431">
        <v>2</v>
      </c>
      <c r="AG431">
        <v>0</v>
      </c>
      <c r="AH431">
        <v>1</v>
      </c>
      <c r="AI431">
        <f>IF(tbl_HRData[[#This Row],[Attrition]] = "Yes",1,0)</f>
        <v>0</v>
      </c>
      <c r="AJ431">
        <f>IF(tbl_HRData[[#This Row],[Attrition]] = "No",1,0)</f>
        <v>1</v>
      </c>
      <c r="AK431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431" s="1" t="str">
        <f>IF(tbl_HRData[[#This Row],[MonthlyIncome]]&lt;5000,"Low",
IF(tbl_HRData[[#This Row],[MonthlyIncome]]&lt;10000,"Medium",
IF(tbl_HRData[[#This Row],[MonthlyIncome]]&lt;15000,"Upper Medium","High")))</f>
        <v>High</v>
      </c>
      <c r="AM431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432" spans="1:39" x14ac:dyDescent="0.35">
      <c r="A432" s="1">
        <v>431</v>
      </c>
      <c r="B432">
        <v>35</v>
      </c>
      <c r="C432" s="1" t="s">
        <v>40</v>
      </c>
      <c r="D432" s="1" t="s">
        <v>34</v>
      </c>
      <c r="E432">
        <v>144</v>
      </c>
      <c r="F432" s="1" t="s">
        <v>42</v>
      </c>
      <c r="G432">
        <v>22</v>
      </c>
      <c r="H432">
        <v>3</v>
      </c>
      <c r="I432" s="1" t="s">
        <v>36</v>
      </c>
      <c r="J432">
        <v>577</v>
      </c>
      <c r="K432">
        <v>4</v>
      </c>
      <c r="L432" s="1" t="s">
        <v>43</v>
      </c>
      <c r="M432">
        <v>46</v>
      </c>
      <c r="N432">
        <v>1</v>
      </c>
      <c r="O432">
        <v>1</v>
      </c>
      <c r="P432" s="1" t="s">
        <v>47</v>
      </c>
      <c r="Q432">
        <v>3</v>
      </c>
      <c r="R432" s="1" t="s">
        <v>39</v>
      </c>
      <c r="S432">
        <v>4230</v>
      </c>
      <c r="T432">
        <v>19225</v>
      </c>
      <c r="U432">
        <v>0</v>
      </c>
      <c r="V432" s="1" t="s">
        <v>40</v>
      </c>
      <c r="W432">
        <v>15</v>
      </c>
      <c r="X432">
        <v>3</v>
      </c>
      <c r="Y432">
        <v>3</v>
      </c>
      <c r="Z432">
        <v>80</v>
      </c>
      <c r="AA432">
        <v>0</v>
      </c>
      <c r="AB432">
        <v>6</v>
      </c>
      <c r="AC432">
        <v>2</v>
      </c>
      <c r="AD432">
        <v>3</v>
      </c>
      <c r="AE432">
        <v>5</v>
      </c>
      <c r="AF432">
        <v>4</v>
      </c>
      <c r="AG432">
        <v>4</v>
      </c>
      <c r="AH432">
        <v>3</v>
      </c>
      <c r="AI432">
        <f>IF(tbl_HRData[[#This Row],[Attrition]] = "Yes",1,0)</f>
        <v>0</v>
      </c>
      <c r="AJ432">
        <f>IF(tbl_HRData[[#This Row],[Attrition]] = "No",1,0)</f>
        <v>1</v>
      </c>
      <c r="AK432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432" s="1" t="str">
        <f>IF(tbl_HRData[[#This Row],[MonthlyIncome]]&lt;5000,"Low",
IF(tbl_HRData[[#This Row],[MonthlyIncome]]&lt;10000,"Medium",
IF(tbl_HRData[[#This Row],[MonthlyIncome]]&lt;15000,"Upper Medium","High")))</f>
        <v>Low</v>
      </c>
      <c r="AM432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433" spans="1:39" x14ac:dyDescent="0.35">
      <c r="A433" s="1">
        <v>432</v>
      </c>
      <c r="B433">
        <v>54</v>
      </c>
      <c r="C433" s="1" t="s">
        <v>40</v>
      </c>
      <c r="D433" s="1" t="s">
        <v>34</v>
      </c>
      <c r="E433">
        <v>548</v>
      </c>
      <c r="F433" s="1" t="s">
        <v>42</v>
      </c>
      <c r="G433">
        <v>8</v>
      </c>
      <c r="H433">
        <v>4</v>
      </c>
      <c r="I433" s="1" t="s">
        <v>36</v>
      </c>
      <c r="J433">
        <v>578</v>
      </c>
      <c r="K433">
        <v>3</v>
      </c>
      <c r="L433" s="1" t="s">
        <v>37</v>
      </c>
      <c r="M433">
        <v>42</v>
      </c>
      <c r="N433">
        <v>3</v>
      </c>
      <c r="O433">
        <v>2</v>
      </c>
      <c r="P433" s="1" t="s">
        <v>47</v>
      </c>
      <c r="Q433">
        <v>3</v>
      </c>
      <c r="R433" s="1" t="s">
        <v>39</v>
      </c>
      <c r="S433">
        <v>3780</v>
      </c>
      <c r="T433">
        <v>23428</v>
      </c>
      <c r="U433">
        <v>7</v>
      </c>
      <c r="V433" s="1" t="s">
        <v>40</v>
      </c>
      <c r="W433">
        <v>11</v>
      </c>
      <c r="X433">
        <v>3</v>
      </c>
      <c r="Y433">
        <v>3</v>
      </c>
      <c r="Z433">
        <v>80</v>
      </c>
      <c r="AA433">
        <v>0</v>
      </c>
      <c r="AB433">
        <v>19</v>
      </c>
      <c r="AC433">
        <v>3</v>
      </c>
      <c r="AD433">
        <v>3</v>
      </c>
      <c r="AE433">
        <v>1</v>
      </c>
      <c r="AF433">
        <v>0</v>
      </c>
      <c r="AG433">
        <v>0</v>
      </c>
      <c r="AH433">
        <v>0</v>
      </c>
      <c r="AI433">
        <f>IF(tbl_HRData[[#This Row],[Attrition]] = "Yes",1,0)</f>
        <v>0</v>
      </c>
      <c r="AJ433">
        <f>IF(tbl_HRData[[#This Row],[Attrition]] = "No",1,0)</f>
        <v>1</v>
      </c>
      <c r="AK433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433" s="1" t="str">
        <f>IF(tbl_HRData[[#This Row],[MonthlyIncome]]&lt;5000,"Low",
IF(tbl_HRData[[#This Row],[MonthlyIncome]]&lt;10000,"Medium",
IF(tbl_HRData[[#This Row],[MonthlyIncome]]&lt;15000,"Upper Medium","High")))</f>
        <v>Low</v>
      </c>
      <c r="AM433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434" spans="1:39" x14ac:dyDescent="0.35">
      <c r="A434" s="1">
        <v>433</v>
      </c>
      <c r="B434">
        <v>34</v>
      </c>
      <c r="C434" s="1" t="s">
        <v>40</v>
      </c>
      <c r="D434" s="1" t="s">
        <v>34</v>
      </c>
      <c r="E434">
        <v>1303</v>
      </c>
      <c r="F434" s="1" t="s">
        <v>42</v>
      </c>
      <c r="G434">
        <v>2</v>
      </c>
      <c r="H434">
        <v>4</v>
      </c>
      <c r="I434" s="1" t="s">
        <v>36</v>
      </c>
      <c r="J434">
        <v>579</v>
      </c>
      <c r="K434">
        <v>4</v>
      </c>
      <c r="L434" s="1" t="s">
        <v>43</v>
      </c>
      <c r="M434">
        <v>62</v>
      </c>
      <c r="N434">
        <v>2</v>
      </c>
      <c r="O434">
        <v>1</v>
      </c>
      <c r="P434" s="1" t="s">
        <v>44</v>
      </c>
      <c r="Q434">
        <v>3</v>
      </c>
      <c r="R434" s="1" t="s">
        <v>49</v>
      </c>
      <c r="S434">
        <v>2768</v>
      </c>
      <c r="T434">
        <v>8416</v>
      </c>
      <c r="U434">
        <v>3</v>
      </c>
      <c r="V434" s="1" t="s">
        <v>40</v>
      </c>
      <c r="W434">
        <v>12</v>
      </c>
      <c r="X434">
        <v>3</v>
      </c>
      <c r="Y434">
        <v>3</v>
      </c>
      <c r="Z434">
        <v>80</v>
      </c>
      <c r="AA434">
        <v>1</v>
      </c>
      <c r="AB434">
        <v>14</v>
      </c>
      <c r="AC434">
        <v>3</v>
      </c>
      <c r="AD434">
        <v>3</v>
      </c>
      <c r="AE434">
        <v>7</v>
      </c>
      <c r="AF434">
        <v>3</v>
      </c>
      <c r="AG434">
        <v>5</v>
      </c>
      <c r="AH434">
        <v>7</v>
      </c>
      <c r="AI434">
        <f>IF(tbl_HRData[[#This Row],[Attrition]] = "Yes",1,0)</f>
        <v>0</v>
      </c>
      <c r="AJ434">
        <f>IF(tbl_HRData[[#This Row],[Attrition]] = "No",1,0)</f>
        <v>1</v>
      </c>
      <c r="AK434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434" s="1" t="str">
        <f>IF(tbl_HRData[[#This Row],[MonthlyIncome]]&lt;5000,"Low",
IF(tbl_HRData[[#This Row],[MonthlyIncome]]&lt;10000,"Medium",
IF(tbl_HRData[[#This Row],[MonthlyIncome]]&lt;15000,"Upper Medium","High")))</f>
        <v>Low</v>
      </c>
      <c r="AM434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435" spans="1:39" x14ac:dyDescent="0.35">
      <c r="A435" s="1">
        <v>434</v>
      </c>
      <c r="B435">
        <v>46</v>
      </c>
      <c r="C435" s="1" t="s">
        <v>40</v>
      </c>
      <c r="D435" s="1" t="s">
        <v>34</v>
      </c>
      <c r="E435">
        <v>1125</v>
      </c>
      <c r="F435" s="1" t="s">
        <v>35</v>
      </c>
      <c r="G435">
        <v>10</v>
      </c>
      <c r="H435">
        <v>3</v>
      </c>
      <c r="I435" s="1" t="s">
        <v>56</v>
      </c>
      <c r="J435">
        <v>580</v>
      </c>
      <c r="K435">
        <v>3</v>
      </c>
      <c r="L435" s="1" t="s">
        <v>37</v>
      </c>
      <c r="M435">
        <v>94</v>
      </c>
      <c r="N435">
        <v>2</v>
      </c>
      <c r="O435">
        <v>3</v>
      </c>
      <c r="P435" s="1" t="s">
        <v>38</v>
      </c>
      <c r="Q435">
        <v>4</v>
      </c>
      <c r="R435" s="1" t="s">
        <v>45</v>
      </c>
      <c r="S435">
        <v>9071</v>
      </c>
      <c r="T435">
        <v>11563</v>
      </c>
      <c r="U435">
        <v>2</v>
      </c>
      <c r="V435" s="1" t="s">
        <v>33</v>
      </c>
      <c r="W435">
        <v>19</v>
      </c>
      <c r="X435">
        <v>3</v>
      </c>
      <c r="Y435">
        <v>3</v>
      </c>
      <c r="Z435">
        <v>80</v>
      </c>
      <c r="AA435">
        <v>1</v>
      </c>
      <c r="AB435">
        <v>15</v>
      </c>
      <c r="AC435">
        <v>3</v>
      </c>
      <c r="AD435">
        <v>3</v>
      </c>
      <c r="AE435">
        <v>3</v>
      </c>
      <c r="AF435">
        <v>2</v>
      </c>
      <c r="AG435">
        <v>1</v>
      </c>
      <c r="AH435">
        <v>2</v>
      </c>
      <c r="AI435">
        <f>IF(tbl_HRData[[#This Row],[Attrition]] = "Yes",1,0)</f>
        <v>0</v>
      </c>
      <c r="AJ435">
        <f>IF(tbl_HRData[[#This Row],[Attrition]] = "No",1,0)</f>
        <v>1</v>
      </c>
      <c r="AK435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435" s="1" t="str">
        <f>IF(tbl_HRData[[#This Row],[MonthlyIncome]]&lt;5000,"Low",
IF(tbl_HRData[[#This Row],[MonthlyIncome]]&lt;10000,"Medium",
IF(tbl_HRData[[#This Row],[MonthlyIncome]]&lt;15000,"Upper Medium","High")))</f>
        <v>Medium</v>
      </c>
      <c r="AM435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436" spans="1:39" x14ac:dyDescent="0.35">
      <c r="A436" s="1">
        <v>435</v>
      </c>
      <c r="B436">
        <v>31</v>
      </c>
      <c r="C436" s="1" t="s">
        <v>40</v>
      </c>
      <c r="D436" s="1" t="s">
        <v>34</v>
      </c>
      <c r="E436">
        <v>1274</v>
      </c>
      <c r="F436" s="1" t="s">
        <v>42</v>
      </c>
      <c r="G436">
        <v>9</v>
      </c>
      <c r="H436">
        <v>1</v>
      </c>
      <c r="I436" s="1" t="s">
        <v>36</v>
      </c>
      <c r="J436">
        <v>581</v>
      </c>
      <c r="K436">
        <v>3</v>
      </c>
      <c r="L436" s="1" t="s">
        <v>43</v>
      </c>
      <c r="M436">
        <v>33</v>
      </c>
      <c r="N436">
        <v>3</v>
      </c>
      <c r="O436">
        <v>3</v>
      </c>
      <c r="P436" s="1" t="s">
        <v>50</v>
      </c>
      <c r="Q436">
        <v>2</v>
      </c>
      <c r="R436" s="1" t="s">
        <v>49</v>
      </c>
      <c r="S436">
        <v>10648</v>
      </c>
      <c r="T436">
        <v>14394</v>
      </c>
      <c r="U436">
        <v>1</v>
      </c>
      <c r="V436" s="1" t="s">
        <v>40</v>
      </c>
      <c r="W436">
        <v>25</v>
      </c>
      <c r="X436">
        <v>4</v>
      </c>
      <c r="Y436">
        <v>4</v>
      </c>
      <c r="Z436">
        <v>80</v>
      </c>
      <c r="AA436">
        <v>1</v>
      </c>
      <c r="AB436">
        <v>13</v>
      </c>
      <c r="AC436">
        <v>6</v>
      </c>
      <c r="AD436">
        <v>4</v>
      </c>
      <c r="AE436">
        <v>13</v>
      </c>
      <c r="AF436">
        <v>8</v>
      </c>
      <c r="AG436">
        <v>0</v>
      </c>
      <c r="AH436">
        <v>8</v>
      </c>
      <c r="AI436">
        <f>IF(tbl_HRData[[#This Row],[Attrition]] = "Yes",1,0)</f>
        <v>0</v>
      </c>
      <c r="AJ436">
        <f>IF(tbl_HRData[[#This Row],[Attrition]] = "No",1,0)</f>
        <v>1</v>
      </c>
      <c r="AK436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436" s="1" t="str">
        <f>IF(tbl_HRData[[#This Row],[MonthlyIncome]]&lt;5000,"Low",
IF(tbl_HRData[[#This Row],[MonthlyIncome]]&lt;10000,"Medium",
IF(tbl_HRData[[#This Row],[MonthlyIncome]]&lt;15000,"Upper Medium","High")))</f>
        <v>Upper Medium</v>
      </c>
      <c r="AM436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437" spans="1:39" x14ac:dyDescent="0.35">
      <c r="A437" s="1">
        <v>436</v>
      </c>
      <c r="B437">
        <v>33</v>
      </c>
      <c r="C437" s="1" t="s">
        <v>33</v>
      </c>
      <c r="D437" s="1" t="s">
        <v>34</v>
      </c>
      <c r="E437">
        <v>1277</v>
      </c>
      <c r="F437" s="1" t="s">
        <v>42</v>
      </c>
      <c r="G437">
        <v>15</v>
      </c>
      <c r="H437">
        <v>1</v>
      </c>
      <c r="I437" s="1" t="s">
        <v>48</v>
      </c>
      <c r="J437">
        <v>582</v>
      </c>
      <c r="K437">
        <v>2</v>
      </c>
      <c r="L437" s="1" t="s">
        <v>43</v>
      </c>
      <c r="M437">
        <v>56</v>
      </c>
      <c r="N437">
        <v>3</v>
      </c>
      <c r="O437">
        <v>3</v>
      </c>
      <c r="P437" s="1" t="s">
        <v>53</v>
      </c>
      <c r="Q437">
        <v>3</v>
      </c>
      <c r="R437" s="1" t="s">
        <v>45</v>
      </c>
      <c r="S437">
        <v>13610</v>
      </c>
      <c r="T437">
        <v>24619</v>
      </c>
      <c r="U437">
        <v>7</v>
      </c>
      <c r="V437" s="1" t="s">
        <v>33</v>
      </c>
      <c r="W437">
        <v>12</v>
      </c>
      <c r="X437">
        <v>3</v>
      </c>
      <c r="Y437">
        <v>4</v>
      </c>
      <c r="Z437">
        <v>80</v>
      </c>
      <c r="AA437">
        <v>0</v>
      </c>
      <c r="AB437">
        <v>15</v>
      </c>
      <c r="AC437">
        <v>2</v>
      </c>
      <c r="AD437">
        <v>4</v>
      </c>
      <c r="AE437">
        <v>7</v>
      </c>
      <c r="AF437">
        <v>6</v>
      </c>
      <c r="AG437">
        <v>7</v>
      </c>
      <c r="AH437">
        <v>7</v>
      </c>
      <c r="AI437">
        <f>IF(tbl_HRData[[#This Row],[Attrition]] = "Yes",1,0)</f>
        <v>1</v>
      </c>
      <c r="AJ437">
        <f>IF(tbl_HRData[[#This Row],[Attrition]] = "No",1,0)</f>
        <v>0</v>
      </c>
      <c r="AK437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437" s="1" t="str">
        <f>IF(tbl_HRData[[#This Row],[MonthlyIncome]]&lt;5000,"Low",
IF(tbl_HRData[[#This Row],[MonthlyIncome]]&lt;10000,"Medium",
IF(tbl_HRData[[#This Row],[MonthlyIncome]]&lt;15000,"Upper Medium","High")))</f>
        <v>Upper Medium</v>
      </c>
      <c r="AM437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438" spans="1:39" x14ac:dyDescent="0.35">
      <c r="A438" s="1">
        <v>437</v>
      </c>
      <c r="B438">
        <v>33</v>
      </c>
      <c r="C438" s="1" t="s">
        <v>33</v>
      </c>
      <c r="D438" s="1" t="s">
        <v>34</v>
      </c>
      <c r="E438">
        <v>587</v>
      </c>
      <c r="F438" s="1" t="s">
        <v>42</v>
      </c>
      <c r="G438">
        <v>10</v>
      </c>
      <c r="H438">
        <v>1</v>
      </c>
      <c r="I438" s="1" t="s">
        <v>48</v>
      </c>
      <c r="J438">
        <v>584</v>
      </c>
      <c r="K438">
        <v>1</v>
      </c>
      <c r="L438" s="1" t="s">
        <v>43</v>
      </c>
      <c r="M438">
        <v>38</v>
      </c>
      <c r="N438">
        <v>1</v>
      </c>
      <c r="O438">
        <v>1</v>
      </c>
      <c r="P438" s="1" t="s">
        <v>47</v>
      </c>
      <c r="Q438">
        <v>4</v>
      </c>
      <c r="R438" s="1" t="s">
        <v>49</v>
      </c>
      <c r="S438">
        <v>3408</v>
      </c>
      <c r="T438">
        <v>6705</v>
      </c>
      <c r="U438">
        <v>7</v>
      </c>
      <c r="V438" s="1" t="s">
        <v>40</v>
      </c>
      <c r="W438">
        <v>13</v>
      </c>
      <c r="X438">
        <v>3</v>
      </c>
      <c r="Y438">
        <v>1</v>
      </c>
      <c r="Z438">
        <v>80</v>
      </c>
      <c r="AA438">
        <v>3</v>
      </c>
      <c r="AB438">
        <v>8</v>
      </c>
      <c r="AC438">
        <v>2</v>
      </c>
      <c r="AD438">
        <v>3</v>
      </c>
      <c r="AE438">
        <v>4</v>
      </c>
      <c r="AF438">
        <v>3</v>
      </c>
      <c r="AG438">
        <v>1</v>
      </c>
      <c r="AH438">
        <v>3</v>
      </c>
      <c r="AI438">
        <f>IF(tbl_HRData[[#This Row],[Attrition]] = "Yes",1,0)</f>
        <v>1</v>
      </c>
      <c r="AJ438">
        <f>IF(tbl_HRData[[#This Row],[Attrition]] = "No",1,0)</f>
        <v>0</v>
      </c>
      <c r="AK438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438" s="1" t="str">
        <f>IF(tbl_HRData[[#This Row],[MonthlyIncome]]&lt;5000,"Low",
IF(tbl_HRData[[#This Row],[MonthlyIncome]]&lt;10000,"Medium",
IF(tbl_HRData[[#This Row],[MonthlyIncome]]&lt;15000,"Upper Medium","High")))</f>
        <v>Low</v>
      </c>
      <c r="AM438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439" spans="1:39" x14ac:dyDescent="0.35">
      <c r="A439" s="1">
        <v>438</v>
      </c>
      <c r="B439">
        <v>30</v>
      </c>
      <c r="C439" s="1" t="s">
        <v>40</v>
      </c>
      <c r="D439" s="1" t="s">
        <v>34</v>
      </c>
      <c r="E439">
        <v>413</v>
      </c>
      <c r="F439" s="1" t="s">
        <v>35</v>
      </c>
      <c r="G439">
        <v>7</v>
      </c>
      <c r="H439">
        <v>1</v>
      </c>
      <c r="I439" s="1" t="s">
        <v>56</v>
      </c>
      <c r="J439">
        <v>585</v>
      </c>
      <c r="K439">
        <v>4</v>
      </c>
      <c r="L439" s="1" t="s">
        <v>43</v>
      </c>
      <c r="M439">
        <v>57</v>
      </c>
      <c r="N439">
        <v>3</v>
      </c>
      <c r="O439">
        <v>1</v>
      </c>
      <c r="P439" s="1" t="s">
        <v>54</v>
      </c>
      <c r="Q439">
        <v>2</v>
      </c>
      <c r="R439" s="1" t="s">
        <v>39</v>
      </c>
      <c r="S439">
        <v>2983</v>
      </c>
      <c r="T439">
        <v>18398</v>
      </c>
      <c r="U439">
        <v>0</v>
      </c>
      <c r="V439" s="1" t="s">
        <v>40</v>
      </c>
      <c r="W439">
        <v>14</v>
      </c>
      <c r="X439">
        <v>3</v>
      </c>
      <c r="Y439">
        <v>1</v>
      </c>
      <c r="Z439">
        <v>80</v>
      </c>
      <c r="AA439">
        <v>0</v>
      </c>
      <c r="AB439">
        <v>4</v>
      </c>
      <c r="AC439">
        <v>3</v>
      </c>
      <c r="AD439">
        <v>3</v>
      </c>
      <c r="AE439">
        <v>3</v>
      </c>
      <c r="AF439">
        <v>2</v>
      </c>
      <c r="AG439">
        <v>1</v>
      </c>
      <c r="AH439">
        <v>2</v>
      </c>
      <c r="AI439">
        <f>IF(tbl_HRData[[#This Row],[Attrition]] = "Yes",1,0)</f>
        <v>0</v>
      </c>
      <c r="AJ439">
        <f>IF(tbl_HRData[[#This Row],[Attrition]] = "No",1,0)</f>
        <v>1</v>
      </c>
      <c r="AK439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439" s="1" t="str">
        <f>IF(tbl_HRData[[#This Row],[MonthlyIncome]]&lt;5000,"Low",
IF(tbl_HRData[[#This Row],[MonthlyIncome]]&lt;10000,"Medium",
IF(tbl_HRData[[#This Row],[MonthlyIncome]]&lt;15000,"Upper Medium","High")))</f>
        <v>Low</v>
      </c>
      <c r="AM439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440" spans="1:39" x14ac:dyDescent="0.35">
      <c r="A440" s="1">
        <v>439</v>
      </c>
      <c r="B440">
        <v>35</v>
      </c>
      <c r="C440" s="1" t="s">
        <v>40</v>
      </c>
      <c r="D440" s="1" t="s">
        <v>34</v>
      </c>
      <c r="E440">
        <v>1276</v>
      </c>
      <c r="F440" s="1" t="s">
        <v>42</v>
      </c>
      <c r="G440">
        <v>16</v>
      </c>
      <c r="H440">
        <v>3</v>
      </c>
      <c r="I440" s="1" t="s">
        <v>36</v>
      </c>
      <c r="J440">
        <v>586</v>
      </c>
      <c r="K440">
        <v>4</v>
      </c>
      <c r="L440" s="1" t="s">
        <v>43</v>
      </c>
      <c r="M440">
        <v>72</v>
      </c>
      <c r="N440">
        <v>3</v>
      </c>
      <c r="O440">
        <v>3</v>
      </c>
      <c r="P440" s="1" t="s">
        <v>51</v>
      </c>
      <c r="Q440">
        <v>3</v>
      </c>
      <c r="R440" s="1" t="s">
        <v>45</v>
      </c>
      <c r="S440">
        <v>7632</v>
      </c>
      <c r="T440">
        <v>14295</v>
      </c>
      <c r="U440">
        <v>4</v>
      </c>
      <c r="V440" s="1" t="s">
        <v>33</v>
      </c>
      <c r="W440">
        <v>12</v>
      </c>
      <c r="X440">
        <v>3</v>
      </c>
      <c r="Y440">
        <v>3</v>
      </c>
      <c r="Z440">
        <v>80</v>
      </c>
      <c r="AA440">
        <v>0</v>
      </c>
      <c r="AB440">
        <v>10</v>
      </c>
      <c r="AC440">
        <v>2</v>
      </c>
      <c r="AD440">
        <v>3</v>
      </c>
      <c r="AE440">
        <v>8</v>
      </c>
      <c r="AF440">
        <v>7</v>
      </c>
      <c r="AG440">
        <v>0</v>
      </c>
      <c r="AH440">
        <v>0</v>
      </c>
      <c r="AI440">
        <f>IF(tbl_HRData[[#This Row],[Attrition]] = "Yes",1,0)</f>
        <v>0</v>
      </c>
      <c r="AJ440">
        <f>IF(tbl_HRData[[#This Row],[Attrition]] = "No",1,0)</f>
        <v>1</v>
      </c>
      <c r="AK440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440" s="1" t="str">
        <f>IF(tbl_HRData[[#This Row],[MonthlyIncome]]&lt;5000,"Low",
IF(tbl_HRData[[#This Row],[MonthlyIncome]]&lt;10000,"Medium",
IF(tbl_HRData[[#This Row],[MonthlyIncome]]&lt;15000,"Upper Medium","High")))</f>
        <v>Medium</v>
      </c>
      <c r="AM440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441" spans="1:39" x14ac:dyDescent="0.35">
      <c r="A441" s="1">
        <v>440</v>
      </c>
      <c r="B441">
        <v>31</v>
      </c>
      <c r="C441" s="1" t="s">
        <v>33</v>
      </c>
      <c r="D441" s="1" t="s">
        <v>41</v>
      </c>
      <c r="E441">
        <v>534</v>
      </c>
      <c r="F441" s="1" t="s">
        <v>42</v>
      </c>
      <c r="G441">
        <v>20</v>
      </c>
      <c r="H441">
        <v>3</v>
      </c>
      <c r="I441" s="1" t="s">
        <v>36</v>
      </c>
      <c r="J441">
        <v>587</v>
      </c>
      <c r="K441">
        <v>1</v>
      </c>
      <c r="L441" s="1" t="s">
        <v>43</v>
      </c>
      <c r="M441">
        <v>66</v>
      </c>
      <c r="N441">
        <v>3</v>
      </c>
      <c r="O441">
        <v>3</v>
      </c>
      <c r="P441" s="1" t="s">
        <v>51</v>
      </c>
      <c r="Q441">
        <v>3</v>
      </c>
      <c r="R441" s="1" t="s">
        <v>45</v>
      </c>
      <c r="S441">
        <v>9824</v>
      </c>
      <c r="T441">
        <v>22908</v>
      </c>
      <c r="U441">
        <v>3</v>
      </c>
      <c r="V441" s="1" t="s">
        <v>40</v>
      </c>
      <c r="W441">
        <v>12</v>
      </c>
      <c r="X441">
        <v>3</v>
      </c>
      <c r="Y441">
        <v>1</v>
      </c>
      <c r="Z441">
        <v>80</v>
      </c>
      <c r="AA441">
        <v>0</v>
      </c>
      <c r="AB441">
        <v>12</v>
      </c>
      <c r="AC441">
        <v>2</v>
      </c>
      <c r="AD441">
        <v>3</v>
      </c>
      <c r="AE441">
        <v>1</v>
      </c>
      <c r="AF441">
        <v>0</v>
      </c>
      <c r="AG441">
        <v>0</v>
      </c>
      <c r="AH441">
        <v>0</v>
      </c>
      <c r="AI441">
        <f>IF(tbl_HRData[[#This Row],[Attrition]] = "Yes",1,0)</f>
        <v>1</v>
      </c>
      <c r="AJ441">
        <f>IF(tbl_HRData[[#This Row],[Attrition]] = "No",1,0)</f>
        <v>0</v>
      </c>
      <c r="AK441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441" s="1" t="str">
        <f>IF(tbl_HRData[[#This Row],[MonthlyIncome]]&lt;5000,"Low",
IF(tbl_HRData[[#This Row],[MonthlyIncome]]&lt;10000,"Medium",
IF(tbl_HRData[[#This Row],[MonthlyIncome]]&lt;15000,"Upper Medium","High")))</f>
        <v>Medium</v>
      </c>
      <c r="AM441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442" spans="1:39" x14ac:dyDescent="0.35">
      <c r="A442" s="1">
        <v>441</v>
      </c>
      <c r="B442">
        <v>34</v>
      </c>
      <c r="C442" s="1" t="s">
        <v>33</v>
      </c>
      <c r="D442" s="1" t="s">
        <v>41</v>
      </c>
      <c r="E442">
        <v>988</v>
      </c>
      <c r="F442" s="1" t="s">
        <v>58</v>
      </c>
      <c r="G442">
        <v>23</v>
      </c>
      <c r="H442">
        <v>3</v>
      </c>
      <c r="I442" s="1" t="s">
        <v>58</v>
      </c>
      <c r="J442">
        <v>590</v>
      </c>
      <c r="K442">
        <v>2</v>
      </c>
      <c r="L442" s="1" t="s">
        <v>37</v>
      </c>
      <c r="M442">
        <v>43</v>
      </c>
      <c r="N442">
        <v>3</v>
      </c>
      <c r="O442">
        <v>3</v>
      </c>
      <c r="P442" s="1" t="s">
        <v>58</v>
      </c>
      <c r="Q442">
        <v>1</v>
      </c>
      <c r="R442" s="1" t="s">
        <v>49</v>
      </c>
      <c r="S442">
        <v>9950</v>
      </c>
      <c r="T442">
        <v>11533</v>
      </c>
      <c r="U442">
        <v>9</v>
      </c>
      <c r="V442" s="1" t="s">
        <v>33</v>
      </c>
      <c r="W442">
        <v>15</v>
      </c>
      <c r="X442">
        <v>3</v>
      </c>
      <c r="Y442">
        <v>3</v>
      </c>
      <c r="Z442">
        <v>80</v>
      </c>
      <c r="AA442">
        <v>3</v>
      </c>
      <c r="AB442">
        <v>11</v>
      </c>
      <c r="AC442">
        <v>2</v>
      </c>
      <c r="AD442">
        <v>3</v>
      </c>
      <c r="AE442">
        <v>3</v>
      </c>
      <c r="AF442">
        <v>2</v>
      </c>
      <c r="AG442">
        <v>0</v>
      </c>
      <c r="AH442">
        <v>2</v>
      </c>
      <c r="AI442">
        <f>IF(tbl_HRData[[#This Row],[Attrition]] = "Yes",1,0)</f>
        <v>1</v>
      </c>
      <c r="AJ442">
        <f>IF(tbl_HRData[[#This Row],[Attrition]] = "No",1,0)</f>
        <v>0</v>
      </c>
      <c r="AK442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442" s="1" t="str">
        <f>IF(tbl_HRData[[#This Row],[MonthlyIncome]]&lt;5000,"Low",
IF(tbl_HRData[[#This Row],[MonthlyIncome]]&lt;10000,"Medium",
IF(tbl_HRData[[#This Row],[MonthlyIncome]]&lt;15000,"Upper Medium","High")))</f>
        <v>Medium</v>
      </c>
      <c r="AM442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443" spans="1:39" x14ac:dyDescent="0.35">
      <c r="A443" s="1">
        <v>442</v>
      </c>
      <c r="B443">
        <v>42</v>
      </c>
      <c r="C443" s="1" t="s">
        <v>40</v>
      </c>
      <c r="D443" s="1" t="s">
        <v>41</v>
      </c>
      <c r="E443">
        <v>1474</v>
      </c>
      <c r="F443" s="1" t="s">
        <v>42</v>
      </c>
      <c r="G443">
        <v>5</v>
      </c>
      <c r="H443">
        <v>2</v>
      </c>
      <c r="I443" s="1" t="s">
        <v>46</v>
      </c>
      <c r="J443">
        <v>591</v>
      </c>
      <c r="K443">
        <v>2</v>
      </c>
      <c r="L443" s="1" t="s">
        <v>43</v>
      </c>
      <c r="M443">
        <v>97</v>
      </c>
      <c r="N443">
        <v>3</v>
      </c>
      <c r="O443">
        <v>1</v>
      </c>
      <c r="P443" s="1" t="s">
        <v>47</v>
      </c>
      <c r="Q443">
        <v>3</v>
      </c>
      <c r="R443" s="1" t="s">
        <v>45</v>
      </c>
      <c r="S443">
        <v>2093</v>
      </c>
      <c r="T443">
        <v>9260</v>
      </c>
      <c r="U443">
        <v>4</v>
      </c>
      <c r="V443" s="1" t="s">
        <v>40</v>
      </c>
      <c r="W443">
        <v>17</v>
      </c>
      <c r="X443">
        <v>3</v>
      </c>
      <c r="Y443">
        <v>4</v>
      </c>
      <c r="Z443">
        <v>80</v>
      </c>
      <c r="AA443">
        <v>1</v>
      </c>
      <c r="AB443">
        <v>8</v>
      </c>
      <c r="AC443">
        <v>4</v>
      </c>
      <c r="AD443">
        <v>3</v>
      </c>
      <c r="AE443">
        <v>2</v>
      </c>
      <c r="AF443">
        <v>2</v>
      </c>
      <c r="AG443">
        <v>2</v>
      </c>
      <c r="AH443">
        <v>0</v>
      </c>
      <c r="AI443">
        <f>IF(tbl_HRData[[#This Row],[Attrition]] = "Yes",1,0)</f>
        <v>0</v>
      </c>
      <c r="AJ443">
        <f>IF(tbl_HRData[[#This Row],[Attrition]] = "No",1,0)</f>
        <v>1</v>
      </c>
      <c r="AK443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443" s="1" t="str">
        <f>IF(tbl_HRData[[#This Row],[MonthlyIncome]]&lt;5000,"Low",
IF(tbl_HRData[[#This Row],[MonthlyIncome]]&lt;10000,"Medium",
IF(tbl_HRData[[#This Row],[MonthlyIncome]]&lt;15000,"Upper Medium","High")))</f>
        <v>Low</v>
      </c>
      <c r="AM443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444" spans="1:39" x14ac:dyDescent="0.35">
      <c r="A444" s="1">
        <v>443</v>
      </c>
      <c r="B444">
        <v>36</v>
      </c>
      <c r="C444" s="1" t="s">
        <v>40</v>
      </c>
      <c r="D444" s="1" t="s">
        <v>52</v>
      </c>
      <c r="E444">
        <v>635</v>
      </c>
      <c r="F444" s="1" t="s">
        <v>35</v>
      </c>
      <c r="G444">
        <v>10</v>
      </c>
      <c r="H444">
        <v>4</v>
      </c>
      <c r="I444" s="1" t="s">
        <v>48</v>
      </c>
      <c r="J444">
        <v>592</v>
      </c>
      <c r="K444">
        <v>2</v>
      </c>
      <c r="L444" s="1" t="s">
        <v>43</v>
      </c>
      <c r="M444">
        <v>32</v>
      </c>
      <c r="N444">
        <v>3</v>
      </c>
      <c r="O444">
        <v>3</v>
      </c>
      <c r="P444" s="1" t="s">
        <v>38</v>
      </c>
      <c r="Q444">
        <v>4</v>
      </c>
      <c r="R444" s="1" t="s">
        <v>39</v>
      </c>
      <c r="S444">
        <v>9980</v>
      </c>
      <c r="T444">
        <v>15318</v>
      </c>
      <c r="U444">
        <v>1</v>
      </c>
      <c r="V444" s="1" t="s">
        <v>40</v>
      </c>
      <c r="W444">
        <v>14</v>
      </c>
      <c r="X444">
        <v>3</v>
      </c>
      <c r="Y444">
        <v>4</v>
      </c>
      <c r="Z444">
        <v>80</v>
      </c>
      <c r="AA444">
        <v>0</v>
      </c>
      <c r="AB444">
        <v>10</v>
      </c>
      <c r="AC444">
        <v>3</v>
      </c>
      <c r="AD444">
        <v>2</v>
      </c>
      <c r="AE444">
        <v>10</v>
      </c>
      <c r="AF444">
        <v>3</v>
      </c>
      <c r="AG444">
        <v>9</v>
      </c>
      <c r="AH444">
        <v>7</v>
      </c>
      <c r="AI444">
        <f>IF(tbl_HRData[[#This Row],[Attrition]] = "Yes",1,0)</f>
        <v>0</v>
      </c>
      <c r="AJ444">
        <f>IF(tbl_HRData[[#This Row],[Attrition]] = "No",1,0)</f>
        <v>1</v>
      </c>
      <c r="AK444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444" s="1" t="str">
        <f>IF(tbl_HRData[[#This Row],[MonthlyIncome]]&lt;5000,"Low",
IF(tbl_HRData[[#This Row],[MonthlyIncome]]&lt;10000,"Medium",
IF(tbl_HRData[[#This Row],[MonthlyIncome]]&lt;15000,"Upper Medium","High")))</f>
        <v>Medium</v>
      </c>
      <c r="AM444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445" spans="1:39" x14ac:dyDescent="0.35">
      <c r="A445" s="1">
        <v>444</v>
      </c>
      <c r="B445">
        <v>22</v>
      </c>
      <c r="C445" s="1" t="s">
        <v>33</v>
      </c>
      <c r="D445" s="1" t="s">
        <v>41</v>
      </c>
      <c r="E445">
        <v>1368</v>
      </c>
      <c r="F445" s="1" t="s">
        <v>42</v>
      </c>
      <c r="G445">
        <v>4</v>
      </c>
      <c r="H445">
        <v>1</v>
      </c>
      <c r="I445" s="1" t="s">
        <v>57</v>
      </c>
      <c r="J445">
        <v>593</v>
      </c>
      <c r="K445">
        <v>3</v>
      </c>
      <c r="L445" s="1" t="s">
        <v>43</v>
      </c>
      <c r="M445">
        <v>99</v>
      </c>
      <c r="N445">
        <v>2</v>
      </c>
      <c r="O445">
        <v>1</v>
      </c>
      <c r="P445" s="1" t="s">
        <v>47</v>
      </c>
      <c r="Q445">
        <v>3</v>
      </c>
      <c r="R445" s="1" t="s">
        <v>39</v>
      </c>
      <c r="S445">
        <v>3894</v>
      </c>
      <c r="T445">
        <v>9129</v>
      </c>
      <c r="U445">
        <v>5</v>
      </c>
      <c r="V445" s="1" t="s">
        <v>40</v>
      </c>
      <c r="W445">
        <v>16</v>
      </c>
      <c r="X445">
        <v>3</v>
      </c>
      <c r="Y445">
        <v>3</v>
      </c>
      <c r="Z445">
        <v>80</v>
      </c>
      <c r="AA445">
        <v>0</v>
      </c>
      <c r="AB445">
        <v>4</v>
      </c>
      <c r="AC445">
        <v>3</v>
      </c>
      <c r="AD445">
        <v>3</v>
      </c>
      <c r="AE445">
        <v>2</v>
      </c>
      <c r="AF445">
        <v>2</v>
      </c>
      <c r="AG445">
        <v>1</v>
      </c>
      <c r="AH445">
        <v>2</v>
      </c>
      <c r="AI445">
        <f>IF(tbl_HRData[[#This Row],[Attrition]] = "Yes",1,0)</f>
        <v>1</v>
      </c>
      <c r="AJ445">
        <f>IF(tbl_HRData[[#This Row],[Attrition]] = "No",1,0)</f>
        <v>0</v>
      </c>
      <c r="AK445" t="str">
        <f>IF(tbl_HRData[[#This Row],[Age]] &lt; 25, "Under 25", IF(tbl_HRData[[#This Row],[Age]] &lt;= 34, "25-34", IF(tbl_HRData[[#This Row],[Age]] &lt;= 44, "35-44", IF(tbl_HRData[[#This Row],[Age]] &lt;= 54, "45-54", "55+"))))</f>
        <v>Under 25</v>
      </c>
      <c r="AL445" s="1" t="str">
        <f>IF(tbl_HRData[[#This Row],[MonthlyIncome]]&lt;5000,"Low",
IF(tbl_HRData[[#This Row],[MonthlyIncome]]&lt;10000,"Medium",
IF(tbl_HRData[[#This Row],[MonthlyIncome]]&lt;15000,"Upper Medium","High")))</f>
        <v>Low</v>
      </c>
      <c r="AM445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446" spans="1:39" x14ac:dyDescent="0.35">
      <c r="A446" s="1">
        <v>445</v>
      </c>
      <c r="B446">
        <v>48</v>
      </c>
      <c r="C446" s="1" t="s">
        <v>40</v>
      </c>
      <c r="D446" s="1" t="s">
        <v>34</v>
      </c>
      <c r="E446">
        <v>163</v>
      </c>
      <c r="F446" s="1" t="s">
        <v>35</v>
      </c>
      <c r="G446">
        <v>2</v>
      </c>
      <c r="H446">
        <v>5</v>
      </c>
      <c r="I446" s="1" t="s">
        <v>56</v>
      </c>
      <c r="J446">
        <v>595</v>
      </c>
      <c r="K446">
        <v>2</v>
      </c>
      <c r="L446" s="1" t="s">
        <v>37</v>
      </c>
      <c r="M446">
        <v>37</v>
      </c>
      <c r="N446">
        <v>3</v>
      </c>
      <c r="O446">
        <v>2</v>
      </c>
      <c r="P446" s="1" t="s">
        <v>38</v>
      </c>
      <c r="Q446">
        <v>4</v>
      </c>
      <c r="R446" s="1" t="s">
        <v>45</v>
      </c>
      <c r="S446">
        <v>4051</v>
      </c>
      <c r="T446">
        <v>19658</v>
      </c>
      <c r="U446">
        <v>2</v>
      </c>
      <c r="V446" s="1" t="s">
        <v>40</v>
      </c>
      <c r="W446">
        <v>14</v>
      </c>
      <c r="X446">
        <v>3</v>
      </c>
      <c r="Y446">
        <v>1</v>
      </c>
      <c r="Z446">
        <v>80</v>
      </c>
      <c r="AA446">
        <v>1</v>
      </c>
      <c r="AB446">
        <v>14</v>
      </c>
      <c r="AC446">
        <v>2</v>
      </c>
      <c r="AD446">
        <v>3</v>
      </c>
      <c r="AE446">
        <v>9</v>
      </c>
      <c r="AF446">
        <v>7</v>
      </c>
      <c r="AG446">
        <v>6</v>
      </c>
      <c r="AH446">
        <v>7</v>
      </c>
      <c r="AI446">
        <f>IF(tbl_HRData[[#This Row],[Attrition]] = "Yes",1,0)</f>
        <v>0</v>
      </c>
      <c r="AJ446">
        <f>IF(tbl_HRData[[#This Row],[Attrition]] = "No",1,0)</f>
        <v>1</v>
      </c>
      <c r="AK446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446" s="1" t="str">
        <f>IF(tbl_HRData[[#This Row],[MonthlyIncome]]&lt;5000,"Low",
IF(tbl_HRData[[#This Row],[MonthlyIncome]]&lt;10000,"Medium",
IF(tbl_HRData[[#This Row],[MonthlyIncome]]&lt;15000,"Upper Medium","High")))</f>
        <v>Low</v>
      </c>
      <c r="AM446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447" spans="1:39" x14ac:dyDescent="0.35">
      <c r="A447" s="1">
        <v>446</v>
      </c>
      <c r="B447">
        <v>55</v>
      </c>
      <c r="C447" s="1" t="s">
        <v>40</v>
      </c>
      <c r="D447" s="1" t="s">
        <v>34</v>
      </c>
      <c r="E447">
        <v>1117</v>
      </c>
      <c r="F447" s="1" t="s">
        <v>35</v>
      </c>
      <c r="G447">
        <v>18</v>
      </c>
      <c r="H447">
        <v>5</v>
      </c>
      <c r="I447" s="1" t="s">
        <v>36</v>
      </c>
      <c r="J447">
        <v>597</v>
      </c>
      <c r="K447">
        <v>1</v>
      </c>
      <c r="L447" s="1" t="s">
        <v>37</v>
      </c>
      <c r="M447">
        <v>83</v>
      </c>
      <c r="N447">
        <v>3</v>
      </c>
      <c r="O447">
        <v>4</v>
      </c>
      <c r="P447" s="1" t="s">
        <v>53</v>
      </c>
      <c r="Q447">
        <v>2</v>
      </c>
      <c r="R447" s="1" t="s">
        <v>39</v>
      </c>
      <c r="S447">
        <v>16835</v>
      </c>
      <c r="T447">
        <v>9873</v>
      </c>
      <c r="U447">
        <v>3</v>
      </c>
      <c r="V447" s="1" t="s">
        <v>40</v>
      </c>
      <c r="W447">
        <v>23</v>
      </c>
      <c r="X447">
        <v>4</v>
      </c>
      <c r="Y447">
        <v>4</v>
      </c>
      <c r="Z447">
        <v>80</v>
      </c>
      <c r="AA447">
        <v>0</v>
      </c>
      <c r="AB447">
        <v>37</v>
      </c>
      <c r="AC447">
        <v>2</v>
      </c>
      <c r="AD447">
        <v>3</v>
      </c>
      <c r="AE447">
        <v>10</v>
      </c>
      <c r="AF447">
        <v>9</v>
      </c>
      <c r="AG447">
        <v>7</v>
      </c>
      <c r="AH447">
        <v>7</v>
      </c>
      <c r="AI447">
        <f>IF(tbl_HRData[[#This Row],[Attrition]] = "Yes",1,0)</f>
        <v>0</v>
      </c>
      <c r="AJ447">
        <f>IF(tbl_HRData[[#This Row],[Attrition]] = "No",1,0)</f>
        <v>1</v>
      </c>
      <c r="AK447" t="str">
        <f>IF(tbl_HRData[[#This Row],[Age]] &lt; 25, "Under 25", IF(tbl_HRData[[#This Row],[Age]] &lt;= 34, "25-34", IF(tbl_HRData[[#This Row],[Age]] &lt;= 44, "35-44", IF(tbl_HRData[[#This Row],[Age]] &lt;= 54, "45-54", "55+"))))</f>
        <v>55+</v>
      </c>
      <c r="AL447" s="1" t="str">
        <f>IF(tbl_HRData[[#This Row],[MonthlyIncome]]&lt;5000,"Low",
IF(tbl_HRData[[#This Row],[MonthlyIncome]]&lt;10000,"Medium",
IF(tbl_HRData[[#This Row],[MonthlyIncome]]&lt;15000,"Upper Medium","High")))</f>
        <v>High</v>
      </c>
      <c r="AM447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448" spans="1:39" x14ac:dyDescent="0.35">
      <c r="A448" s="1">
        <v>447</v>
      </c>
      <c r="B448">
        <v>41</v>
      </c>
      <c r="C448" s="1" t="s">
        <v>40</v>
      </c>
      <c r="D448" s="1" t="s">
        <v>52</v>
      </c>
      <c r="E448">
        <v>267</v>
      </c>
      <c r="F448" s="1" t="s">
        <v>35</v>
      </c>
      <c r="G448">
        <v>10</v>
      </c>
      <c r="H448">
        <v>2</v>
      </c>
      <c r="I448" s="1" t="s">
        <v>36</v>
      </c>
      <c r="J448">
        <v>599</v>
      </c>
      <c r="K448">
        <v>4</v>
      </c>
      <c r="L448" s="1" t="s">
        <v>43</v>
      </c>
      <c r="M448">
        <v>56</v>
      </c>
      <c r="N448">
        <v>3</v>
      </c>
      <c r="O448">
        <v>2</v>
      </c>
      <c r="P448" s="1" t="s">
        <v>38</v>
      </c>
      <c r="Q448">
        <v>4</v>
      </c>
      <c r="R448" s="1" t="s">
        <v>39</v>
      </c>
      <c r="S448">
        <v>6230</v>
      </c>
      <c r="T448">
        <v>13430</v>
      </c>
      <c r="U448">
        <v>7</v>
      </c>
      <c r="V448" s="1" t="s">
        <v>40</v>
      </c>
      <c r="W448">
        <v>14</v>
      </c>
      <c r="X448">
        <v>3</v>
      </c>
      <c r="Y448">
        <v>4</v>
      </c>
      <c r="Z448">
        <v>80</v>
      </c>
      <c r="AA448">
        <v>0</v>
      </c>
      <c r="AB448">
        <v>16</v>
      </c>
      <c r="AC448">
        <v>3</v>
      </c>
      <c r="AD448">
        <v>3</v>
      </c>
      <c r="AE448">
        <v>14</v>
      </c>
      <c r="AF448">
        <v>3</v>
      </c>
      <c r="AG448">
        <v>1</v>
      </c>
      <c r="AH448">
        <v>10</v>
      </c>
      <c r="AI448">
        <f>IF(tbl_HRData[[#This Row],[Attrition]] = "Yes",1,0)</f>
        <v>0</v>
      </c>
      <c r="AJ448">
        <f>IF(tbl_HRData[[#This Row],[Attrition]] = "No",1,0)</f>
        <v>1</v>
      </c>
      <c r="AK448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448" s="1" t="str">
        <f>IF(tbl_HRData[[#This Row],[MonthlyIncome]]&lt;5000,"Low",
IF(tbl_HRData[[#This Row],[MonthlyIncome]]&lt;10000,"Medium",
IF(tbl_HRData[[#This Row],[MonthlyIncome]]&lt;15000,"Upper Medium","High")))</f>
        <v>Medium</v>
      </c>
      <c r="AM448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449" spans="1:39" x14ac:dyDescent="0.35">
      <c r="A449" s="1">
        <v>448</v>
      </c>
      <c r="B449">
        <v>35</v>
      </c>
      <c r="C449" s="1" t="s">
        <v>40</v>
      </c>
      <c r="D449" s="1" t="s">
        <v>34</v>
      </c>
      <c r="E449">
        <v>619</v>
      </c>
      <c r="F449" s="1" t="s">
        <v>35</v>
      </c>
      <c r="G449">
        <v>1</v>
      </c>
      <c r="H449">
        <v>3</v>
      </c>
      <c r="I449" s="1" t="s">
        <v>56</v>
      </c>
      <c r="J449">
        <v>600</v>
      </c>
      <c r="K449">
        <v>2</v>
      </c>
      <c r="L449" s="1" t="s">
        <v>43</v>
      </c>
      <c r="M449">
        <v>85</v>
      </c>
      <c r="N449">
        <v>3</v>
      </c>
      <c r="O449">
        <v>2</v>
      </c>
      <c r="P449" s="1" t="s">
        <v>38</v>
      </c>
      <c r="Q449">
        <v>3</v>
      </c>
      <c r="R449" s="1" t="s">
        <v>45</v>
      </c>
      <c r="S449">
        <v>4717</v>
      </c>
      <c r="T449">
        <v>18659</v>
      </c>
      <c r="U449">
        <v>9</v>
      </c>
      <c r="V449" s="1" t="s">
        <v>40</v>
      </c>
      <c r="W449">
        <v>11</v>
      </c>
      <c r="X449">
        <v>3</v>
      </c>
      <c r="Y449">
        <v>3</v>
      </c>
      <c r="Z449">
        <v>80</v>
      </c>
      <c r="AA449">
        <v>0</v>
      </c>
      <c r="AB449">
        <v>15</v>
      </c>
      <c r="AC449">
        <v>2</v>
      </c>
      <c r="AD449">
        <v>3</v>
      </c>
      <c r="AE449">
        <v>11</v>
      </c>
      <c r="AF449">
        <v>9</v>
      </c>
      <c r="AG449">
        <v>6</v>
      </c>
      <c r="AH449">
        <v>9</v>
      </c>
      <c r="AI449">
        <f>IF(tbl_HRData[[#This Row],[Attrition]] = "Yes",1,0)</f>
        <v>0</v>
      </c>
      <c r="AJ449">
        <f>IF(tbl_HRData[[#This Row],[Attrition]] = "No",1,0)</f>
        <v>1</v>
      </c>
      <c r="AK449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449" s="1" t="str">
        <f>IF(tbl_HRData[[#This Row],[MonthlyIncome]]&lt;5000,"Low",
IF(tbl_HRData[[#This Row],[MonthlyIncome]]&lt;10000,"Medium",
IF(tbl_HRData[[#This Row],[MonthlyIncome]]&lt;15000,"Upper Medium","High")))</f>
        <v>Low</v>
      </c>
      <c r="AM449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450" spans="1:39" x14ac:dyDescent="0.35">
      <c r="A450" s="1">
        <v>449</v>
      </c>
      <c r="B450">
        <v>40</v>
      </c>
      <c r="C450" s="1" t="s">
        <v>40</v>
      </c>
      <c r="D450" s="1" t="s">
        <v>34</v>
      </c>
      <c r="E450">
        <v>302</v>
      </c>
      <c r="F450" s="1" t="s">
        <v>42</v>
      </c>
      <c r="G450">
        <v>6</v>
      </c>
      <c r="H450">
        <v>3</v>
      </c>
      <c r="I450" s="1" t="s">
        <v>36</v>
      </c>
      <c r="J450">
        <v>601</v>
      </c>
      <c r="K450">
        <v>2</v>
      </c>
      <c r="L450" s="1" t="s">
        <v>37</v>
      </c>
      <c r="M450">
        <v>75</v>
      </c>
      <c r="N450">
        <v>3</v>
      </c>
      <c r="O450">
        <v>4</v>
      </c>
      <c r="P450" s="1" t="s">
        <v>50</v>
      </c>
      <c r="Q450">
        <v>3</v>
      </c>
      <c r="R450" s="1" t="s">
        <v>39</v>
      </c>
      <c r="S450">
        <v>13237</v>
      </c>
      <c r="T450">
        <v>20364</v>
      </c>
      <c r="U450">
        <v>7</v>
      </c>
      <c r="V450" s="1" t="s">
        <v>40</v>
      </c>
      <c r="W450">
        <v>15</v>
      </c>
      <c r="X450">
        <v>3</v>
      </c>
      <c r="Y450">
        <v>3</v>
      </c>
      <c r="Z450">
        <v>80</v>
      </c>
      <c r="AA450">
        <v>0</v>
      </c>
      <c r="AB450">
        <v>22</v>
      </c>
      <c r="AC450">
        <v>3</v>
      </c>
      <c r="AD450">
        <v>3</v>
      </c>
      <c r="AE450">
        <v>20</v>
      </c>
      <c r="AF450">
        <v>6</v>
      </c>
      <c r="AG450">
        <v>5</v>
      </c>
      <c r="AH450">
        <v>13</v>
      </c>
      <c r="AI450">
        <f>IF(tbl_HRData[[#This Row],[Attrition]] = "Yes",1,0)</f>
        <v>0</v>
      </c>
      <c r="AJ450">
        <f>IF(tbl_HRData[[#This Row],[Attrition]] = "No",1,0)</f>
        <v>1</v>
      </c>
      <c r="AK450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450" s="1" t="str">
        <f>IF(tbl_HRData[[#This Row],[MonthlyIncome]]&lt;5000,"Low",
IF(tbl_HRData[[#This Row],[MonthlyIncome]]&lt;10000,"Medium",
IF(tbl_HRData[[#This Row],[MonthlyIncome]]&lt;15000,"Upper Medium","High")))</f>
        <v>Upper Medium</v>
      </c>
      <c r="AM450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451" spans="1:39" x14ac:dyDescent="0.35">
      <c r="A451" s="1">
        <v>450</v>
      </c>
      <c r="B451">
        <v>39</v>
      </c>
      <c r="C451" s="1" t="s">
        <v>40</v>
      </c>
      <c r="D451" s="1" t="s">
        <v>41</v>
      </c>
      <c r="E451">
        <v>443</v>
      </c>
      <c r="F451" s="1" t="s">
        <v>42</v>
      </c>
      <c r="G451">
        <v>8</v>
      </c>
      <c r="H451">
        <v>1</v>
      </c>
      <c r="I451" s="1" t="s">
        <v>36</v>
      </c>
      <c r="J451">
        <v>602</v>
      </c>
      <c r="K451">
        <v>3</v>
      </c>
      <c r="L451" s="1" t="s">
        <v>37</v>
      </c>
      <c r="M451">
        <v>48</v>
      </c>
      <c r="N451">
        <v>3</v>
      </c>
      <c r="O451">
        <v>1</v>
      </c>
      <c r="P451" s="1" t="s">
        <v>47</v>
      </c>
      <c r="Q451">
        <v>3</v>
      </c>
      <c r="R451" s="1" t="s">
        <v>45</v>
      </c>
      <c r="S451">
        <v>3755</v>
      </c>
      <c r="T451">
        <v>17872</v>
      </c>
      <c r="U451">
        <v>1</v>
      </c>
      <c r="V451" s="1" t="s">
        <v>40</v>
      </c>
      <c r="W451">
        <v>11</v>
      </c>
      <c r="X451">
        <v>3</v>
      </c>
      <c r="Y451">
        <v>1</v>
      </c>
      <c r="Z451">
        <v>80</v>
      </c>
      <c r="AA451">
        <v>1</v>
      </c>
      <c r="AB451">
        <v>8</v>
      </c>
      <c r="AC451">
        <v>3</v>
      </c>
      <c r="AD451">
        <v>3</v>
      </c>
      <c r="AE451">
        <v>8</v>
      </c>
      <c r="AF451">
        <v>3</v>
      </c>
      <c r="AG451">
        <v>0</v>
      </c>
      <c r="AH451">
        <v>7</v>
      </c>
      <c r="AI451">
        <f>IF(tbl_HRData[[#This Row],[Attrition]] = "Yes",1,0)</f>
        <v>0</v>
      </c>
      <c r="AJ451">
        <f>IF(tbl_HRData[[#This Row],[Attrition]] = "No",1,0)</f>
        <v>1</v>
      </c>
      <c r="AK451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451" s="1" t="str">
        <f>IF(tbl_HRData[[#This Row],[MonthlyIncome]]&lt;5000,"Low",
IF(tbl_HRData[[#This Row],[MonthlyIncome]]&lt;10000,"Medium",
IF(tbl_HRData[[#This Row],[MonthlyIncome]]&lt;15000,"Upper Medium","High")))</f>
        <v>Low</v>
      </c>
      <c r="AM451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452" spans="1:39" x14ac:dyDescent="0.35">
      <c r="A452" s="1">
        <v>451</v>
      </c>
      <c r="B452">
        <v>31</v>
      </c>
      <c r="C452" s="1" t="s">
        <v>40</v>
      </c>
      <c r="D452" s="1" t="s">
        <v>34</v>
      </c>
      <c r="E452">
        <v>828</v>
      </c>
      <c r="F452" s="1" t="s">
        <v>35</v>
      </c>
      <c r="G452">
        <v>2</v>
      </c>
      <c r="H452">
        <v>1</v>
      </c>
      <c r="I452" s="1" t="s">
        <v>36</v>
      </c>
      <c r="J452">
        <v>604</v>
      </c>
      <c r="K452">
        <v>2</v>
      </c>
      <c r="L452" s="1" t="s">
        <v>43</v>
      </c>
      <c r="M452">
        <v>77</v>
      </c>
      <c r="N452">
        <v>3</v>
      </c>
      <c r="O452">
        <v>2</v>
      </c>
      <c r="P452" s="1" t="s">
        <v>38</v>
      </c>
      <c r="Q452">
        <v>4</v>
      </c>
      <c r="R452" s="1" t="s">
        <v>39</v>
      </c>
      <c r="S452">
        <v>6582</v>
      </c>
      <c r="T452">
        <v>8346</v>
      </c>
      <c r="U452">
        <v>4</v>
      </c>
      <c r="V452" s="1" t="s">
        <v>33</v>
      </c>
      <c r="W452">
        <v>13</v>
      </c>
      <c r="X452">
        <v>3</v>
      </c>
      <c r="Y452">
        <v>3</v>
      </c>
      <c r="Z452">
        <v>80</v>
      </c>
      <c r="AA452">
        <v>0</v>
      </c>
      <c r="AB452">
        <v>10</v>
      </c>
      <c r="AC452">
        <v>2</v>
      </c>
      <c r="AD452">
        <v>4</v>
      </c>
      <c r="AE452">
        <v>6</v>
      </c>
      <c r="AF452">
        <v>5</v>
      </c>
      <c r="AG452">
        <v>0</v>
      </c>
      <c r="AH452">
        <v>5</v>
      </c>
      <c r="AI452">
        <f>IF(tbl_HRData[[#This Row],[Attrition]] = "Yes",1,0)</f>
        <v>0</v>
      </c>
      <c r="AJ452">
        <f>IF(tbl_HRData[[#This Row],[Attrition]] = "No",1,0)</f>
        <v>1</v>
      </c>
      <c r="AK452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452" s="1" t="str">
        <f>IF(tbl_HRData[[#This Row],[MonthlyIncome]]&lt;5000,"Low",
IF(tbl_HRData[[#This Row],[MonthlyIncome]]&lt;10000,"Medium",
IF(tbl_HRData[[#This Row],[MonthlyIncome]]&lt;15000,"Upper Medium","High")))</f>
        <v>Medium</v>
      </c>
      <c r="AM452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453" spans="1:39" x14ac:dyDescent="0.35">
      <c r="A453" s="1">
        <v>452</v>
      </c>
      <c r="B453">
        <v>42</v>
      </c>
      <c r="C453" s="1" t="s">
        <v>40</v>
      </c>
      <c r="D453" s="1" t="s">
        <v>34</v>
      </c>
      <c r="E453">
        <v>319</v>
      </c>
      <c r="F453" s="1" t="s">
        <v>42</v>
      </c>
      <c r="G453">
        <v>24</v>
      </c>
      <c r="H453">
        <v>3</v>
      </c>
      <c r="I453" s="1" t="s">
        <v>48</v>
      </c>
      <c r="J453">
        <v>605</v>
      </c>
      <c r="K453">
        <v>4</v>
      </c>
      <c r="L453" s="1" t="s">
        <v>43</v>
      </c>
      <c r="M453">
        <v>56</v>
      </c>
      <c r="N453">
        <v>3</v>
      </c>
      <c r="O453">
        <v>3</v>
      </c>
      <c r="P453" s="1" t="s">
        <v>50</v>
      </c>
      <c r="Q453">
        <v>1</v>
      </c>
      <c r="R453" s="1" t="s">
        <v>45</v>
      </c>
      <c r="S453">
        <v>7406</v>
      </c>
      <c r="T453">
        <v>6950</v>
      </c>
      <c r="U453">
        <v>1</v>
      </c>
      <c r="V453" s="1" t="s">
        <v>33</v>
      </c>
      <c r="W453">
        <v>21</v>
      </c>
      <c r="X453">
        <v>4</v>
      </c>
      <c r="Y453">
        <v>4</v>
      </c>
      <c r="Z453">
        <v>80</v>
      </c>
      <c r="AA453">
        <v>1</v>
      </c>
      <c r="AB453">
        <v>10</v>
      </c>
      <c r="AC453">
        <v>5</v>
      </c>
      <c r="AD453">
        <v>2</v>
      </c>
      <c r="AE453">
        <v>10</v>
      </c>
      <c r="AF453">
        <v>9</v>
      </c>
      <c r="AG453">
        <v>5</v>
      </c>
      <c r="AH453">
        <v>8</v>
      </c>
      <c r="AI453">
        <f>IF(tbl_HRData[[#This Row],[Attrition]] = "Yes",1,0)</f>
        <v>0</v>
      </c>
      <c r="AJ453">
        <f>IF(tbl_HRData[[#This Row],[Attrition]] = "No",1,0)</f>
        <v>1</v>
      </c>
      <c r="AK453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453" s="1" t="str">
        <f>IF(tbl_HRData[[#This Row],[MonthlyIncome]]&lt;5000,"Low",
IF(tbl_HRData[[#This Row],[MonthlyIncome]]&lt;10000,"Medium",
IF(tbl_HRData[[#This Row],[MonthlyIncome]]&lt;15000,"Upper Medium","High")))</f>
        <v>Medium</v>
      </c>
      <c r="AM453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454" spans="1:39" x14ac:dyDescent="0.35">
      <c r="A454" s="1">
        <v>453</v>
      </c>
      <c r="B454">
        <v>45</v>
      </c>
      <c r="C454" s="1" t="s">
        <v>40</v>
      </c>
      <c r="D454" s="1" t="s">
        <v>34</v>
      </c>
      <c r="E454">
        <v>561</v>
      </c>
      <c r="F454" s="1" t="s">
        <v>35</v>
      </c>
      <c r="G454">
        <v>2</v>
      </c>
      <c r="H454">
        <v>3</v>
      </c>
      <c r="I454" s="1" t="s">
        <v>46</v>
      </c>
      <c r="J454">
        <v>606</v>
      </c>
      <c r="K454">
        <v>4</v>
      </c>
      <c r="L454" s="1" t="s">
        <v>43</v>
      </c>
      <c r="M454">
        <v>61</v>
      </c>
      <c r="N454">
        <v>3</v>
      </c>
      <c r="O454">
        <v>2</v>
      </c>
      <c r="P454" s="1" t="s">
        <v>38</v>
      </c>
      <c r="Q454">
        <v>2</v>
      </c>
      <c r="R454" s="1" t="s">
        <v>45</v>
      </c>
      <c r="S454">
        <v>4805</v>
      </c>
      <c r="T454">
        <v>16177</v>
      </c>
      <c r="U454">
        <v>0</v>
      </c>
      <c r="V454" s="1" t="s">
        <v>40</v>
      </c>
      <c r="W454">
        <v>19</v>
      </c>
      <c r="X454">
        <v>3</v>
      </c>
      <c r="Y454">
        <v>2</v>
      </c>
      <c r="Z454">
        <v>80</v>
      </c>
      <c r="AA454">
        <v>1</v>
      </c>
      <c r="AB454">
        <v>9</v>
      </c>
      <c r="AC454">
        <v>3</v>
      </c>
      <c r="AD454">
        <v>4</v>
      </c>
      <c r="AE454">
        <v>8</v>
      </c>
      <c r="AF454">
        <v>7</v>
      </c>
      <c r="AG454">
        <v>3</v>
      </c>
      <c r="AH454">
        <v>7</v>
      </c>
      <c r="AI454">
        <f>IF(tbl_HRData[[#This Row],[Attrition]] = "Yes",1,0)</f>
        <v>0</v>
      </c>
      <c r="AJ454">
        <f>IF(tbl_HRData[[#This Row],[Attrition]] = "No",1,0)</f>
        <v>1</v>
      </c>
      <c r="AK454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454" s="1" t="str">
        <f>IF(tbl_HRData[[#This Row],[MonthlyIncome]]&lt;5000,"Low",
IF(tbl_HRData[[#This Row],[MonthlyIncome]]&lt;10000,"Medium",
IF(tbl_HRData[[#This Row],[MonthlyIncome]]&lt;15000,"Upper Medium","High")))</f>
        <v>Low</v>
      </c>
      <c r="AM454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455" spans="1:39" x14ac:dyDescent="0.35">
      <c r="A455" s="1">
        <v>454</v>
      </c>
      <c r="B455">
        <v>26</v>
      </c>
      <c r="C455" s="1" t="s">
        <v>33</v>
      </c>
      <c r="D455" s="1" t="s">
        <v>41</v>
      </c>
      <c r="E455">
        <v>426</v>
      </c>
      <c r="F455" s="1" t="s">
        <v>58</v>
      </c>
      <c r="G455">
        <v>17</v>
      </c>
      <c r="H455">
        <v>4</v>
      </c>
      <c r="I455" s="1" t="s">
        <v>36</v>
      </c>
      <c r="J455">
        <v>608</v>
      </c>
      <c r="K455">
        <v>2</v>
      </c>
      <c r="L455" s="1" t="s">
        <v>37</v>
      </c>
      <c r="M455">
        <v>58</v>
      </c>
      <c r="N455">
        <v>3</v>
      </c>
      <c r="O455">
        <v>1</v>
      </c>
      <c r="P455" s="1" t="s">
        <v>58</v>
      </c>
      <c r="Q455">
        <v>3</v>
      </c>
      <c r="R455" s="1" t="s">
        <v>49</v>
      </c>
      <c r="S455">
        <v>2741</v>
      </c>
      <c r="T455">
        <v>22808</v>
      </c>
      <c r="U455">
        <v>0</v>
      </c>
      <c r="V455" s="1" t="s">
        <v>33</v>
      </c>
      <c r="W455">
        <v>11</v>
      </c>
      <c r="X455">
        <v>3</v>
      </c>
      <c r="Y455">
        <v>2</v>
      </c>
      <c r="Z455">
        <v>80</v>
      </c>
      <c r="AA455">
        <v>1</v>
      </c>
      <c r="AB455">
        <v>8</v>
      </c>
      <c r="AC455">
        <v>2</v>
      </c>
      <c r="AD455">
        <v>2</v>
      </c>
      <c r="AE455">
        <v>7</v>
      </c>
      <c r="AF455">
        <v>7</v>
      </c>
      <c r="AG455">
        <v>1</v>
      </c>
      <c r="AH455">
        <v>0</v>
      </c>
      <c r="AI455">
        <f>IF(tbl_HRData[[#This Row],[Attrition]] = "Yes",1,0)</f>
        <v>1</v>
      </c>
      <c r="AJ455">
        <f>IF(tbl_HRData[[#This Row],[Attrition]] = "No",1,0)</f>
        <v>0</v>
      </c>
      <c r="AK455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455" s="1" t="str">
        <f>IF(tbl_HRData[[#This Row],[MonthlyIncome]]&lt;5000,"Low",
IF(tbl_HRData[[#This Row],[MonthlyIncome]]&lt;10000,"Medium",
IF(tbl_HRData[[#This Row],[MonthlyIncome]]&lt;15000,"Upper Medium","High")))</f>
        <v>Low</v>
      </c>
      <c r="AM455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456" spans="1:39" x14ac:dyDescent="0.35">
      <c r="A456" s="1">
        <v>455</v>
      </c>
      <c r="B456">
        <v>29</v>
      </c>
      <c r="C456" s="1" t="s">
        <v>40</v>
      </c>
      <c r="D456" s="1" t="s">
        <v>34</v>
      </c>
      <c r="E456">
        <v>232</v>
      </c>
      <c r="F456" s="1" t="s">
        <v>42</v>
      </c>
      <c r="G456">
        <v>19</v>
      </c>
      <c r="H456">
        <v>3</v>
      </c>
      <c r="I456" s="1" t="s">
        <v>57</v>
      </c>
      <c r="J456">
        <v>611</v>
      </c>
      <c r="K456">
        <v>4</v>
      </c>
      <c r="L456" s="1" t="s">
        <v>43</v>
      </c>
      <c r="M456">
        <v>34</v>
      </c>
      <c r="N456">
        <v>3</v>
      </c>
      <c r="O456">
        <v>2</v>
      </c>
      <c r="P456" s="1" t="s">
        <v>50</v>
      </c>
      <c r="Q456">
        <v>4</v>
      </c>
      <c r="R456" s="1" t="s">
        <v>49</v>
      </c>
      <c r="S456">
        <v>4262</v>
      </c>
      <c r="T456">
        <v>22645</v>
      </c>
      <c r="U456">
        <v>4</v>
      </c>
      <c r="V456" s="1" t="s">
        <v>40</v>
      </c>
      <c r="W456">
        <v>12</v>
      </c>
      <c r="X456">
        <v>3</v>
      </c>
      <c r="Y456">
        <v>2</v>
      </c>
      <c r="Z456">
        <v>80</v>
      </c>
      <c r="AA456">
        <v>2</v>
      </c>
      <c r="AB456">
        <v>8</v>
      </c>
      <c r="AC456">
        <v>2</v>
      </c>
      <c r="AD456">
        <v>4</v>
      </c>
      <c r="AE456">
        <v>3</v>
      </c>
      <c r="AF456">
        <v>2</v>
      </c>
      <c r="AG456">
        <v>1</v>
      </c>
      <c r="AH456">
        <v>2</v>
      </c>
      <c r="AI456">
        <f>IF(tbl_HRData[[#This Row],[Attrition]] = "Yes",1,0)</f>
        <v>0</v>
      </c>
      <c r="AJ456">
        <f>IF(tbl_HRData[[#This Row],[Attrition]] = "No",1,0)</f>
        <v>1</v>
      </c>
      <c r="AK456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456" s="1" t="str">
        <f>IF(tbl_HRData[[#This Row],[MonthlyIncome]]&lt;5000,"Low",
IF(tbl_HRData[[#This Row],[MonthlyIncome]]&lt;10000,"Medium",
IF(tbl_HRData[[#This Row],[MonthlyIncome]]&lt;15000,"Upper Medium","High")))</f>
        <v>Low</v>
      </c>
      <c r="AM456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457" spans="1:39" x14ac:dyDescent="0.35">
      <c r="A457" s="1">
        <v>456</v>
      </c>
      <c r="B457">
        <v>33</v>
      </c>
      <c r="C457" s="1" t="s">
        <v>40</v>
      </c>
      <c r="D457" s="1" t="s">
        <v>34</v>
      </c>
      <c r="E457">
        <v>922</v>
      </c>
      <c r="F457" s="1" t="s">
        <v>42</v>
      </c>
      <c r="G457">
        <v>1</v>
      </c>
      <c r="H457">
        <v>5</v>
      </c>
      <c r="I457" s="1" t="s">
        <v>48</v>
      </c>
      <c r="J457">
        <v>612</v>
      </c>
      <c r="K457">
        <v>1</v>
      </c>
      <c r="L457" s="1" t="s">
        <v>37</v>
      </c>
      <c r="M457">
        <v>95</v>
      </c>
      <c r="N457">
        <v>4</v>
      </c>
      <c r="O457">
        <v>4</v>
      </c>
      <c r="P457" s="1" t="s">
        <v>55</v>
      </c>
      <c r="Q457">
        <v>3</v>
      </c>
      <c r="R457" s="1" t="s">
        <v>49</v>
      </c>
      <c r="S457">
        <v>16184</v>
      </c>
      <c r="T457">
        <v>22578</v>
      </c>
      <c r="U457">
        <v>4</v>
      </c>
      <c r="V457" s="1" t="s">
        <v>40</v>
      </c>
      <c r="W457">
        <v>19</v>
      </c>
      <c r="X457">
        <v>3</v>
      </c>
      <c r="Y457">
        <v>3</v>
      </c>
      <c r="Z457">
        <v>80</v>
      </c>
      <c r="AA457">
        <v>1</v>
      </c>
      <c r="AB457">
        <v>10</v>
      </c>
      <c r="AC457">
        <v>2</v>
      </c>
      <c r="AD457">
        <v>3</v>
      </c>
      <c r="AE457">
        <v>6</v>
      </c>
      <c r="AF457">
        <v>1</v>
      </c>
      <c r="AG457">
        <v>0</v>
      </c>
      <c r="AH457">
        <v>5</v>
      </c>
      <c r="AI457">
        <f>IF(tbl_HRData[[#This Row],[Attrition]] = "Yes",1,0)</f>
        <v>0</v>
      </c>
      <c r="AJ457">
        <f>IF(tbl_HRData[[#This Row],[Attrition]] = "No",1,0)</f>
        <v>1</v>
      </c>
      <c r="AK457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457" s="1" t="str">
        <f>IF(tbl_HRData[[#This Row],[MonthlyIncome]]&lt;5000,"Low",
IF(tbl_HRData[[#This Row],[MonthlyIncome]]&lt;10000,"Medium",
IF(tbl_HRData[[#This Row],[MonthlyIncome]]&lt;15000,"Upper Medium","High")))</f>
        <v>High</v>
      </c>
      <c r="AM457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458" spans="1:39" x14ac:dyDescent="0.35">
      <c r="A458" s="1">
        <v>457</v>
      </c>
      <c r="B458">
        <v>31</v>
      </c>
      <c r="C458" s="1" t="s">
        <v>40</v>
      </c>
      <c r="D458" s="1" t="s">
        <v>34</v>
      </c>
      <c r="E458">
        <v>688</v>
      </c>
      <c r="F458" s="1" t="s">
        <v>35</v>
      </c>
      <c r="G458">
        <v>7</v>
      </c>
      <c r="H458">
        <v>3</v>
      </c>
      <c r="I458" s="1" t="s">
        <v>36</v>
      </c>
      <c r="J458">
        <v>613</v>
      </c>
      <c r="K458">
        <v>3</v>
      </c>
      <c r="L458" s="1" t="s">
        <v>43</v>
      </c>
      <c r="M458">
        <v>44</v>
      </c>
      <c r="N458">
        <v>2</v>
      </c>
      <c r="O458">
        <v>3</v>
      </c>
      <c r="P458" s="1" t="s">
        <v>53</v>
      </c>
      <c r="Q458">
        <v>4</v>
      </c>
      <c r="R458" s="1" t="s">
        <v>49</v>
      </c>
      <c r="S458">
        <v>11557</v>
      </c>
      <c r="T458">
        <v>25291</v>
      </c>
      <c r="U458">
        <v>9</v>
      </c>
      <c r="V458" s="1" t="s">
        <v>40</v>
      </c>
      <c r="W458">
        <v>21</v>
      </c>
      <c r="X458">
        <v>4</v>
      </c>
      <c r="Y458">
        <v>3</v>
      </c>
      <c r="Z458">
        <v>80</v>
      </c>
      <c r="AA458">
        <v>1</v>
      </c>
      <c r="AB458">
        <v>10</v>
      </c>
      <c r="AC458">
        <v>3</v>
      </c>
      <c r="AD458">
        <v>2</v>
      </c>
      <c r="AE458">
        <v>5</v>
      </c>
      <c r="AF458">
        <v>4</v>
      </c>
      <c r="AG458">
        <v>0</v>
      </c>
      <c r="AH458">
        <v>1</v>
      </c>
      <c r="AI458">
        <f>IF(tbl_HRData[[#This Row],[Attrition]] = "Yes",1,0)</f>
        <v>0</v>
      </c>
      <c r="AJ458">
        <f>IF(tbl_HRData[[#This Row],[Attrition]] = "No",1,0)</f>
        <v>1</v>
      </c>
      <c r="AK458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458" s="1" t="str">
        <f>IF(tbl_HRData[[#This Row],[MonthlyIncome]]&lt;5000,"Low",
IF(tbl_HRData[[#This Row],[MonthlyIncome]]&lt;10000,"Medium",
IF(tbl_HRData[[#This Row],[MonthlyIncome]]&lt;15000,"Upper Medium","High")))</f>
        <v>Upper Medium</v>
      </c>
      <c r="AM458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459" spans="1:39" x14ac:dyDescent="0.35">
      <c r="A459" s="1">
        <v>458</v>
      </c>
      <c r="B459">
        <v>18</v>
      </c>
      <c r="C459" s="1" t="s">
        <v>33</v>
      </c>
      <c r="D459" s="1" t="s">
        <v>41</v>
      </c>
      <c r="E459">
        <v>1306</v>
      </c>
      <c r="F459" s="1" t="s">
        <v>35</v>
      </c>
      <c r="G459">
        <v>5</v>
      </c>
      <c r="H459">
        <v>3</v>
      </c>
      <c r="I459" s="1" t="s">
        <v>56</v>
      </c>
      <c r="J459">
        <v>614</v>
      </c>
      <c r="K459">
        <v>2</v>
      </c>
      <c r="L459" s="1" t="s">
        <v>43</v>
      </c>
      <c r="M459">
        <v>69</v>
      </c>
      <c r="N459">
        <v>3</v>
      </c>
      <c r="O459">
        <v>1</v>
      </c>
      <c r="P459" s="1" t="s">
        <v>54</v>
      </c>
      <c r="Q459">
        <v>2</v>
      </c>
      <c r="R459" s="1" t="s">
        <v>39</v>
      </c>
      <c r="S459">
        <v>1878</v>
      </c>
      <c r="T459">
        <v>8059</v>
      </c>
      <c r="U459">
        <v>1</v>
      </c>
      <c r="V459" s="1" t="s">
        <v>33</v>
      </c>
      <c r="W459">
        <v>14</v>
      </c>
      <c r="X459">
        <v>3</v>
      </c>
      <c r="Y459">
        <v>4</v>
      </c>
      <c r="Z459">
        <v>80</v>
      </c>
      <c r="AA459">
        <v>0</v>
      </c>
      <c r="AB459">
        <v>0</v>
      </c>
      <c r="AC459">
        <v>3</v>
      </c>
      <c r="AD459">
        <v>3</v>
      </c>
      <c r="AE459">
        <v>0</v>
      </c>
      <c r="AF459">
        <v>0</v>
      </c>
      <c r="AG459">
        <v>0</v>
      </c>
      <c r="AH459">
        <v>0</v>
      </c>
      <c r="AI459">
        <f>IF(tbl_HRData[[#This Row],[Attrition]] = "Yes",1,0)</f>
        <v>1</v>
      </c>
      <c r="AJ459">
        <f>IF(tbl_HRData[[#This Row],[Attrition]] = "No",1,0)</f>
        <v>0</v>
      </c>
      <c r="AK459" t="str">
        <f>IF(tbl_HRData[[#This Row],[Age]] &lt; 25, "Under 25", IF(tbl_HRData[[#This Row],[Age]] &lt;= 34, "25-34", IF(tbl_HRData[[#This Row],[Age]] &lt;= 44, "35-44", IF(tbl_HRData[[#This Row],[Age]] &lt;= 54, "45-54", "55+"))))</f>
        <v>Under 25</v>
      </c>
      <c r="AL459" s="1" t="str">
        <f>IF(tbl_HRData[[#This Row],[MonthlyIncome]]&lt;5000,"Low",
IF(tbl_HRData[[#This Row],[MonthlyIncome]]&lt;10000,"Medium",
IF(tbl_HRData[[#This Row],[MonthlyIncome]]&lt;15000,"Upper Medium","High")))</f>
        <v>Low</v>
      </c>
      <c r="AM459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460" spans="1:39" x14ac:dyDescent="0.35">
      <c r="A460" s="1">
        <v>459</v>
      </c>
      <c r="B460">
        <v>40</v>
      </c>
      <c r="C460" s="1" t="s">
        <v>40</v>
      </c>
      <c r="D460" s="1" t="s">
        <v>52</v>
      </c>
      <c r="E460">
        <v>1094</v>
      </c>
      <c r="F460" s="1" t="s">
        <v>35</v>
      </c>
      <c r="G460">
        <v>28</v>
      </c>
      <c r="H460">
        <v>3</v>
      </c>
      <c r="I460" s="1" t="s">
        <v>46</v>
      </c>
      <c r="J460">
        <v>615</v>
      </c>
      <c r="K460">
        <v>3</v>
      </c>
      <c r="L460" s="1" t="s">
        <v>43</v>
      </c>
      <c r="M460">
        <v>58</v>
      </c>
      <c r="N460">
        <v>1</v>
      </c>
      <c r="O460">
        <v>3</v>
      </c>
      <c r="P460" s="1" t="s">
        <v>38</v>
      </c>
      <c r="Q460">
        <v>1</v>
      </c>
      <c r="R460" s="1" t="s">
        <v>49</v>
      </c>
      <c r="S460">
        <v>10932</v>
      </c>
      <c r="T460">
        <v>11373</v>
      </c>
      <c r="U460">
        <v>3</v>
      </c>
      <c r="V460" s="1" t="s">
        <v>40</v>
      </c>
      <c r="W460">
        <v>15</v>
      </c>
      <c r="X460">
        <v>3</v>
      </c>
      <c r="Y460">
        <v>3</v>
      </c>
      <c r="Z460">
        <v>80</v>
      </c>
      <c r="AA460">
        <v>1</v>
      </c>
      <c r="AB460">
        <v>20</v>
      </c>
      <c r="AC460">
        <v>2</v>
      </c>
      <c r="AD460">
        <v>3</v>
      </c>
      <c r="AE460">
        <v>1</v>
      </c>
      <c r="AF460">
        <v>0</v>
      </c>
      <c r="AG460">
        <v>0</v>
      </c>
      <c r="AH460">
        <v>1</v>
      </c>
      <c r="AI460">
        <f>IF(tbl_HRData[[#This Row],[Attrition]] = "Yes",1,0)</f>
        <v>0</v>
      </c>
      <c r="AJ460">
        <f>IF(tbl_HRData[[#This Row],[Attrition]] = "No",1,0)</f>
        <v>1</v>
      </c>
      <c r="AK460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460" s="1" t="str">
        <f>IF(tbl_HRData[[#This Row],[MonthlyIncome]]&lt;5000,"Low",
IF(tbl_HRData[[#This Row],[MonthlyIncome]]&lt;10000,"Medium",
IF(tbl_HRData[[#This Row],[MonthlyIncome]]&lt;15000,"Upper Medium","High")))</f>
        <v>Upper Medium</v>
      </c>
      <c r="AM460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461" spans="1:39" x14ac:dyDescent="0.35">
      <c r="A461" s="1">
        <v>460</v>
      </c>
      <c r="B461">
        <v>41</v>
      </c>
      <c r="C461" s="1" t="s">
        <v>40</v>
      </c>
      <c r="D461" s="1" t="s">
        <v>52</v>
      </c>
      <c r="E461">
        <v>509</v>
      </c>
      <c r="F461" s="1" t="s">
        <v>42</v>
      </c>
      <c r="G461">
        <v>2</v>
      </c>
      <c r="H461">
        <v>4</v>
      </c>
      <c r="I461" s="1" t="s">
        <v>46</v>
      </c>
      <c r="J461">
        <v>616</v>
      </c>
      <c r="K461">
        <v>1</v>
      </c>
      <c r="L461" s="1" t="s">
        <v>37</v>
      </c>
      <c r="M461">
        <v>62</v>
      </c>
      <c r="N461">
        <v>2</v>
      </c>
      <c r="O461">
        <v>2</v>
      </c>
      <c r="P461" s="1" t="s">
        <v>51</v>
      </c>
      <c r="Q461">
        <v>3</v>
      </c>
      <c r="R461" s="1" t="s">
        <v>39</v>
      </c>
      <c r="S461">
        <v>6811</v>
      </c>
      <c r="T461">
        <v>2112</v>
      </c>
      <c r="U461">
        <v>2</v>
      </c>
      <c r="V461" s="1" t="s">
        <v>33</v>
      </c>
      <c r="W461">
        <v>17</v>
      </c>
      <c r="X461">
        <v>3</v>
      </c>
      <c r="Y461">
        <v>1</v>
      </c>
      <c r="Z461">
        <v>80</v>
      </c>
      <c r="AA461">
        <v>0</v>
      </c>
      <c r="AB461">
        <v>10</v>
      </c>
      <c r="AC461">
        <v>3</v>
      </c>
      <c r="AD461">
        <v>3</v>
      </c>
      <c r="AE461">
        <v>8</v>
      </c>
      <c r="AF461">
        <v>7</v>
      </c>
      <c r="AG461">
        <v>0</v>
      </c>
      <c r="AH461">
        <v>7</v>
      </c>
      <c r="AI461">
        <f>IF(tbl_HRData[[#This Row],[Attrition]] = "Yes",1,0)</f>
        <v>0</v>
      </c>
      <c r="AJ461">
        <f>IF(tbl_HRData[[#This Row],[Attrition]] = "No",1,0)</f>
        <v>1</v>
      </c>
      <c r="AK461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461" s="1" t="str">
        <f>IF(tbl_HRData[[#This Row],[MonthlyIncome]]&lt;5000,"Low",
IF(tbl_HRData[[#This Row],[MonthlyIncome]]&lt;10000,"Medium",
IF(tbl_HRData[[#This Row],[MonthlyIncome]]&lt;15000,"Upper Medium","High")))</f>
        <v>Medium</v>
      </c>
      <c r="AM461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462" spans="1:39" x14ac:dyDescent="0.35">
      <c r="A462" s="1">
        <v>461</v>
      </c>
      <c r="B462">
        <v>26</v>
      </c>
      <c r="C462" s="1" t="s">
        <v>40</v>
      </c>
      <c r="D462" s="1" t="s">
        <v>34</v>
      </c>
      <c r="E462">
        <v>775</v>
      </c>
      <c r="F462" s="1" t="s">
        <v>35</v>
      </c>
      <c r="G462">
        <v>29</v>
      </c>
      <c r="H462">
        <v>2</v>
      </c>
      <c r="I462" s="1" t="s">
        <v>48</v>
      </c>
      <c r="J462">
        <v>618</v>
      </c>
      <c r="K462">
        <v>1</v>
      </c>
      <c r="L462" s="1" t="s">
        <v>43</v>
      </c>
      <c r="M462">
        <v>45</v>
      </c>
      <c r="N462">
        <v>3</v>
      </c>
      <c r="O462">
        <v>2</v>
      </c>
      <c r="P462" s="1" t="s">
        <v>38</v>
      </c>
      <c r="Q462">
        <v>3</v>
      </c>
      <c r="R462" s="1" t="s">
        <v>49</v>
      </c>
      <c r="S462">
        <v>4306</v>
      </c>
      <c r="T462">
        <v>4267</v>
      </c>
      <c r="U462">
        <v>5</v>
      </c>
      <c r="V462" s="1" t="s">
        <v>40</v>
      </c>
      <c r="W462">
        <v>12</v>
      </c>
      <c r="X462">
        <v>3</v>
      </c>
      <c r="Y462">
        <v>1</v>
      </c>
      <c r="Z462">
        <v>80</v>
      </c>
      <c r="AA462">
        <v>2</v>
      </c>
      <c r="AB462">
        <v>8</v>
      </c>
      <c r="AC462">
        <v>5</v>
      </c>
      <c r="AD462">
        <v>3</v>
      </c>
      <c r="AE462">
        <v>0</v>
      </c>
      <c r="AF462">
        <v>0</v>
      </c>
      <c r="AG462">
        <v>0</v>
      </c>
      <c r="AH462">
        <v>0</v>
      </c>
      <c r="AI462">
        <f>IF(tbl_HRData[[#This Row],[Attrition]] = "Yes",1,0)</f>
        <v>0</v>
      </c>
      <c r="AJ462">
        <f>IF(tbl_HRData[[#This Row],[Attrition]] = "No",1,0)</f>
        <v>1</v>
      </c>
      <c r="AK462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462" s="1" t="str">
        <f>IF(tbl_HRData[[#This Row],[MonthlyIncome]]&lt;5000,"Low",
IF(tbl_HRData[[#This Row],[MonthlyIncome]]&lt;10000,"Medium",
IF(tbl_HRData[[#This Row],[MonthlyIncome]]&lt;15000,"Upper Medium","High")))</f>
        <v>Low</v>
      </c>
      <c r="AM462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463" spans="1:39" x14ac:dyDescent="0.35">
      <c r="A463" s="1">
        <v>462</v>
      </c>
      <c r="B463">
        <v>35</v>
      </c>
      <c r="C463" s="1" t="s">
        <v>40</v>
      </c>
      <c r="D463" s="1" t="s">
        <v>34</v>
      </c>
      <c r="E463">
        <v>195</v>
      </c>
      <c r="F463" s="1" t="s">
        <v>35</v>
      </c>
      <c r="G463">
        <v>1</v>
      </c>
      <c r="H463">
        <v>3</v>
      </c>
      <c r="I463" s="1" t="s">
        <v>48</v>
      </c>
      <c r="J463">
        <v>620</v>
      </c>
      <c r="K463">
        <v>1</v>
      </c>
      <c r="L463" s="1" t="s">
        <v>37</v>
      </c>
      <c r="M463">
        <v>80</v>
      </c>
      <c r="N463">
        <v>3</v>
      </c>
      <c r="O463">
        <v>2</v>
      </c>
      <c r="P463" s="1" t="s">
        <v>38</v>
      </c>
      <c r="Q463">
        <v>3</v>
      </c>
      <c r="R463" s="1" t="s">
        <v>39</v>
      </c>
      <c r="S463">
        <v>4859</v>
      </c>
      <c r="T463">
        <v>6698</v>
      </c>
      <c r="U463">
        <v>1</v>
      </c>
      <c r="V463" s="1" t="s">
        <v>40</v>
      </c>
      <c r="W463">
        <v>16</v>
      </c>
      <c r="X463">
        <v>3</v>
      </c>
      <c r="Y463">
        <v>4</v>
      </c>
      <c r="Z463">
        <v>80</v>
      </c>
      <c r="AA463">
        <v>0</v>
      </c>
      <c r="AB463">
        <v>5</v>
      </c>
      <c r="AC463">
        <v>3</v>
      </c>
      <c r="AD463">
        <v>3</v>
      </c>
      <c r="AE463">
        <v>5</v>
      </c>
      <c r="AF463">
        <v>4</v>
      </c>
      <c r="AG463">
        <v>0</v>
      </c>
      <c r="AH463">
        <v>3</v>
      </c>
      <c r="AI463">
        <f>IF(tbl_HRData[[#This Row],[Attrition]] = "Yes",1,0)</f>
        <v>0</v>
      </c>
      <c r="AJ463">
        <f>IF(tbl_HRData[[#This Row],[Attrition]] = "No",1,0)</f>
        <v>1</v>
      </c>
      <c r="AK463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463" s="1" t="str">
        <f>IF(tbl_HRData[[#This Row],[MonthlyIncome]]&lt;5000,"Low",
IF(tbl_HRData[[#This Row],[MonthlyIncome]]&lt;10000,"Medium",
IF(tbl_HRData[[#This Row],[MonthlyIncome]]&lt;15000,"Upper Medium","High")))</f>
        <v>Low</v>
      </c>
      <c r="AM463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464" spans="1:39" x14ac:dyDescent="0.35">
      <c r="A464" s="1">
        <v>463</v>
      </c>
      <c r="B464">
        <v>34</v>
      </c>
      <c r="C464" s="1" t="s">
        <v>40</v>
      </c>
      <c r="D464" s="1" t="s">
        <v>34</v>
      </c>
      <c r="E464">
        <v>258</v>
      </c>
      <c r="F464" s="1" t="s">
        <v>35</v>
      </c>
      <c r="G464">
        <v>21</v>
      </c>
      <c r="H464">
        <v>4</v>
      </c>
      <c r="I464" s="1" t="s">
        <v>36</v>
      </c>
      <c r="J464">
        <v>621</v>
      </c>
      <c r="K464">
        <v>4</v>
      </c>
      <c r="L464" s="1" t="s">
        <v>43</v>
      </c>
      <c r="M464">
        <v>74</v>
      </c>
      <c r="N464">
        <v>4</v>
      </c>
      <c r="O464">
        <v>2</v>
      </c>
      <c r="P464" s="1" t="s">
        <v>38</v>
      </c>
      <c r="Q464">
        <v>4</v>
      </c>
      <c r="R464" s="1" t="s">
        <v>39</v>
      </c>
      <c r="S464">
        <v>5337</v>
      </c>
      <c r="T464">
        <v>19921</v>
      </c>
      <c r="U464">
        <v>1</v>
      </c>
      <c r="V464" s="1" t="s">
        <v>40</v>
      </c>
      <c r="W464">
        <v>12</v>
      </c>
      <c r="X464">
        <v>3</v>
      </c>
      <c r="Y464">
        <v>4</v>
      </c>
      <c r="Z464">
        <v>80</v>
      </c>
      <c r="AA464">
        <v>0</v>
      </c>
      <c r="AB464">
        <v>10</v>
      </c>
      <c r="AC464">
        <v>3</v>
      </c>
      <c r="AD464">
        <v>3</v>
      </c>
      <c r="AE464">
        <v>10</v>
      </c>
      <c r="AF464">
        <v>7</v>
      </c>
      <c r="AG464">
        <v>5</v>
      </c>
      <c r="AH464">
        <v>7</v>
      </c>
      <c r="AI464">
        <f>IF(tbl_HRData[[#This Row],[Attrition]] = "Yes",1,0)</f>
        <v>0</v>
      </c>
      <c r="AJ464">
        <f>IF(tbl_HRData[[#This Row],[Attrition]] = "No",1,0)</f>
        <v>1</v>
      </c>
      <c r="AK464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464" s="1" t="str">
        <f>IF(tbl_HRData[[#This Row],[MonthlyIncome]]&lt;5000,"Low",
IF(tbl_HRData[[#This Row],[MonthlyIncome]]&lt;10000,"Medium",
IF(tbl_HRData[[#This Row],[MonthlyIncome]]&lt;15000,"Upper Medium","High")))</f>
        <v>Medium</v>
      </c>
      <c r="AM464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465" spans="1:39" x14ac:dyDescent="0.35">
      <c r="A465" s="1">
        <v>464</v>
      </c>
      <c r="B465">
        <v>26</v>
      </c>
      <c r="C465" s="1" t="s">
        <v>33</v>
      </c>
      <c r="D465" s="1" t="s">
        <v>34</v>
      </c>
      <c r="E465">
        <v>471</v>
      </c>
      <c r="F465" s="1" t="s">
        <v>42</v>
      </c>
      <c r="G465">
        <v>24</v>
      </c>
      <c r="H465">
        <v>3</v>
      </c>
      <c r="I465" s="1" t="s">
        <v>57</v>
      </c>
      <c r="J465">
        <v>622</v>
      </c>
      <c r="K465">
        <v>3</v>
      </c>
      <c r="L465" s="1" t="s">
        <v>43</v>
      </c>
      <c r="M465">
        <v>66</v>
      </c>
      <c r="N465">
        <v>1</v>
      </c>
      <c r="O465">
        <v>1</v>
      </c>
      <c r="P465" s="1" t="s">
        <v>47</v>
      </c>
      <c r="Q465">
        <v>4</v>
      </c>
      <c r="R465" s="1" t="s">
        <v>39</v>
      </c>
      <c r="S465">
        <v>2340</v>
      </c>
      <c r="T465">
        <v>23213</v>
      </c>
      <c r="U465">
        <v>1</v>
      </c>
      <c r="V465" s="1" t="s">
        <v>33</v>
      </c>
      <c r="W465">
        <v>18</v>
      </c>
      <c r="X465">
        <v>3</v>
      </c>
      <c r="Y465">
        <v>2</v>
      </c>
      <c r="Z465">
        <v>80</v>
      </c>
      <c r="AA465">
        <v>0</v>
      </c>
      <c r="AB465">
        <v>1</v>
      </c>
      <c r="AC465">
        <v>3</v>
      </c>
      <c r="AD465">
        <v>1</v>
      </c>
      <c r="AE465">
        <v>1</v>
      </c>
      <c r="AF465">
        <v>0</v>
      </c>
      <c r="AG465">
        <v>0</v>
      </c>
      <c r="AH465">
        <v>0</v>
      </c>
      <c r="AI465">
        <f>IF(tbl_HRData[[#This Row],[Attrition]] = "Yes",1,0)</f>
        <v>1</v>
      </c>
      <c r="AJ465">
        <f>IF(tbl_HRData[[#This Row],[Attrition]] = "No",1,0)</f>
        <v>0</v>
      </c>
      <c r="AK465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465" s="1" t="str">
        <f>IF(tbl_HRData[[#This Row],[MonthlyIncome]]&lt;5000,"Low",
IF(tbl_HRData[[#This Row],[MonthlyIncome]]&lt;10000,"Medium",
IF(tbl_HRData[[#This Row],[MonthlyIncome]]&lt;15000,"Upper Medium","High")))</f>
        <v>Low</v>
      </c>
      <c r="AM465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466" spans="1:39" x14ac:dyDescent="0.35">
      <c r="A466" s="1">
        <v>465</v>
      </c>
      <c r="B466">
        <v>37</v>
      </c>
      <c r="C466" s="1" t="s">
        <v>40</v>
      </c>
      <c r="D466" s="1" t="s">
        <v>34</v>
      </c>
      <c r="E466">
        <v>799</v>
      </c>
      <c r="F466" s="1" t="s">
        <v>42</v>
      </c>
      <c r="G466">
        <v>1</v>
      </c>
      <c r="H466">
        <v>3</v>
      </c>
      <c r="I466" s="1" t="s">
        <v>57</v>
      </c>
      <c r="J466">
        <v>623</v>
      </c>
      <c r="K466">
        <v>2</v>
      </c>
      <c r="L466" s="1" t="s">
        <v>37</v>
      </c>
      <c r="M466">
        <v>59</v>
      </c>
      <c r="N466">
        <v>3</v>
      </c>
      <c r="O466">
        <v>3</v>
      </c>
      <c r="P466" s="1" t="s">
        <v>50</v>
      </c>
      <c r="Q466">
        <v>4</v>
      </c>
      <c r="R466" s="1" t="s">
        <v>39</v>
      </c>
      <c r="S466">
        <v>7491</v>
      </c>
      <c r="T466">
        <v>23848</v>
      </c>
      <c r="U466">
        <v>4</v>
      </c>
      <c r="V466" s="1" t="s">
        <v>40</v>
      </c>
      <c r="W466">
        <v>17</v>
      </c>
      <c r="X466">
        <v>3</v>
      </c>
      <c r="Y466">
        <v>4</v>
      </c>
      <c r="Z466">
        <v>80</v>
      </c>
      <c r="AA466">
        <v>0</v>
      </c>
      <c r="AB466">
        <v>12</v>
      </c>
      <c r="AC466">
        <v>3</v>
      </c>
      <c r="AD466">
        <v>4</v>
      </c>
      <c r="AE466">
        <v>6</v>
      </c>
      <c r="AF466">
        <v>5</v>
      </c>
      <c r="AG466">
        <v>1</v>
      </c>
      <c r="AH466">
        <v>2</v>
      </c>
      <c r="AI466">
        <f>IF(tbl_HRData[[#This Row],[Attrition]] = "Yes",1,0)</f>
        <v>0</v>
      </c>
      <c r="AJ466">
        <f>IF(tbl_HRData[[#This Row],[Attrition]] = "No",1,0)</f>
        <v>1</v>
      </c>
      <c r="AK466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466" s="1" t="str">
        <f>IF(tbl_HRData[[#This Row],[MonthlyIncome]]&lt;5000,"Low",
IF(tbl_HRData[[#This Row],[MonthlyIncome]]&lt;10000,"Medium",
IF(tbl_HRData[[#This Row],[MonthlyIncome]]&lt;15000,"Upper Medium","High")))</f>
        <v>Medium</v>
      </c>
      <c r="AM466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467" spans="1:39" x14ac:dyDescent="0.35">
      <c r="A467" s="1">
        <v>466</v>
      </c>
      <c r="B467">
        <v>46</v>
      </c>
      <c r="C467" s="1" t="s">
        <v>40</v>
      </c>
      <c r="D467" s="1" t="s">
        <v>41</v>
      </c>
      <c r="E467">
        <v>1034</v>
      </c>
      <c r="F467" s="1" t="s">
        <v>42</v>
      </c>
      <c r="G467">
        <v>18</v>
      </c>
      <c r="H467">
        <v>1</v>
      </c>
      <c r="I467" s="1" t="s">
        <v>48</v>
      </c>
      <c r="J467">
        <v>624</v>
      </c>
      <c r="K467">
        <v>1</v>
      </c>
      <c r="L467" s="1" t="s">
        <v>37</v>
      </c>
      <c r="M467">
        <v>86</v>
      </c>
      <c r="N467">
        <v>3</v>
      </c>
      <c r="O467">
        <v>3</v>
      </c>
      <c r="P467" s="1" t="s">
        <v>51</v>
      </c>
      <c r="Q467">
        <v>3</v>
      </c>
      <c r="R467" s="1" t="s">
        <v>45</v>
      </c>
      <c r="S467">
        <v>10527</v>
      </c>
      <c r="T467">
        <v>8984</v>
      </c>
      <c r="U467">
        <v>5</v>
      </c>
      <c r="V467" s="1" t="s">
        <v>40</v>
      </c>
      <c r="W467">
        <v>11</v>
      </c>
      <c r="X467">
        <v>3</v>
      </c>
      <c r="Y467">
        <v>4</v>
      </c>
      <c r="Z467">
        <v>80</v>
      </c>
      <c r="AA467">
        <v>0</v>
      </c>
      <c r="AB467">
        <v>28</v>
      </c>
      <c r="AC467">
        <v>3</v>
      </c>
      <c r="AD467">
        <v>2</v>
      </c>
      <c r="AE467">
        <v>2</v>
      </c>
      <c r="AF467">
        <v>2</v>
      </c>
      <c r="AG467">
        <v>1</v>
      </c>
      <c r="AH467">
        <v>2</v>
      </c>
      <c r="AI467">
        <f>IF(tbl_HRData[[#This Row],[Attrition]] = "Yes",1,0)</f>
        <v>0</v>
      </c>
      <c r="AJ467">
        <f>IF(tbl_HRData[[#This Row],[Attrition]] = "No",1,0)</f>
        <v>1</v>
      </c>
      <c r="AK467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467" s="1" t="str">
        <f>IF(tbl_HRData[[#This Row],[MonthlyIncome]]&lt;5000,"Low",
IF(tbl_HRData[[#This Row],[MonthlyIncome]]&lt;10000,"Medium",
IF(tbl_HRData[[#This Row],[MonthlyIncome]]&lt;15000,"Upper Medium","High")))</f>
        <v>Upper Medium</v>
      </c>
      <c r="AM467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468" spans="1:39" x14ac:dyDescent="0.35">
      <c r="A468" s="1">
        <v>467</v>
      </c>
      <c r="B468">
        <v>41</v>
      </c>
      <c r="C468" s="1" t="s">
        <v>40</v>
      </c>
      <c r="D468" s="1" t="s">
        <v>34</v>
      </c>
      <c r="E468">
        <v>1276</v>
      </c>
      <c r="F468" s="1" t="s">
        <v>35</v>
      </c>
      <c r="G468">
        <v>2</v>
      </c>
      <c r="H468">
        <v>5</v>
      </c>
      <c r="I468" s="1" t="s">
        <v>36</v>
      </c>
      <c r="J468">
        <v>625</v>
      </c>
      <c r="K468">
        <v>2</v>
      </c>
      <c r="L468" s="1" t="s">
        <v>37</v>
      </c>
      <c r="M468">
        <v>91</v>
      </c>
      <c r="N468">
        <v>3</v>
      </c>
      <c r="O468">
        <v>4</v>
      </c>
      <c r="P468" s="1" t="s">
        <v>53</v>
      </c>
      <c r="Q468">
        <v>1</v>
      </c>
      <c r="R468" s="1" t="s">
        <v>45</v>
      </c>
      <c r="S468">
        <v>16595</v>
      </c>
      <c r="T468">
        <v>5626</v>
      </c>
      <c r="U468">
        <v>7</v>
      </c>
      <c r="V468" s="1" t="s">
        <v>40</v>
      </c>
      <c r="W468">
        <v>16</v>
      </c>
      <c r="X468">
        <v>3</v>
      </c>
      <c r="Y468">
        <v>2</v>
      </c>
      <c r="Z468">
        <v>80</v>
      </c>
      <c r="AA468">
        <v>1</v>
      </c>
      <c r="AB468">
        <v>22</v>
      </c>
      <c r="AC468">
        <v>2</v>
      </c>
      <c r="AD468">
        <v>3</v>
      </c>
      <c r="AE468">
        <v>18</v>
      </c>
      <c r="AF468">
        <v>16</v>
      </c>
      <c r="AG468">
        <v>11</v>
      </c>
      <c r="AH468">
        <v>8</v>
      </c>
      <c r="AI468">
        <f>IF(tbl_HRData[[#This Row],[Attrition]] = "Yes",1,0)</f>
        <v>0</v>
      </c>
      <c r="AJ468">
        <f>IF(tbl_HRData[[#This Row],[Attrition]] = "No",1,0)</f>
        <v>1</v>
      </c>
      <c r="AK468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468" s="1" t="str">
        <f>IF(tbl_HRData[[#This Row],[MonthlyIncome]]&lt;5000,"Low",
IF(tbl_HRData[[#This Row],[MonthlyIncome]]&lt;10000,"Medium",
IF(tbl_HRData[[#This Row],[MonthlyIncome]]&lt;15000,"Upper Medium","High")))</f>
        <v>High</v>
      </c>
      <c r="AM468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469" spans="1:39" x14ac:dyDescent="0.35">
      <c r="A469" s="1">
        <v>468</v>
      </c>
      <c r="B469">
        <v>37</v>
      </c>
      <c r="C469" s="1" t="s">
        <v>40</v>
      </c>
      <c r="D469" s="1" t="s">
        <v>52</v>
      </c>
      <c r="E469">
        <v>142</v>
      </c>
      <c r="F469" s="1" t="s">
        <v>35</v>
      </c>
      <c r="G469">
        <v>9</v>
      </c>
      <c r="H469">
        <v>4</v>
      </c>
      <c r="I469" s="1" t="s">
        <v>48</v>
      </c>
      <c r="J469">
        <v>626</v>
      </c>
      <c r="K469">
        <v>1</v>
      </c>
      <c r="L469" s="1" t="s">
        <v>43</v>
      </c>
      <c r="M469">
        <v>69</v>
      </c>
      <c r="N469">
        <v>3</v>
      </c>
      <c r="O469">
        <v>3</v>
      </c>
      <c r="P469" s="1" t="s">
        <v>38</v>
      </c>
      <c r="Q469">
        <v>2</v>
      </c>
      <c r="R469" s="1" t="s">
        <v>49</v>
      </c>
      <c r="S469">
        <v>8834</v>
      </c>
      <c r="T469">
        <v>24666</v>
      </c>
      <c r="U469">
        <v>1</v>
      </c>
      <c r="V469" s="1" t="s">
        <v>40</v>
      </c>
      <c r="W469">
        <v>13</v>
      </c>
      <c r="X469">
        <v>3</v>
      </c>
      <c r="Y469">
        <v>4</v>
      </c>
      <c r="Z469">
        <v>80</v>
      </c>
      <c r="AA469">
        <v>1</v>
      </c>
      <c r="AB469">
        <v>9</v>
      </c>
      <c r="AC469">
        <v>6</v>
      </c>
      <c r="AD469">
        <v>3</v>
      </c>
      <c r="AE469">
        <v>9</v>
      </c>
      <c r="AF469">
        <v>5</v>
      </c>
      <c r="AG469">
        <v>7</v>
      </c>
      <c r="AH469">
        <v>7</v>
      </c>
      <c r="AI469">
        <f>IF(tbl_HRData[[#This Row],[Attrition]] = "Yes",1,0)</f>
        <v>0</v>
      </c>
      <c r="AJ469">
        <f>IF(tbl_HRData[[#This Row],[Attrition]] = "No",1,0)</f>
        <v>1</v>
      </c>
      <c r="AK469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469" s="1" t="str">
        <f>IF(tbl_HRData[[#This Row],[MonthlyIncome]]&lt;5000,"Low",
IF(tbl_HRData[[#This Row],[MonthlyIncome]]&lt;10000,"Medium",
IF(tbl_HRData[[#This Row],[MonthlyIncome]]&lt;15000,"Upper Medium","High")))</f>
        <v>Medium</v>
      </c>
      <c r="AM469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470" spans="1:39" x14ac:dyDescent="0.35">
      <c r="A470" s="1">
        <v>469</v>
      </c>
      <c r="B470">
        <v>52</v>
      </c>
      <c r="C470" s="1" t="s">
        <v>40</v>
      </c>
      <c r="D470" s="1" t="s">
        <v>34</v>
      </c>
      <c r="E470">
        <v>956</v>
      </c>
      <c r="F470" s="1" t="s">
        <v>42</v>
      </c>
      <c r="G470">
        <v>6</v>
      </c>
      <c r="H470">
        <v>2</v>
      </c>
      <c r="I470" s="1" t="s">
        <v>57</v>
      </c>
      <c r="J470">
        <v>630</v>
      </c>
      <c r="K470">
        <v>4</v>
      </c>
      <c r="L470" s="1" t="s">
        <v>43</v>
      </c>
      <c r="M470">
        <v>78</v>
      </c>
      <c r="N470">
        <v>3</v>
      </c>
      <c r="O470">
        <v>2</v>
      </c>
      <c r="P470" s="1" t="s">
        <v>44</v>
      </c>
      <c r="Q470">
        <v>1</v>
      </c>
      <c r="R470" s="1" t="s">
        <v>49</v>
      </c>
      <c r="S470">
        <v>5577</v>
      </c>
      <c r="T470">
        <v>22087</v>
      </c>
      <c r="U470">
        <v>3</v>
      </c>
      <c r="V470" s="1" t="s">
        <v>33</v>
      </c>
      <c r="W470">
        <v>12</v>
      </c>
      <c r="X470">
        <v>3</v>
      </c>
      <c r="Y470">
        <v>2</v>
      </c>
      <c r="Z470">
        <v>80</v>
      </c>
      <c r="AA470">
        <v>2</v>
      </c>
      <c r="AB470">
        <v>18</v>
      </c>
      <c r="AC470">
        <v>3</v>
      </c>
      <c r="AD470">
        <v>3</v>
      </c>
      <c r="AE470">
        <v>10</v>
      </c>
      <c r="AF470">
        <v>9</v>
      </c>
      <c r="AG470">
        <v>6</v>
      </c>
      <c r="AH470">
        <v>9</v>
      </c>
      <c r="AI470">
        <f>IF(tbl_HRData[[#This Row],[Attrition]] = "Yes",1,0)</f>
        <v>0</v>
      </c>
      <c r="AJ470">
        <f>IF(tbl_HRData[[#This Row],[Attrition]] = "No",1,0)</f>
        <v>1</v>
      </c>
      <c r="AK470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470" s="1" t="str">
        <f>IF(tbl_HRData[[#This Row],[MonthlyIncome]]&lt;5000,"Low",
IF(tbl_HRData[[#This Row],[MonthlyIncome]]&lt;10000,"Medium",
IF(tbl_HRData[[#This Row],[MonthlyIncome]]&lt;15000,"Upper Medium","High")))</f>
        <v>Medium</v>
      </c>
      <c r="AM470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471" spans="1:39" x14ac:dyDescent="0.35">
      <c r="A471" s="1">
        <v>470</v>
      </c>
      <c r="B471">
        <v>32</v>
      </c>
      <c r="C471" s="1" t="s">
        <v>33</v>
      </c>
      <c r="D471" s="1" t="s">
        <v>52</v>
      </c>
      <c r="E471">
        <v>1474</v>
      </c>
      <c r="F471" s="1" t="s">
        <v>35</v>
      </c>
      <c r="G471">
        <v>11</v>
      </c>
      <c r="H471">
        <v>4</v>
      </c>
      <c r="I471" s="1" t="s">
        <v>46</v>
      </c>
      <c r="J471">
        <v>631</v>
      </c>
      <c r="K471">
        <v>4</v>
      </c>
      <c r="L471" s="1" t="s">
        <v>43</v>
      </c>
      <c r="M471">
        <v>60</v>
      </c>
      <c r="N471">
        <v>4</v>
      </c>
      <c r="O471">
        <v>2</v>
      </c>
      <c r="P471" s="1" t="s">
        <v>38</v>
      </c>
      <c r="Q471">
        <v>3</v>
      </c>
      <c r="R471" s="1" t="s">
        <v>45</v>
      </c>
      <c r="S471">
        <v>4707</v>
      </c>
      <c r="T471">
        <v>23914</v>
      </c>
      <c r="U471">
        <v>8</v>
      </c>
      <c r="V471" s="1" t="s">
        <v>40</v>
      </c>
      <c r="W471">
        <v>12</v>
      </c>
      <c r="X471">
        <v>3</v>
      </c>
      <c r="Y471">
        <v>4</v>
      </c>
      <c r="Z471">
        <v>80</v>
      </c>
      <c r="AA471">
        <v>0</v>
      </c>
      <c r="AB471">
        <v>6</v>
      </c>
      <c r="AC471">
        <v>2</v>
      </c>
      <c r="AD471">
        <v>3</v>
      </c>
      <c r="AE471">
        <v>4</v>
      </c>
      <c r="AF471">
        <v>2</v>
      </c>
      <c r="AG471">
        <v>1</v>
      </c>
      <c r="AH471">
        <v>2</v>
      </c>
      <c r="AI471">
        <f>IF(tbl_HRData[[#This Row],[Attrition]] = "Yes",1,0)</f>
        <v>1</v>
      </c>
      <c r="AJ471">
        <f>IF(tbl_HRData[[#This Row],[Attrition]] = "No",1,0)</f>
        <v>0</v>
      </c>
      <c r="AK471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471" s="1" t="str">
        <f>IF(tbl_HRData[[#This Row],[MonthlyIncome]]&lt;5000,"Low",
IF(tbl_HRData[[#This Row],[MonthlyIncome]]&lt;10000,"Medium",
IF(tbl_HRData[[#This Row],[MonthlyIncome]]&lt;15000,"Upper Medium","High")))</f>
        <v>Low</v>
      </c>
      <c r="AM471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472" spans="1:39" x14ac:dyDescent="0.35">
      <c r="A472" s="1">
        <v>471</v>
      </c>
      <c r="B472">
        <v>24</v>
      </c>
      <c r="C472" s="1" t="s">
        <v>40</v>
      </c>
      <c r="D472" s="1" t="s">
        <v>41</v>
      </c>
      <c r="E472">
        <v>535</v>
      </c>
      <c r="F472" s="1" t="s">
        <v>35</v>
      </c>
      <c r="G472">
        <v>24</v>
      </c>
      <c r="H472">
        <v>3</v>
      </c>
      <c r="I472" s="1" t="s">
        <v>48</v>
      </c>
      <c r="J472">
        <v>632</v>
      </c>
      <c r="K472">
        <v>4</v>
      </c>
      <c r="L472" s="1" t="s">
        <v>43</v>
      </c>
      <c r="M472">
        <v>38</v>
      </c>
      <c r="N472">
        <v>3</v>
      </c>
      <c r="O472">
        <v>1</v>
      </c>
      <c r="P472" s="1" t="s">
        <v>54</v>
      </c>
      <c r="Q472">
        <v>4</v>
      </c>
      <c r="R472" s="1" t="s">
        <v>45</v>
      </c>
      <c r="S472">
        <v>2400</v>
      </c>
      <c r="T472">
        <v>5530</v>
      </c>
      <c r="U472">
        <v>0</v>
      </c>
      <c r="V472" s="1" t="s">
        <v>40</v>
      </c>
      <c r="W472">
        <v>13</v>
      </c>
      <c r="X472">
        <v>3</v>
      </c>
      <c r="Y472">
        <v>3</v>
      </c>
      <c r="Z472">
        <v>80</v>
      </c>
      <c r="AA472">
        <v>2</v>
      </c>
      <c r="AB472">
        <v>3</v>
      </c>
      <c r="AC472">
        <v>3</v>
      </c>
      <c r="AD472">
        <v>3</v>
      </c>
      <c r="AE472">
        <v>2</v>
      </c>
      <c r="AF472">
        <v>2</v>
      </c>
      <c r="AG472">
        <v>2</v>
      </c>
      <c r="AH472">
        <v>1</v>
      </c>
      <c r="AI472">
        <f>IF(tbl_HRData[[#This Row],[Attrition]] = "Yes",1,0)</f>
        <v>0</v>
      </c>
      <c r="AJ472">
        <f>IF(tbl_HRData[[#This Row],[Attrition]] = "No",1,0)</f>
        <v>1</v>
      </c>
      <c r="AK472" t="str">
        <f>IF(tbl_HRData[[#This Row],[Age]] &lt; 25, "Under 25", IF(tbl_HRData[[#This Row],[Age]] &lt;= 34, "25-34", IF(tbl_HRData[[#This Row],[Age]] &lt;= 44, "35-44", IF(tbl_HRData[[#This Row],[Age]] &lt;= 54, "45-54", "55+"))))</f>
        <v>Under 25</v>
      </c>
      <c r="AL472" s="1" t="str">
        <f>IF(tbl_HRData[[#This Row],[MonthlyIncome]]&lt;5000,"Low",
IF(tbl_HRData[[#This Row],[MonthlyIncome]]&lt;10000,"Medium",
IF(tbl_HRData[[#This Row],[MonthlyIncome]]&lt;15000,"Upper Medium","High")))</f>
        <v>Low</v>
      </c>
      <c r="AM472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473" spans="1:39" x14ac:dyDescent="0.35">
      <c r="A473" s="1">
        <v>472</v>
      </c>
      <c r="B473">
        <v>38</v>
      </c>
      <c r="C473" s="1" t="s">
        <v>40</v>
      </c>
      <c r="D473" s="1" t="s">
        <v>34</v>
      </c>
      <c r="E473">
        <v>1495</v>
      </c>
      <c r="F473" s="1" t="s">
        <v>42</v>
      </c>
      <c r="G473">
        <v>10</v>
      </c>
      <c r="H473">
        <v>3</v>
      </c>
      <c r="I473" s="1" t="s">
        <v>48</v>
      </c>
      <c r="J473">
        <v>634</v>
      </c>
      <c r="K473">
        <v>3</v>
      </c>
      <c r="L473" s="1" t="s">
        <v>37</v>
      </c>
      <c r="M473">
        <v>76</v>
      </c>
      <c r="N473">
        <v>3</v>
      </c>
      <c r="O473">
        <v>2</v>
      </c>
      <c r="P473" s="1" t="s">
        <v>51</v>
      </c>
      <c r="Q473">
        <v>3</v>
      </c>
      <c r="R473" s="1" t="s">
        <v>45</v>
      </c>
      <c r="S473">
        <v>9824</v>
      </c>
      <c r="T473">
        <v>22174</v>
      </c>
      <c r="U473">
        <v>3</v>
      </c>
      <c r="V473" s="1" t="s">
        <v>40</v>
      </c>
      <c r="W473">
        <v>19</v>
      </c>
      <c r="X473">
        <v>3</v>
      </c>
      <c r="Y473">
        <v>3</v>
      </c>
      <c r="Z473">
        <v>80</v>
      </c>
      <c r="AA473">
        <v>1</v>
      </c>
      <c r="AB473">
        <v>18</v>
      </c>
      <c r="AC473">
        <v>4</v>
      </c>
      <c r="AD473">
        <v>3</v>
      </c>
      <c r="AE473">
        <v>1</v>
      </c>
      <c r="AF473">
        <v>0</v>
      </c>
      <c r="AG473">
        <v>0</v>
      </c>
      <c r="AH473">
        <v>0</v>
      </c>
      <c r="AI473">
        <f>IF(tbl_HRData[[#This Row],[Attrition]] = "Yes",1,0)</f>
        <v>0</v>
      </c>
      <c r="AJ473">
        <f>IF(tbl_HRData[[#This Row],[Attrition]] = "No",1,0)</f>
        <v>1</v>
      </c>
      <c r="AK473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473" s="1" t="str">
        <f>IF(tbl_HRData[[#This Row],[MonthlyIncome]]&lt;5000,"Low",
IF(tbl_HRData[[#This Row],[MonthlyIncome]]&lt;10000,"Medium",
IF(tbl_HRData[[#This Row],[MonthlyIncome]]&lt;15000,"Upper Medium","High")))</f>
        <v>Medium</v>
      </c>
      <c r="AM473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474" spans="1:39" x14ac:dyDescent="0.35">
      <c r="A474" s="1">
        <v>473</v>
      </c>
      <c r="B474">
        <v>37</v>
      </c>
      <c r="C474" s="1" t="s">
        <v>40</v>
      </c>
      <c r="D474" s="1" t="s">
        <v>34</v>
      </c>
      <c r="E474">
        <v>446</v>
      </c>
      <c r="F474" s="1" t="s">
        <v>42</v>
      </c>
      <c r="G474">
        <v>1</v>
      </c>
      <c r="H474">
        <v>4</v>
      </c>
      <c r="I474" s="1" t="s">
        <v>36</v>
      </c>
      <c r="J474">
        <v>635</v>
      </c>
      <c r="K474">
        <v>2</v>
      </c>
      <c r="L474" s="1" t="s">
        <v>37</v>
      </c>
      <c r="M474">
        <v>65</v>
      </c>
      <c r="N474">
        <v>3</v>
      </c>
      <c r="O474">
        <v>2</v>
      </c>
      <c r="P474" s="1" t="s">
        <v>50</v>
      </c>
      <c r="Q474">
        <v>2</v>
      </c>
      <c r="R474" s="1" t="s">
        <v>45</v>
      </c>
      <c r="S474">
        <v>6447</v>
      </c>
      <c r="T474">
        <v>15701</v>
      </c>
      <c r="U474">
        <v>6</v>
      </c>
      <c r="V474" s="1" t="s">
        <v>40</v>
      </c>
      <c r="W474">
        <v>12</v>
      </c>
      <c r="X474">
        <v>3</v>
      </c>
      <c r="Y474">
        <v>2</v>
      </c>
      <c r="Z474">
        <v>80</v>
      </c>
      <c r="AA474">
        <v>1</v>
      </c>
      <c r="AB474">
        <v>8</v>
      </c>
      <c r="AC474">
        <v>2</v>
      </c>
      <c r="AD474">
        <v>2</v>
      </c>
      <c r="AE474">
        <v>6</v>
      </c>
      <c r="AF474">
        <v>5</v>
      </c>
      <c r="AG474">
        <v>4</v>
      </c>
      <c r="AH474">
        <v>3</v>
      </c>
      <c r="AI474">
        <f>IF(tbl_HRData[[#This Row],[Attrition]] = "Yes",1,0)</f>
        <v>0</v>
      </c>
      <c r="AJ474">
        <f>IF(tbl_HRData[[#This Row],[Attrition]] = "No",1,0)</f>
        <v>1</v>
      </c>
      <c r="AK474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474" s="1" t="str">
        <f>IF(tbl_HRData[[#This Row],[MonthlyIncome]]&lt;5000,"Low",
IF(tbl_HRData[[#This Row],[MonthlyIncome]]&lt;10000,"Medium",
IF(tbl_HRData[[#This Row],[MonthlyIncome]]&lt;15000,"Upper Medium","High")))</f>
        <v>Medium</v>
      </c>
      <c r="AM474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475" spans="1:39" x14ac:dyDescent="0.35">
      <c r="A475" s="1">
        <v>474</v>
      </c>
      <c r="B475">
        <v>49</v>
      </c>
      <c r="C475" s="1" t="s">
        <v>40</v>
      </c>
      <c r="D475" s="1" t="s">
        <v>34</v>
      </c>
      <c r="E475">
        <v>1245</v>
      </c>
      <c r="F475" s="1" t="s">
        <v>42</v>
      </c>
      <c r="G475">
        <v>18</v>
      </c>
      <c r="H475">
        <v>4</v>
      </c>
      <c r="I475" s="1" t="s">
        <v>36</v>
      </c>
      <c r="J475">
        <v>638</v>
      </c>
      <c r="K475">
        <v>4</v>
      </c>
      <c r="L475" s="1" t="s">
        <v>43</v>
      </c>
      <c r="M475">
        <v>58</v>
      </c>
      <c r="N475">
        <v>2</v>
      </c>
      <c r="O475">
        <v>5</v>
      </c>
      <c r="P475" s="1" t="s">
        <v>55</v>
      </c>
      <c r="Q475">
        <v>3</v>
      </c>
      <c r="R475" s="1" t="s">
        <v>49</v>
      </c>
      <c r="S475">
        <v>19502</v>
      </c>
      <c r="T475">
        <v>2125</v>
      </c>
      <c r="U475">
        <v>1</v>
      </c>
      <c r="V475" s="1" t="s">
        <v>33</v>
      </c>
      <c r="W475">
        <v>17</v>
      </c>
      <c r="X475">
        <v>3</v>
      </c>
      <c r="Y475">
        <v>3</v>
      </c>
      <c r="Z475">
        <v>80</v>
      </c>
      <c r="AA475">
        <v>1</v>
      </c>
      <c r="AB475">
        <v>31</v>
      </c>
      <c r="AC475">
        <v>5</v>
      </c>
      <c r="AD475">
        <v>3</v>
      </c>
      <c r="AE475">
        <v>31</v>
      </c>
      <c r="AF475">
        <v>9</v>
      </c>
      <c r="AG475">
        <v>0</v>
      </c>
      <c r="AH475">
        <v>9</v>
      </c>
      <c r="AI475">
        <f>IF(tbl_HRData[[#This Row],[Attrition]] = "Yes",1,0)</f>
        <v>0</v>
      </c>
      <c r="AJ475">
        <f>IF(tbl_HRData[[#This Row],[Attrition]] = "No",1,0)</f>
        <v>1</v>
      </c>
      <c r="AK475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475" s="1" t="str">
        <f>IF(tbl_HRData[[#This Row],[MonthlyIncome]]&lt;5000,"Low",
IF(tbl_HRData[[#This Row],[MonthlyIncome]]&lt;10000,"Medium",
IF(tbl_HRData[[#This Row],[MonthlyIncome]]&lt;15000,"Upper Medium","High")))</f>
        <v>High</v>
      </c>
      <c r="AM475" s="1" t="str">
        <f>IF(tbl_HRData[[#This Row],[YearsAtCompany]]&lt;=5,"0-5 Years",
IF(tbl_HRData[[#This Row],[YearsAtCompany]]&lt;=10,"6-10 Years",
IF(tbl_HRData[[#This Row],[YearsAtCompany]]&lt;=20,"11-20 Years","21+ Years")))</f>
        <v>21+ Years</v>
      </c>
    </row>
    <row r="476" spans="1:39" x14ac:dyDescent="0.35">
      <c r="A476" s="1">
        <v>475</v>
      </c>
      <c r="B476">
        <v>24</v>
      </c>
      <c r="C476" s="1" t="s">
        <v>40</v>
      </c>
      <c r="D476" s="1" t="s">
        <v>34</v>
      </c>
      <c r="E476">
        <v>691</v>
      </c>
      <c r="F476" s="1" t="s">
        <v>42</v>
      </c>
      <c r="G476">
        <v>23</v>
      </c>
      <c r="H476">
        <v>3</v>
      </c>
      <c r="I476" s="1" t="s">
        <v>48</v>
      </c>
      <c r="J476">
        <v>639</v>
      </c>
      <c r="K476">
        <v>2</v>
      </c>
      <c r="L476" s="1" t="s">
        <v>43</v>
      </c>
      <c r="M476">
        <v>89</v>
      </c>
      <c r="N476">
        <v>4</v>
      </c>
      <c r="O476">
        <v>1</v>
      </c>
      <c r="P476" s="1" t="s">
        <v>44</v>
      </c>
      <c r="Q476">
        <v>4</v>
      </c>
      <c r="R476" s="1" t="s">
        <v>45</v>
      </c>
      <c r="S476">
        <v>2725</v>
      </c>
      <c r="T476">
        <v>21630</v>
      </c>
      <c r="U476">
        <v>1</v>
      </c>
      <c r="V476" s="1" t="s">
        <v>33</v>
      </c>
      <c r="W476">
        <v>11</v>
      </c>
      <c r="X476">
        <v>3</v>
      </c>
      <c r="Y476">
        <v>2</v>
      </c>
      <c r="Z476">
        <v>80</v>
      </c>
      <c r="AA476">
        <v>2</v>
      </c>
      <c r="AB476">
        <v>6</v>
      </c>
      <c r="AC476">
        <v>3</v>
      </c>
      <c r="AD476">
        <v>3</v>
      </c>
      <c r="AE476">
        <v>6</v>
      </c>
      <c r="AF476">
        <v>5</v>
      </c>
      <c r="AG476">
        <v>1</v>
      </c>
      <c r="AH476">
        <v>4</v>
      </c>
      <c r="AI476">
        <f>IF(tbl_HRData[[#This Row],[Attrition]] = "Yes",1,0)</f>
        <v>0</v>
      </c>
      <c r="AJ476">
        <f>IF(tbl_HRData[[#This Row],[Attrition]] = "No",1,0)</f>
        <v>1</v>
      </c>
      <c r="AK476" t="str">
        <f>IF(tbl_HRData[[#This Row],[Age]] &lt; 25, "Under 25", IF(tbl_HRData[[#This Row],[Age]] &lt;= 34, "25-34", IF(tbl_HRData[[#This Row],[Age]] &lt;= 44, "35-44", IF(tbl_HRData[[#This Row],[Age]] &lt;= 54, "45-54", "55+"))))</f>
        <v>Under 25</v>
      </c>
      <c r="AL476" s="1" t="str">
        <f>IF(tbl_HRData[[#This Row],[MonthlyIncome]]&lt;5000,"Low",
IF(tbl_HRData[[#This Row],[MonthlyIncome]]&lt;10000,"Medium",
IF(tbl_HRData[[#This Row],[MonthlyIncome]]&lt;15000,"Upper Medium","High")))</f>
        <v>Low</v>
      </c>
      <c r="AM476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477" spans="1:39" x14ac:dyDescent="0.35">
      <c r="A477" s="1">
        <v>476</v>
      </c>
      <c r="B477">
        <v>26</v>
      </c>
      <c r="C477" s="1" t="s">
        <v>40</v>
      </c>
      <c r="D477" s="1" t="s">
        <v>34</v>
      </c>
      <c r="E477">
        <v>703</v>
      </c>
      <c r="F477" s="1" t="s">
        <v>35</v>
      </c>
      <c r="G477">
        <v>28</v>
      </c>
      <c r="H477">
        <v>2</v>
      </c>
      <c r="I477" s="1" t="s">
        <v>56</v>
      </c>
      <c r="J477">
        <v>641</v>
      </c>
      <c r="K477">
        <v>1</v>
      </c>
      <c r="L477" s="1" t="s">
        <v>43</v>
      </c>
      <c r="M477">
        <v>66</v>
      </c>
      <c r="N477">
        <v>3</v>
      </c>
      <c r="O477">
        <v>2</v>
      </c>
      <c r="P477" s="1" t="s">
        <v>38</v>
      </c>
      <c r="Q477">
        <v>2</v>
      </c>
      <c r="R477" s="1" t="s">
        <v>45</v>
      </c>
      <c r="S477">
        <v>6272</v>
      </c>
      <c r="T477">
        <v>7428</v>
      </c>
      <c r="U477">
        <v>1</v>
      </c>
      <c r="V477" s="1" t="s">
        <v>40</v>
      </c>
      <c r="W477">
        <v>20</v>
      </c>
      <c r="X477">
        <v>4</v>
      </c>
      <c r="Y477">
        <v>4</v>
      </c>
      <c r="Z477">
        <v>80</v>
      </c>
      <c r="AA477">
        <v>2</v>
      </c>
      <c r="AB477">
        <v>6</v>
      </c>
      <c r="AC477">
        <v>5</v>
      </c>
      <c r="AD477">
        <v>4</v>
      </c>
      <c r="AE477">
        <v>5</v>
      </c>
      <c r="AF477">
        <v>3</v>
      </c>
      <c r="AG477">
        <v>1</v>
      </c>
      <c r="AH477">
        <v>4</v>
      </c>
      <c r="AI477">
        <f>IF(tbl_HRData[[#This Row],[Attrition]] = "Yes",1,0)</f>
        <v>0</v>
      </c>
      <c r="AJ477">
        <f>IF(tbl_HRData[[#This Row],[Attrition]] = "No",1,0)</f>
        <v>1</v>
      </c>
      <c r="AK477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477" s="1" t="str">
        <f>IF(tbl_HRData[[#This Row],[MonthlyIncome]]&lt;5000,"Low",
IF(tbl_HRData[[#This Row],[MonthlyIncome]]&lt;10000,"Medium",
IF(tbl_HRData[[#This Row],[MonthlyIncome]]&lt;15000,"Upper Medium","High")))</f>
        <v>Medium</v>
      </c>
      <c r="AM477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478" spans="1:39" x14ac:dyDescent="0.35">
      <c r="A478" s="1">
        <v>477</v>
      </c>
      <c r="B478">
        <v>24</v>
      </c>
      <c r="C478" s="1" t="s">
        <v>40</v>
      </c>
      <c r="D478" s="1" t="s">
        <v>34</v>
      </c>
      <c r="E478">
        <v>823</v>
      </c>
      <c r="F478" s="1" t="s">
        <v>42</v>
      </c>
      <c r="G478">
        <v>17</v>
      </c>
      <c r="H478">
        <v>2</v>
      </c>
      <c r="I478" s="1" t="s">
        <v>46</v>
      </c>
      <c r="J478">
        <v>643</v>
      </c>
      <c r="K478">
        <v>4</v>
      </c>
      <c r="L478" s="1" t="s">
        <v>43</v>
      </c>
      <c r="M478">
        <v>94</v>
      </c>
      <c r="N478">
        <v>2</v>
      </c>
      <c r="O478">
        <v>1</v>
      </c>
      <c r="P478" s="1" t="s">
        <v>47</v>
      </c>
      <c r="Q478">
        <v>2</v>
      </c>
      <c r="R478" s="1" t="s">
        <v>45</v>
      </c>
      <c r="S478">
        <v>2127</v>
      </c>
      <c r="T478">
        <v>9100</v>
      </c>
      <c r="U478">
        <v>1</v>
      </c>
      <c r="V478" s="1" t="s">
        <v>40</v>
      </c>
      <c r="W478">
        <v>21</v>
      </c>
      <c r="X478">
        <v>4</v>
      </c>
      <c r="Y478">
        <v>4</v>
      </c>
      <c r="Z478">
        <v>80</v>
      </c>
      <c r="AA478">
        <v>1</v>
      </c>
      <c r="AB478">
        <v>1</v>
      </c>
      <c r="AC478">
        <v>2</v>
      </c>
      <c r="AD478">
        <v>3</v>
      </c>
      <c r="AE478">
        <v>1</v>
      </c>
      <c r="AF478">
        <v>0</v>
      </c>
      <c r="AG478">
        <v>0</v>
      </c>
      <c r="AH478">
        <v>0</v>
      </c>
      <c r="AI478">
        <f>IF(tbl_HRData[[#This Row],[Attrition]] = "Yes",1,0)</f>
        <v>0</v>
      </c>
      <c r="AJ478">
        <f>IF(tbl_HRData[[#This Row],[Attrition]] = "No",1,0)</f>
        <v>1</v>
      </c>
      <c r="AK478" t="str">
        <f>IF(tbl_HRData[[#This Row],[Age]] &lt; 25, "Under 25", IF(tbl_HRData[[#This Row],[Age]] &lt;= 34, "25-34", IF(tbl_HRData[[#This Row],[Age]] &lt;= 44, "35-44", IF(tbl_HRData[[#This Row],[Age]] &lt;= 54, "45-54", "55+"))))</f>
        <v>Under 25</v>
      </c>
      <c r="AL478" s="1" t="str">
        <f>IF(tbl_HRData[[#This Row],[MonthlyIncome]]&lt;5000,"Low",
IF(tbl_HRData[[#This Row],[MonthlyIncome]]&lt;10000,"Medium",
IF(tbl_HRData[[#This Row],[MonthlyIncome]]&lt;15000,"Upper Medium","High")))</f>
        <v>Low</v>
      </c>
      <c r="AM478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479" spans="1:39" x14ac:dyDescent="0.35">
      <c r="A479" s="1">
        <v>478</v>
      </c>
      <c r="B479">
        <v>50</v>
      </c>
      <c r="C479" s="1" t="s">
        <v>40</v>
      </c>
      <c r="D479" s="1" t="s">
        <v>41</v>
      </c>
      <c r="E479">
        <v>1246</v>
      </c>
      <c r="F479" s="1" t="s">
        <v>58</v>
      </c>
      <c r="G479">
        <v>3</v>
      </c>
      <c r="H479">
        <v>3</v>
      </c>
      <c r="I479" s="1" t="s">
        <v>48</v>
      </c>
      <c r="J479">
        <v>644</v>
      </c>
      <c r="K479">
        <v>1</v>
      </c>
      <c r="L479" s="1" t="s">
        <v>43</v>
      </c>
      <c r="M479">
        <v>99</v>
      </c>
      <c r="N479">
        <v>3</v>
      </c>
      <c r="O479">
        <v>5</v>
      </c>
      <c r="P479" s="1" t="s">
        <v>53</v>
      </c>
      <c r="Q479">
        <v>2</v>
      </c>
      <c r="R479" s="1" t="s">
        <v>45</v>
      </c>
      <c r="S479">
        <v>18200</v>
      </c>
      <c r="T479">
        <v>7999</v>
      </c>
      <c r="U479">
        <v>1</v>
      </c>
      <c r="V479" s="1" t="s">
        <v>40</v>
      </c>
      <c r="W479">
        <v>11</v>
      </c>
      <c r="X479">
        <v>3</v>
      </c>
      <c r="Y479">
        <v>3</v>
      </c>
      <c r="Z479">
        <v>80</v>
      </c>
      <c r="AA479">
        <v>1</v>
      </c>
      <c r="AB479">
        <v>32</v>
      </c>
      <c r="AC479">
        <v>2</v>
      </c>
      <c r="AD479">
        <v>3</v>
      </c>
      <c r="AE479">
        <v>32</v>
      </c>
      <c r="AF479">
        <v>5</v>
      </c>
      <c r="AG479">
        <v>10</v>
      </c>
      <c r="AH479">
        <v>7</v>
      </c>
      <c r="AI479">
        <f>IF(tbl_HRData[[#This Row],[Attrition]] = "Yes",1,0)</f>
        <v>0</v>
      </c>
      <c r="AJ479">
        <f>IF(tbl_HRData[[#This Row],[Attrition]] = "No",1,0)</f>
        <v>1</v>
      </c>
      <c r="AK479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479" s="1" t="str">
        <f>IF(tbl_HRData[[#This Row],[MonthlyIncome]]&lt;5000,"Low",
IF(tbl_HRData[[#This Row],[MonthlyIncome]]&lt;10000,"Medium",
IF(tbl_HRData[[#This Row],[MonthlyIncome]]&lt;15000,"Upper Medium","High")))</f>
        <v>High</v>
      </c>
      <c r="AM479" s="1" t="str">
        <f>IF(tbl_HRData[[#This Row],[YearsAtCompany]]&lt;=5,"0-5 Years",
IF(tbl_HRData[[#This Row],[YearsAtCompany]]&lt;=10,"6-10 Years",
IF(tbl_HRData[[#This Row],[YearsAtCompany]]&lt;=20,"11-20 Years","21+ Years")))</f>
        <v>21+ Years</v>
      </c>
    </row>
    <row r="480" spans="1:39" x14ac:dyDescent="0.35">
      <c r="A480" s="1">
        <v>479</v>
      </c>
      <c r="B480">
        <v>25</v>
      </c>
      <c r="C480" s="1" t="s">
        <v>40</v>
      </c>
      <c r="D480" s="1" t="s">
        <v>34</v>
      </c>
      <c r="E480">
        <v>622</v>
      </c>
      <c r="F480" s="1" t="s">
        <v>35</v>
      </c>
      <c r="G480">
        <v>13</v>
      </c>
      <c r="H480">
        <v>1</v>
      </c>
      <c r="I480" s="1" t="s">
        <v>48</v>
      </c>
      <c r="J480">
        <v>645</v>
      </c>
      <c r="K480">
        <v>2</v>
      </c>
      <c r="L480" s="1" t="s">
        <v>43</v>
      </c>
      <c r="M480">
        <v>40</v>
      </c>
      <c r="N480">
        <v>3</v>
      </c>
      <c r="O480">
        <v>1</v>
      </c>
      <c r="P480" s="1" t="s">
        <v>54</v>
      </c>
      <c r="Q480">
        <v>3</v>
      </c>
      <c r="R480" s="1" t="s">
        <v>45</v>
      </c>
      <c r="S480">
        <v>2096</v>
      </c>
      <c r="T480">
        <v>26376</v>
      </c>
      <c r="U480">
        <v>1</v>
      </c>
      <c r="V480" s="1" t="s">
        <v>40</v>
      </c>
      <c r="W480">
        <v>11</v>
      </c>
      <c r="X480">
        <v>3</v>
      </c>
      <c r="Y480">
        <v>3</v>
      </c>
      <c r="Z480">
        <v>80</v>
      </c>
      <c r="AA480">
        <v>0</v>
      </c>
      <c r="AB480">
        <v>7</v>
      </c>
      <c r="AC480">
        <v>1</v>
      </c>
      <c r="AD480">
        <v>3</v>
      </c>
      <c r="AE480">
        <v>7</v>
      </c>
      <c r="AF480">
        <v>4</v>
      </c>
      <c r="AG480">
        <v>0</v>
      </c>
      <c r="AH480">
        <v>6</v>
      </c>
      <c r="AI480">
        <f>IF(tbl_HRData[[#This Row],[Attrition]] = "Yes",1,0)</f>
        <v>0</v>
      </c>
      <c r="AJ480">
        <f>IF(tbl_HRData[[#This Row],[Attrition]] = "No",1,0)</f>
        <v>1</v>
      </c>
      <c r="AK480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480" s="1" t="str">
        <f>IF(tbl_HRData[[#This Row],[MonthlyIncome]]&lt;5000,"Low",
IF(tbl_HRData[[#This Row],[MonthlyIncome]]&lt;10000,"Medium",
IF(tbl_HRData[[#This Row],[MonthlyIncome]]&lt;15000,"Upper Medium","High")))</f>
        <v>Low</v>
      </c>
      <c r="AM480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481" spans="1:39" x14ac:dyDescent="0.35">
      <c r="A481" s="1">
        <v>480</v>
      </c>
      <c r="B481">
        <v>24</v>
      </c>
      <c r="C481" s="1" t="s">
        <v>33</v>
      </c>
      <c r="D481" s="1" t="s">
        <v>41</v>
      </c>
      <c r="E481">
        <v>1287</v>
      </c>
      <c r="F481" s="1" t="s">
        <v>42</v>
      </c>
      <c r="G481">
        <v>7</v>
      </c>
      <c r="H481">
        <v>3</v>
      </c>
      <c r="I481" s="1" t="s">
        <v>36</v>
      </c>
      <c r="J481">
        <v>647</v>
      </c>
      <c r="K481">
        <v>1</v>
      </c>
      <c r="L481" s="1" t="s">
        <v>37</v>
      </c>
      <c r="M481">
        <v>55</v>
      </c>
      <c r="N481">
        <v>3</v>
      </c>
      <c r="O481">
        <v>1</v>
      </c>
      <c r="P481" s="1" t="s">
        <v>47</v>
      </c>
      <c r="Q481">
        <v>3</v>
      </c>
      <c r="R481" s="1" t="s">
        <v>45</v>
      </c>
      <c r="S481">
        <v>2886</v>
      </c>
      <c r="T481">
        <v>14168</v>
      </c>
      <c r="U481">
        <v>1</v>
      </c>
      <c r="V481" s="1" t="s">
        <v>33</v>
      </c>
      <c r="W481">
        <v>16</v>
      </c>
      <c r="X481">
        <v>3</v>
      </c>
      <c r="Y481">
        <v>4</v>
      </c>
      <c r="Z481">
        <v>80</v>
      </c>
      <c r="AA481">
        <v>1</v>
      </c>
      <c r="AB481">
        <v>6</v>
      </c>
      <c r="AC481">
        <v>4</v>
      </c>
      <c r="AD481">
        <v>3</v>
      </c>
      <c r="AE481">
        <v>6</v>
      </c>
      <c r="AF481">
        <v>3</v>
      </c>
      <c r="AG481">
        <v>1</v>
      </c>
      <c r="AH481">
        <v>2</v>
      </c>
      <c r="AI481">
        <f>IF(tbl_HRData[[#This Row],[Attrition]] = "Yes",1,0)</f>
        <v>1</v>
      </c>
      <c r="AJ481">
        <f>IF(tbl_HRData[[#This Row],[Attrition]] = "No",1,0)</f>
        <v>0</v>
      </c>
      <c r="AK481" t="str">
        <f>IF(tbl_HRData[[#This Row],[Age]] &lt; 25, "Under 25", IF(tbl_HRData[[#This Row],[Age]] &lt;= 34, "25-34", IF(tbl_HRData[[#This Row],[Age]] &lt;= 44, "35-44", IF(tbl_HRData[[#This Row],[Age]] &lt;= 54, "45-54", "55+"))))</f>
        <v>Under 25</v>
      </c>
      <c r="AL481" s="1" t="str">
        <f>IF(tbl_HRData[[#This Row],[MonthlyIncome]]&lt;5000,"Low",
IF(tbl_HRData[[#This Row],[MonthlyIncome]]&lt;10000,"Medium",
IF(tbl_HRData[[#This Row],[MonthlyIncome]]&lt;15000,"Upper Medium","High")))</f>
        <v>Low</v>
      </c>
      <c r="AM481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482" spans="1:39" x14ac:dyDescent="0.35">
      <c r="A482" s="1">
        <v>481</v>
      </c>
      <c r="B482">
        <v>30</v>
      </c>
      <c r="C482" s="1" t="s">
        <v>33</v>
      </c>
      <c r="D482" s="1" t="s">
        <v>41</v>
      </c>
      <c r="E482">
        <v>448</v>
      </c>
      <c r="F482" s="1" t="s">
        <v>35</v>
      </c>
      <c r="G482">
        <v>12</v>
      </c>
      <c r="H482">
        <v>4</v>
      </c>
      <c r="I482" s="1" t="s">
        <v>36</v>
      </c>
      <c r="J482">
        <v>648</v>
      </c>
      <c r="K482">
        <v>2</v>
      </c>
      <c r="L482" s="1" t="s">
        <v>43</v>
      </c>
      <c r="M482">
        <v>74</v>
      </c>
      <c r="N482">
        <v>2</v>
      </c>
      <c r="O482">
        <v>1</v>
      </c>
      <c r="P482" s="1" t="s">
        <v>54</v>
      </c>
      <c r="Q482">
        <v>1</v>
      </c>
      <c r="R482" s="1" t="s">
        <v>45</v>
      </c>
      <c r="S482">
        <v>2033</v>
      </c>
      <c r="T482">
        <v>14470</v>
      </c>
      <c r="U482">
        <v>1</v>
      </c>
      <c r="V482" s="1" t="s">
        <v>40</v>
      </c>
      <c r="W482">
        <v>18</v>
      </c>
      <c r="X482">
        <v>3</v>
      </c>
      <c r="Y482">
        <v>3</v>
      </c>
      <c r="Z482">
        <v>80</v>
      </c>
      <c r="AA482">
        <v>1</v>
      </c>
      <c r="AB482">
        <v>1</v>
      </c>
      <c r="AC482">
        <v>2</v>
      </c>
      <c r="AD482">
        <v>4</v>
      </c>
      <c r="AE482">
        <v>1</v>
      </c>
      <c r="AF482">
        <v>0</v>
      </c>
      <c r="AG482">
        <v>0</v>
      </c>
      <c r="AH482">
        <v>0</v>
      </c>
      <c r="AI482">
        <f>IF(tbl_HRData[[#This Row],[Attrition]] = "Yes",1,0)</f>
        <v>1</v>
      </c>
      <c r="AJ482">
        <f>IF(tbl_HRData[[#This Row],[Attrition]] = "No",1,0)</f>
        <v>0</v>
      </c>
      <c r="AK482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482" s="1" t="str">
        <f>IF(tbl_HRData[[#This Row],[MonthlyIncome]]&lt;5000,"Low",
IF(tbl_HRData[[#This Row],[MonthlyIncome]]&lt;10000,"Medium",
IF(tbl_HRData[[#This Row],[MonthlyIncome]]&lt;15000,"Upper Medium","High")))</f>
        <v>Low</v>
      </c>
      <c r="AM482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483" spans="1:39" x14ac:dyDescent="0.35">
      <c r="A483" s="1">
        <v>482</v>
      </c>
      <c r="B483">
        <v>34</v>
      </c>
      <c r="C483" s="1" t="s">
        <v>40</v>
      </c>
      <c r="D483" s="1" t="s">
        <v>34</v>
      </c>
      <c r="E483">
        <v>254</v>
      </c>
      <c r="F483" s="1" t="s">
        <v>42</v>
      </c>
      <c r="G483">
        <v>1</v>
      </c>
      <c r="H483">
        <v>2</v>
      </c>
      <c r="I483" s="1" t="s">
        <v>36</v>
      </c>
      <c r="J483">
        <v>649</v>
      </c>
      <c r="K483">
        <v>2</v>
      </c>
      <c r="L483" s="1" t="s">
        <v>43</v>
      </c>
      <c r="M483">
        <v>83</v>
      </c>
      <c r="N483">
        <v>2</v>
      </c>
      <c r="O483">
        <v>1</v>
      </c>
      <c r="P483" s="1" t="s">
        <v>44</v>
      </c>
      <c r="Q483">
        <v>4</v>
      </c>
      <c r="R483" s="1" t="s">
        <v>45</v>
      </c>
      <c r="S483">
        <v>3622</v>
      </c>
      <c r="T483">
        <v>22794</v>
      </c>
      <c r="U483">
        <v>1</v>
      </c>
      <c r="V483" s="1" t="s">
        <v>33</v>
      </c>
      <c r="W483">
        <v>13</v>
      </c>
      <c r="X483">
        <v>3</v>
      </c>
      <c r="Y483">
        <v>4</v>
      </c>
      <c r="Z483">
        <v>80</v>
      </c>
      <c r="AA483">
        <v>1</v>
      </c>
      <c r="AB483">
        <v>6</v>
      </c>
      <c r="AC483">
        <v>3</v>
      </c>
      <c r="AD483">
        <v>3</v>
      </c>
      <c r="AE483">
        <v>6</v>
      </c>
      <c r="AF483">
        <v>5</v>
      </c>
      <c r="AG483">
        <v>1</v>
      </c>
      <c r="AH483">
        <v>3</v>
      </c>
      <c r="AI483">
        <f>IF(tbl_HRData[[#This Row],[Attrition]] = "Yes",1,0)</f>
        <v>0</v>
      </c>
      <c r="AJ483">
        <f>IF(tbl_HRData[[#This Row],[Attrition]] = "No",1,0)</f>
        <v>1</v>
      </c>
      <c r="AK483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483" s="1" t="str">
        <f>IF(tbl_HRData[[#This Row],[MonthlyIncome]]&lt;5000,"Low",
IF(tbl_HRData[[#This Row],[MonthlyIncome]]&lt;10000,"Medium",
IF(tbl_HRData[[#This Row],[MonthlyIncome]]&lt;15000,"Upper Medium","High")))</f>
        <v>Low</v>
      </c>
      <c r="AM483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484" spans="1:39" x14ac:dyDescent="0.35">
      <c r="A484" s="1">
        <v>483</v>
      </c>
      <c r="B484">
        <v>31</v>
      </c>
      <c r="C484" s="1" t="s">
        <v>33</v>
      </c>
      <c r="D484" s="1" t="s">
        <v>34</v>
      </c>
      <c r="E484">
        <v>1365</v>
      </c>
      <c r="F484" s="1" t="s">
        <v>35</v>
      </c>
      <c r="G484">
        <v>13</v>
      </c>
      <c r="H484">
        <v>4</v>
      </c>
      <c r="I484" s="1" t="s">
        <v>48</v>
      </c>
      <c r="J484">
        <v>650</v>
      </c>
      <c r="K484">
        <v>2</v>
      </c>
      <c r="L484" s="1" t="s">
        <v>43</v>
      </c>
      <c r="M484">
        <v>46</v>
      </c>
      <c r="N484">
        <v>3</v>
      </c>
      <c r="O484">
        <v>2</v>
      </c>
      <c r="P484" s="1" t="s">
        <v>38</v>
      </c>
      <c r="Q484">
        <v>1</v>
      </c>
      <c r="R484" s="1" t="s">
        <v>49</v>
      </c>
      <c r="S484">
        <v>4233</v>
      </c>
      <c r="T484">
        <v>11512</v>
      </c>
      <c r="U484">
        <v>2</v>
      </c>
      <c r="V484" s="1" t="s">
        <v>40</v>
      </c>
      <c r="W484">
        <v>17</v>
      </c>
      <c r="X484">
        <v>3</v>
      </c>
      <c r="Y484">
        <v>3</v>
      </c>
      <c r="Z484">
        <v>80</v>
      </c>
      <c r="AA484">
        <v>0</v>
      </c>
      <c r="AB484">
        <v>9</v>
      </c>
      <c r="AC484">
        <v>2</v>
      </c>
      <c r="AD484">
        <v>1</v>
      </c>
      <c r="AE484">
        <v>3</v>
      </c>
      <c r="AF484">
        <v>1</v>
      </c>
      <c r="AG484">
        <v>1</v>
      </c>
      <c r="AH484">
        <v>2</v>
      </c>
      <c r="AI484">
        <f>IF(tbl_HRData[[#This Row],[Attrition]] = "Yes",1,0)</f>
        <v>1</v>
      </c>
      <c r="AJ484">
        <f>IF(tbl_HRData[[#This Row],[Attrition]] = "No",1,0)</f>
        <v>0</v>
      </c>
      <c r="AK484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484" s="1" t="str">
        <f>IF(tbl_HRData[[#This Row],[MonthlyIncome]]&lt;5000,"Low",
IF(tbl_HRData[[#This Row],[MonthlyIncome]]&lt;10000,"Medium",
IF(tbl_HRData[[#This Row],[MonthlyIncome]]&lt;15000,"Upper Medium","High")))</f>
        <v>Low</v>
      </c>
      <c r="AM484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485" spans="1:39" x14ac:dyDescent="0.35">
      <c r="A485" s="1">
        <v>484</v>
      </c>
      <c r="B485">
        <v>35</v>
      </c>
      <c r="C485" s="1" t="s">
        <v>40</v>
      </c>
      <c r="D485" s="1" t="s">
        <v>34</v>
      </c>
      <c r="E485">
        <v>538</v>
      </c>
      <c r="F485" s="1" t="s">
        <v>42</v>
      </c>
      <c r="G485">
        <v>25</v>
      </c>
      <c r="H485">
        <v>2</v>
      </c>
      <c r="I485" s="1" t="s">
        <v>46</v>
      </c>
      <c r="J485">
        <v>652</v>
      </c>
      <c r="K485">
        <v>1</v>
      </c>
      <c r="L485" s="1" t="s">
        <v>43</v>
      </c>
      <c r="M485">
        <v>54</v>
      </c>
      <c r="N485">
        <v>2</v>
      </c>
      <c r="O485">
        <v>2</v>
      </c>
      <c r="P485" s="1" t="s">
        <v>47</v>
      </c>
      <c r="Q485">
        <v>4</v>
      </c>
      <c r="R485" s="1" t="s">
        <v>39</v>
      </c>
      <c r="S485">
        <v>3681</v>
      </c>
      <c r="T485">
        <v>14004</v>
      </c>
      <c r="U485">
        <v>4</v>
      </c>
      <c r="V485" s="1" t="s">
        <v>40</v>
      </c>
      <c r="W485">
        <v>14</v>
      </c>
      <c r="X485">
        <v>3</v>
      </c>
      <c r="Y485">
        <v>4</v>
      </c>
      <c r="Z485">
        <v>80</v>
      </c>
      <c r="AA485">
        <v>0</v>
      </c>
      <c r="AB485">
        <v>9</v>
      </c>
      <c r="AC485">
        <v>3</v>
      </c>
      <c r="AD485">
        <v>3</v>
      </c>
      <c r="AE485">
        <v>3</v>
      </c>
      <c r="AF485">
        <v>2</v>
      </c>
      <c r="AG485">
        <v>0</v>
      </c>
      <c r="AH485">
        <v>2</v>
      </c>
      <c r="AI485">
        <f>IF(tbl_HRData[[#This Row],[Attrition]] = "Yes",1,0)</f>
        <v>0</v>
      </c>
      <c r="AJ485">
        <f>IF(tbl_HRData[[#This Row],[Attrition]] = "No",1,0)</f>
        <v>1</v>
      </c>
      <c r="AK485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485" s="1" t="str">
        <f>IF(tbl_HRData[[#This Row],[MonthlyIncome]]&lt;5000,"Low",
IF(tbl_HRData[[#This Row],[MonthlyIncome]]&lt;10000,"Medium",
IF(tbl_HRData[[#This Row],[MonthlyIncome]]&lt;15000,"Upper Medium","High")))</f>
        <v>Low</v>
      </c>
      <c r="AM485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486" spans="1:39" x14ac:dyDescent="0.35">
      <c r="A486" s="1">
        <v>485</v>
      </c>
      <c r="B486">
        <v>31</v>
      </c>
      <c r="C486" s="1" t="s">
        <v>40</v>
      </c>
      <c r="D486" s="1" t="s">
        <v>34</v>
      </c>
      <c r="E486">
        <v>525</v>
      </c>
      <c r="F486" s="1" t="s">
        <v>35</v>
      </c>
      <c r="G486">
        <v>6</v>
      </c>
      <c r="H486">
        <v>4</v>
      </c>
      <c r="I486" s="1" t="s">
        <v>48</v>
      </c>
      <c r="J486">
        <v>653</v>
      </c>
      <c r="K486">
        <v>1</v>
      </c>
      <c r="L486" s="1" t="s">
        <v>43</v>
      </c>
      <c r="M486">
        <v>66</v>
      </c>
      <c r="N486">
        <v>4</v>
      </c>
      <c r="O486">
        <v>2</v>
      </c>
      <c r="P486" s="1" t="s">
        <v>38</v>
      </c>
      <c r="Q486">
        <v>4</v>
      </c>
      <c r="R486" s="1" t="s">
        <v>49</v>
      </c>
      <c r="S486">
        <v>5460</v>
      </c>
      <c r="T486">
        <v>6219</v>
      </c>
      <c r="U486">
        <v>4</v>
      </c>
      <c r="V486" s="1" t="s">
        <v>40</v>
      </c>
      <c r="W486">
        <v>22</v>
      </c>
      <c r="X486">
        <v>4</v>
      </c>
      <c r="Y486">
        <v>4</v>
      </c>
      <c r="Z486">
        <v>80</v>
      </c>
      <c r="AA486">
        <v>2</v>
      </c>
      <c r="AB486">
        <v>13</v>
      </c>
      <c r="AC486">
        <v>4</v>
      </c>
      <c r="AD486">
        <v>4</v>
      </c>
      <c r="AE486">
        <v>7</v>
      </c>
      <c r="AF486">
        <v>7</v>
      </c>
      <c r="AG486">
        <v>5</v>
      </c>
      <c r="AH486">
        <v>7</v>
      </c>
      <c r="AI486">
        <f>IF(tbl_HRData[[#This Row],[Attrition]] = "Yes",1,0)</f>
        <v>0</v>
      </c>
      <c r="AJ486">
        <f>IF(tbl_HRData[[#This Row],[Attrition]] = "No",1,0)</f>
        <v>1</v>
      </c>
      <c r="AK486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486" s="1" t="str">
        <f>IF(tbl_HRData[[#This Row],[MonthlyIncome]]&lt;5000,"Low",
IF(tbl_HRData[[#This Row],[MonthlyIncome]]&lt;10000,"Medium",
IF(tbl_HRData[[#This Row],[MonthlyIncome]]&lt;15000,"Upper Medium","High")))</f>
        <v>Medium</v>
      </c>
      <c r="AM486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487" spans="1:39" x14ac:dyDescent="0.35">
      <c r="A487" s="1">
        <v>486</v>
      </c>
      <c r="B487">
        <v>27</v>
      </c>
      <c r="C487" s="1" t="s">
        <v>40</v>
      </c>
      <c r="D487" s="1" t="s">
        <v>34</v>
      </c>
      <c r="E487">
        <v>798</v>
      </c>
      <c r="F487" s="1" t="s">
        <v>42</v>
      </c>
      <c r="G487">
        <v>6</v>
      </c>
      <c r="H487">
        <v>4</v>
      </c>
      <c r="I487" s="1" t="s">
        <v>48</v>
      </c>
      <c r="J487">
        <v>655</v>
      </c>
      <c r="K487">
        <v>1</v>
      </c>
      <c r="L487" s="1" t="s">
        <v>37</v>
      </c>
      <c r="M487">
        <v>66</v>
      </c>
      <c r="N487">
        <v>2</v>
      </c>
      <c r="O487">
        <v>1</v>
      </c>
      <c r="P487" s="1" t="s">
        <v>44</v>
      </c>
      <c r="Q487">
        <v>3</v>
      </c>
      <c r="R487" s="1" t="s">
        <v>49</v>
      </c>
      <c r="S487">
        <v>2187</v>
      </c>
      <c r="T487">
        <v>5013</v>
      </c>
      <c r="U487">
        <v>0</v>
      </c>
      <c r="V487" s="1" t="s">
        <v>40</v>
      </c>
      <c r="W487">
        <v>12</v>
      </c>
      <c r="X487">
        <v>3</v>
      </c>
      <c r="Y487">
        <v>3</v>
      </c>
      <c r="Z487">
        <v>80</v>
      </c>
      <c r="AA487">
        <v>2</v>
      </c>
      <c r="AB487">
        <v>6</v>
      </c>
      <c r="AC487">
        <v>5</v>
      </c>
      <c r="AD487">
        <v>2</v>
      </c>
      <c r="AE487">
        <v>5</v>
      </c>
      <c r="AF487">
        <v>3</v>
      </c>
      <c r="AG487">
        <v>0</v>
      </c>
      <c r="AH487">
        <v>3</v>
      </c>
      <c r="AI487">
        <f>IF(tbl_HRData[[#This Row],[Attrition]] = "Yes",1,0)</f>
        <v>0</v>
      </c>
      <c r="AJ487">
        <f>IF(tbl_HRData[[#This Row],[Attrition]] = "No",1,0)</f>
        <v>1</v>
      </c>
      <c r="AK487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487" s="1" t="str">
        <f>IF(tbl_HRData[[#This Row],[MonthlyIncome]]&lt;5000,"Low",
IF(tbl_HRData[[#This Row],[MonthlyIncome]]&lt;10000,"Medium",
IF(tbl_HRData[[#This Row],[MonthlyIncome]]&lt;15000,"Upper Medium","High")))</f>
        <v>Low</v>
      </c>
      <c r="AM487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488" spans="1:39" x14ac:dyDescent="0.35">
      <c r="A488" s="1">
        <v>487</v>
      </c>
      <c r="B488">
        <v>37</v>
      </c>
      <c r="C488" s="1" t="s">
        <v>40</v>
      </c>
      <c r="D488" s="1" t="s">
        <v>34</v>
      </c>
      <c r="E488">
        <v>558</v>
      </c>
      <c r="F488" s="1" t="s">
        <v>35</v>
      </c>
      <c r="G488">
        <v>2</v>
      </c>
      <c r="H488">
        <v>3</v>
      </c>
      <c r="I488" s="1" t="s">
        <v>56</v>
      </c>
      <c r="J488">
        <v>656</v>
      </c>
      <c r="K488">
        <v>4</v>
      </c>
      <c r="L488" s="1" t="s">
        <v>43</v>
      </c>
      <c r="M488">
        <v>75</v>
      </c>
      <c r="N488">
        <v>3</v>
      </c>
      <c r="O488">
        <v>2</v>
      </c>
      <c r="P488" s="1" t="s">
        <v>38</v>
      </c>
      <c r="Q488">
        <v>3</v>
      </c>
      <c r="R488" s="1" t="s">
        <v>45</v>
      </c>
      <c r="S488">
        <v>9602</v>
      </c>
      <c r="T488">
        <v>3010</v>
      </c>
      <c r="U488">
        <v>4</v>
      </c>
      <c r="V488" s="1" t="s">
        <v>33</v>
      </c>
      <c r="W488">
        <v>11</v>
      </c>
      <c r="X488">
        <v>3</v>
      </c>
      <c r="Y488">
        <v>3</v>
      </c>
      <c r="Z488">
        <v>80</v>
      </c>
      <c r="AA488">
        <v>1</v>
      </c>
      <c r="AB488">
        <v>17</v>
      </c>
      <c r="AC488">
        <v>3</v>
      </c>
      <c r="AD488">
        <v>2</v>
      </c>
      <c r="AE488">
        <v>3</v>
      </c>
      <c r="AF488">
        <v>0</v>
      </c>
      <c r="AG488">
        <v>1</v>
      </c>
      <c r="AH488">
        <v>0</v>
      </c>
      <c r="AI488">
        <f>IF(tbl_HRData[[#This Row],[Attrition]] = "Yes",1,0)</f>
        <v>0</v>
      </c>
      <c r="AJ488">
        <f>IF(tbl_HRData[[#This Row],[Attrition]] = "No",1,0)</f>
        <v>1</v>
      </c>
      <c r="AK488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488" s="1" t="str">
        <f>IF(tbl_HRData[[#This Row],[MonthlyIncome]]&lt;5000,"Low",
IF(tbl_HRData[[#This Row],[MonthlyIncome]]&lt;10000,"Medium",
IF(tbl_HRData[[#This Row],[MonthlyIncome]]&lt;15000,"Upper Medium","High")))</f>
        <v>Medium</v>
      </c>
      <c r="AM488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489" spans="1:39" x14ac:dyDescent="0.35">
      <c r="A489" s="1">
        <v>488</v>
      </c>
      <c r="B489">
        <v>20</v>
      </c>
      <c r="C489" s="1" t="s">
        <v>40</v>
      </c>
      <c r="D489" s="1" t="s">
        <v>34</v>
      </c>
      <c r="E489">
        <v>959</v>
      </c>
      <c r="F489" s="1" t="s">
        <v>42</v>
      </c>
      <c r="G489">
        <v>1</v>
      </c>
      <c r="H489">
        <v>3</v>
      </c>
      <c r="I489" s="1" t="s">
        <v>36</v>
      </c>
      <c r="J489">
        <v>657</v>
      </c>
      <c r="K489">
        <v>4</v>
      </c>
      <c r="L489" s="1" t="s">
        <v>37</v>
      </c>
      <c r="M489">
        <v>83</v>
      </c>
      <c r="N489">
        <v>2</v>
      </c>
      <c r="O489">
        <v>1</v>
      </c>
      <c r="P489" s="1" t="s">
        <v>44</v>
      </c>
      <c r="Q489">
        <v>2</v>
      </c>
      <c r="R489" s="1" t="s">
        <v>39</v>
      </c>
      <c r="S489">
        <v>2836</v>
      </c>
      <c r="T489">
        <v>11757</v>
      </c>
      <c r="U489">
        <v>1</v>
      </c>
      <c r="V489" s="1" t="s">
        <v>40</v>
      </c>
      <c r="W489">
        <v>13</v>
      </c>
      <c r="X489">
        <v>3</v>
      </c>
      <c r="Y489">
        <v>4</v>
      </c>
      <c r="Z489">
        <v>80</v>
      </c>
      <c r="AA489">
        <v>0</v>
      </c>
      <c r="AB489">
        <v>1</v>
      </c>
      <c r="AC489">
        <v>0</v>
      </c>
      <c r="AD489">
        <v>4</v>
      </c>
      <c r="AE489">
        <v>1</v>
      </c>
      <c r="AF489">
        <v>0</v>
      </c>
      <c r="AG489">
        <v>0</v>
      </c>
      <c r="AH489">
        <v>0</v>
      </c>
      <c r="AI489">
        <f>IF(tbl_HRData[[#This Row],[Attrition]] = "Yes",1,0)</f>
        <v>0</v>
      </c>
      <c r="AJ489">
        <f>IF(tbl_HRData[[#This Row],[Attrition]] = "No",1,0)</f>
        <v>1</v>
      </c>
      <c r="AK489" t="str">
        <f>IF(tbl_HRData[[#This Row],[Age]] &lt; 25, "Under 25", IF(tbl_HRData[[#This Row],[Age]] &lt;= 34, "25-34", IF(tbl_HRData[[#This Row],[Age]] &lt;= 44, "35-44", IF(tbl_HRData[[#This Row],[Age]] &lt;= 54, "45-54", "55+"))))</f>
        <v>Under 25</v>
      </c>
      <c r="AL489" s="1" t="str">
        <f>IF(tbl_HRData[[#This Row],[MonthlyIncome]]&lt;5000,"Low",
IF(tbl_HRData[[#This Row],[MonthlyIncome]]&lt;10000,"Medium",
IF(tbl_HRData[[#This Row],[MonthlyIncome]]&lt;15000,"Upper Medium","High")))</f>
        <v>Low</v>
      </c>
      <c r="AM489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490" spans="1:39" x14ac:dyDescent="0.35">
      <c r="A490" s="1">
        <v>489</v>
      </c>
      <c r="B490">
        <v>42</v>
      </c>
      <c r="C490" s="1" t="s">
        <v>40</v>
      </c>
      <c r="D490" s="1" t="s">
        <v>34</v>
      </c>
      <c r="E490">
        <v>622</v>
      </c>
      <c r="F490" s="1" t="s">
        <v>42</v>
      </c>
      <c r="G490">
        <v>2</v>
      </c>
      <c r="H490">
        <v>4</v>
      </c>
      <c r="I490" s="1" t="s">
        <v>36</v>
      </c>
      <c r="J490">
        <v>659</v>
      </c>
      <c r="K490">
        <v>3</v>
      </c>
      <c r="L490" s="1" t="s">
        <v>37</v>
      </c>
      <c r="M490">
        <v>81</v>
      </c>
      <c r="N490">
        <v>3</v>
      </c>
      <c r="O490">
        <v>2</v>
      </c>
      <c r="P490" s="1" t="s">
        <v>51</v>
      </c>
      <c r="Q490">
        <v>4</v>
      </c>
      <c r="R490" s="1" t="s">
        <v>45</v>
      </c>
      <c r="S490">
        <v>4089</v>
      </c>
      <c r="T490">
        <v>5718</v>
      </c>
      <c r="U490">
        <v>1</v>
      </c>
      <c r="V490" s="1" t="s">
        <v>40</v>
      </c>
      <c r="W490">
        <v>13</v>
      </c>
      <c r="X490">
        <v>3</v>
      </c>
      <c r="Y490">
        <v>2</v>
      </c>
      <c r="Z490">
        <v>80</v>
      </c>
      <c r="AA490">
        <v>2</v>
      </c>
      <c r="AB490">
        <v>10</v>
      </c>
      <c r="AC490">
        <v>4</v>
      </c>
      <c r="AD490">
        <v>3</v>
      </c>
      <c r="AE490">
        <v>10</v>
      </c>
      <c r="AF490">
        <v>2</v>
      </c>
      <c r="AG490">
        <v>2</v>
      </c>
      <c r="AH490">
        <v>2</v>
      </c>
      <c r="AI490">
        <f>IF(tbl_HRData[[#This Row],[Attrition]] = "Yes",1,0)</f>
        <v>0</v>
      </c>
      <c r="AJ490">
        <f>IF(tbl_HRData[[#This Row],[Attrition]] = "No",1,0)</f>
        <v>1</v>
      </c>
      <c r="AK490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490" s="1" t="str">
        <f>IF(tbl_HRData[[#This Row],[MonthlyIncome]]&lt;5000,"Low",
IF(tbl_HRData[[#This Row],[MonthlyIncome]]&lt;10000,"Medium",
IF(tbl_HRData[[#This Row],[MonthlyIncome]]&lt;15000,"Upper Medium","High")))</f>
        <v>Low</v>
      </c>
      <c r="AM490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491" spans="1:39" x14ac:dyDescent="0.35">
      <c r="A491" s="1">
        <v>490</v>
      </c>
      <c r="B491">
        <v>43</v>
      </c>
      <c r="C491" s="1" t="s">
        <v>40</v>
      </c>
      <c r="D491" s="1" t="s">
        <v>34</v>
      </c>
      <c r="E491">
        <v>782</v>
      </c>
      <c r="F491" s="1" t="s">
        <v>42</v>
      </c>
      <c r="G491">
        <v>6</v>
      </c>
      <c r="H491">
        <v>4</v>
      </c>
      <c r="I491" s="1" t="s">
        <v>46</v>
      </c>
      <c r="J491">
        <v>661</v>
      </c>
      <c r="K491">
        <v>2</v>
      </c>
      <c r="L491" s="1" t="s">
        <v>43</v>
      </c>
      <c r="M491">
        <v>50</v>
      </c>
      <c r="N491">
        <v>2</v>
      </c>
      <c r="O491">
        <v>4</v>
      </c>
      <c r="P491" s="1" t="s">
        <v>55</v>
      </c>
      <c r="Q491">
        <v>4</v>
      </c>
      <c r="R491" s="1" t="s">
        <v>49</v>
      </c>
      <c r="S491">
        <v>16627</v>
      </c>
      <c r="T491">
        <v>2671</v>
      </c>
      <c r="U491">
        <v>4</v>
      </c>
      <c r="V491" s="1" t="s">
        <v>33</v>
      </c>
      <c r="W491">
        <v>14</v>
      </c>
      <c r="X491">
        <v>3</v>
      </c>
      <c r="Y491">
        <v>3</v>
      </c>
      <c r="Z491">
        <v>80</v>
      </c>
      <c r="AA491">
        <v>1</v>
      </c>
      <c r="AB491">
        <v>21</v>
      </c>
      <c r="AC491">
        <v>3</v>
      </c>
      <c r="AD491">
        <v>2</v>
      </c>
      <c r="AE491">
        <v>1</v>
      </c>
      <c r="AF491">
        <v>0</v>
      </c>
      <c r="AG491">
        <v>0</v>
      </c>
      <c r="AH491">
        <v>0</v>
      </c>
      <c r="AI491">
        <f>IF(tbl_HRData[[#This Row],[Attrition]] = "Yes",1,0)</f>
        <v>0</v>
      </c>
      <c r="AJ491">
        <f>IF(tbl_HRData[[#This Row],[Attrition]] = "No",1,0)</f>
        <v>1</v>
      </c>
      <c r="AK491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491" s="1" t="str">
        <f>IF(tbl_HRData[[#This Row],[MonthlyIncome]]&lt;5000,"Low",
IF(tbl_HRData[[#This Row],[MonthlyIncome]]&lt;10000,"Medium",
IF(tbl_HRData[[#This Row],[MonthlyIncome]]&lt;15000,"Upper Medium","High")))</f>
        <v>High</v>
      </c>
      <c r="AM491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492" spans="1:39" x14ac:dyDescent="0.35">
      <c r="A492" s="1">
        <v>491</v>
      </c>
      <c r="B492">
        <v>38</v>
      </c>
      <c r="C492" s="1" t="s">
        <v>40</v>
      </c>
      <c r="D492" s="1" t="s">
        <v>34</v>
      </c>
      <c r="E492">
        <v>362</v>
      </c>
      <c r="F492" s="1" t="s">
        <v>42</v>
      </c>
      <c r="G492">
        <v>1</v>
      </c>
      <c r="H492">
        <v>1</v>
      </c>
      <c r="I492" s="1" t="s">
        <v>36</v>
      </c>
      <c r="J492">
        <v>662</v>
      </c>
      <c r="K492">
        <v>3</v>
      </c>
      <c r="L492" s="1" t="s">
        <v>37</v>
      </c>
      <c r="M492">
        <v>43</v>
      </c>
      <c r="N492">
        <v>3</v>
      </c>
      <c r="O492">
        <v>1</v>
      </c>
      <c r="P492" s="1" t="s">
        <v>44</v>
      </c>
      <c r="Q492">
        <v>1</v>
      </c>
      <c r="R492" s="1" t="s">
        <v>39</v>
      </c>
      <c r="S492">
        <v>2619</v>
      </c>
      <c r="T492">
        <v>14561</v>
      </c>
      <c r="U492">
        <v>3</v>
      </c>
      <c r="V492" s="1" t="s">
        <v>40</v>
      </c>
      <c r="W492">
        <v>17</v>
      </c>
      <c r="X492">
        <v>3</v>
      </c>
      <c r="Y492">
        <v>4</v>
      </c>
      <c r="Z492">
        <v>80</v>
      </c>
      <c r="AA492">
        <v>0</v>
      </c>
      <c r="AB492">
        <v>8</v>
      </c>
      <c r="AC492">
        <v>3</v>
      </c>
      <c r="AD492">
        <v>2</v>
      </c>
      <c r="AE492">
        <v>0</v>
      </c>
      <c r="AF492">
        <v>0</v>
      </c>
      <c r="AG492">
        <v>0</v>
      </c>
      <c r="AH492">
        <v>0</v>
      </c>
      <c r="AI492">
        <f>IF(tbl_HRData[[#This Row],[Attrition]] = "Yes",1,0)</f>
        <v>0</v>
      </c>
      <c r="AJ492">
        <f>IF(tbl_HRData[[#This Row],[Attrition]] = "No",1,0)</f>
        <v>1</v>
      </c>
      <c r="AK492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492" s="1" t="str">
        <f>IF(tbl_HRData[[#This Row],[MonthlyIncome]]&lt;5000,"Low",
IF(tbl_HRData[[#This Row],[MonthlyIncome]]&lt;10000,"Medium",
IF(tbl_HRData[[#This Row],[MonthlyIncome]]&lt;15000,"Upper Medium","High")))</f>
        <v>Low</v>
      </c>
      <c r="AM492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493" spans="1:39" x14ac:dyDescent="0.35">
      <c r="A493" s="1">
        <v>492</v>
      </c>
      <c r="B493">
        <v>43</v>
      </c>
      <c r="C493" s="1" t="s">
        <v>40</v>
      </c>
      <c r="D493" s="1" t="s">
        <v>41</v>
      </c>
      <c r="E493">
        <v>1001</v>
      </c>
      <c r="F493" s="1" t="s">
        <v>42</v>
      </c>
      <c r="G493">
        <v>9</v>
      </c>
      <c r="H493">
        <v>5</v>
      </c>
      <c r="I493" s="1" t="s">
        <v>48</v>
      </c>
      <c r="J493">
        <v>663</v>
      </c>
      <c r="K493">
        <v>4</v>
      </c>
      <c r="L493" s="1" t="s">
        <v>43</v>
      </c>
      <c r="M493">
        <v>72</v>
      </c>
      <c r="N493">
        <v>3</v>
      </c>
      <c r="O493">
        <v>2</v>
      </c>
      <c r="P493" s="1" t="s">
        <v>47</v>
      </c>
      <c r="Q493">
        <v>3</v>
      </c>
      <c r="R493" s="1" t="s">
        <v>49</v>
      </c>
      <c r="S493">
        <v>5679</v>
      </c>
      <c r="T493">
        <v>19627</v>
      </c>
      <c r="U493">
        <v>3</v>
      </c>
      <c r="V493" s="1" t="s">
        <v>33</v>
      </c>
      <c r="W493">
        <v>13</v>
      </c>
      <c r="X493">
        <v>3</v>
      </c>
      <c r="Y493">
        <v>2</v>
      </c>
      <c r="Z493">
        <v>80</v>
      </c>
      <c r="AA493">
        <v>1</v>
      </c>
      <c r="AB493">
        <v>10</v>
      </c>
      <c r="AC493">
        <v>3</v>
      </c>
      <c r="AD493">
        <v>3</v>
      </c>
      <c r="AE493">
        <v>8</v>
      </c>
      <c r="AF493">
        <v>7</v>
      </c>
      <c r="AG493">
        <v>4</v>
      </c>
      <c r="AH493">
        <v>7</v>
      </c>
      <c r="AI493">
        <f>IF(tbl_HRData[[#This Row],[Attrition]] = "Yes",1,0)</f>
        <v>0</v>
      </c>
      <c r="AJ493">
        <f>IF(tbl_HRData[[#This Row],[Attrition]] = "No",1,0)</f>
        <v>1</v>
      </c>
      <c r="AK493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493" s="1" t="str">
        <f>IF(tbl_HRData[[#This Row],[MonthlyIncome]]&lt;5000,"Low",
IF(tbl_HRData[[#This Row],[MonthlyIncome]]&lt;10000,"Medium",
IF(tbl_HRData[[#This Row],[MonthlyIncome]]&lt;15000,"Upper Medium","High")))</f>
        <v>Medium</v>
      </c>
      <c r="AM493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494" spans="1:39" x14ac:dyDescent="0.35">
      <c r="A494" s="1">
        <v>493</v>
      </c>
      <c r="B494">
        <v>48</v>
      </c>
      <c r="C494" s="1" t="s">
        <v>40</v>
      </c>
      <c r="D494" s="1" t="s">
        <v>34</v>
      </c>
      <c r="E494">
        <v>1236</v>
      </c>
      <c r="F494" s="1" t="s">
        <v>42</v>
      </c>
      <c r="G494">
        <v>1</v>
      </c>
      <c r="H494">
        <v>4</v>
      </c>
      <c r="I494" s="1" t="s">
        <v>36</v>
      </c>
      <c r="J494">
        <v>664</v>
      </c>
      <c r="K494">
        <v>4</v>
      </c>
      <c r="L494" s="1" t="s">
        <v>37</v>
      </c>
      <c r="M494">
        <v>40</v>
      </c>
      <c r="N494">
        <v>2</v>
      </c>
      <c r="O494">
        <v>4</v>
      </c>
      <c r="P494" s="1" t="s">
        <v>53</v>
      </c>
      <c r="Q494">
        <v>1</v>
      </c>
      <c r="R494" s="1" t="s">
        <v>45</v>
      </c>
      <c r="S494">
        <v>15402</v>
      </c>
      <c r="T494">
        <v>17997</v>
      </c>
      <c r="U494">
        <v>7</v>
      </c>
      <c r="V494" s="1" t="s">
        <v>40</v>
      </c>
      <c r="W494">
        <v>11</v>
      </c>
      <c r="X494">
        <v>3</v>
      </c>
      <c r="Y494">
        <v>1</v>
      </c>
      <c r="Z494">
        <v>80</v>
      </c>
      <c r="AA494">
        <v>1</v>
      </c>
      <c r="AB494">
        <v>21</v>
      </c>
      <c r="AC494">
        <v>3</v>
      </c>
      <c r="AD494">
        <v>1</v>
      </c>
      <c r="AE494">
        <v>3</v>
      </c>
      <c r="AF494">
        <v>2</v>
      </c>
      <c r="AG494">
        <v>0</v>
      </c>
      <c r="AH494">
        <v>2</v>
      </c>
      <c r="AI494">
        <f>IF(tbl_HRData[[#This Row],[Attrition]] = "Yes",1,0)</f>
        <v>0</v>
      </c>
      <c r="AJ494">
        <f>IF(tbl_HRData[[#This Row],[Attrition]] = "No",1,0)</f>
        <v>1</v>
      </c>
      <c r="AK494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494" s="1" t="str">
        <f>IF(tbl_HRData[[#This Row],[MonthlyIncome]]&lt;5000,"Low",
IF(tbl_HRData[[#This Row],[MonthlyIncome]]&lt;10000,"Medium",
IF(tbl_HRData[[#This Row],[MonthlyIncome]]&lt;15000,"Upper Medium","High")))</f>
        <v>High</v>
      </c>
      <c r="AM494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495" spans="1:39" x14ac:dyDescent="0.35">
      <c r="A495" s="1">
        <v>494</v>
      </c>
      <c r="B495">
        <v>44</v>
      </c>
      <c r="C495" s="1" t="s">
        <v>40</v>
      </c>
      <c r="D495" s="1" t="s">
        <v>34</v>
      </c>
      <c r="E495">
        <v>1112</v>
      </c>
      <c r="F495" s="1" t="s">
        <v>58</v>
      </c>
      <c r="G495">
        <v>1</v>
      </c>
      <c r="H495">
        <v>4</v>
      </c>
      <c r="I495" s="1" t="s">
        <v>36</v>
      </c>
      <c r="J495">
        <v>665</v>
      </c>
      <c r="K495">
        <v>1</v>
      </c>
      <c r="L495" s="1" t="s">
        <v>37</v>
      </c>
      <c r="M495">
        <v>50</v>
      </c>
      <c r="N495">
        <v>2</v>
      </c>
      <c r="O495">
        <v>2</v>
      </c>
      <c r="P495" s="1" t="s">
        <v>58</v>
      </c>
      <c r="Q495">
        <v>3</v>
      </c>
      <c r="R495" s="1" t="s">
        <v>39</v>
      </c>
      <c r="S495">
        <v>5985</v>
      </c>
      <c r="T495">
        <v>26894</v>
      </c>
      <c r="U495">
        <v>4</v>
      </c>
      <c r="V495" s="1" t="s">
        <v>40</v>
      </c>
      <c r="W495">
        <v>11</v>
      </c>
      <c r="X495">
        <v>3</v>
      </c>
      <c r="Y495">
        <v>2</v>
      </c>
      <c r="Z495">
        <v>80</v>
      </c>
      <c r="AA495">
        <v>0</v>
      </c>
      <c r="AB495">
        <v>10</v>
      </c>
      <c r="AC495">
        <v>1</v>
      </c>
      <c r="AD495">
        <v>4</v>
      </c>
      <c r="AE495">
        <v>2</v>
      </c>
      <c r="AF495">
        <v>2</v>
      </c>
      <c r="AG495">
        <v>0</v>
      </c>
      <c r="AH495">
        <v>2</v>
      </c>
      <c r="AI495">
        <f>IF(tbl_HRData[[#This Row],[Attrition]] = "Yes",1,0)</f>
        <v>0</v>
      </c>
      <c r="AJ495">
        <f>IF(tbl_HRData[[#This Row],[Attrition]] = "No",1,0)</f>
        <v>1</v>
      </c>
      <c r="AK495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495" s="1" t="str">
        <f>IF(tbl_HRData[[#This Row],[MonthlyIncome]]&lt;5000,"Low",
IF(tbl_HRData[[#This Row],[MonthlyIncome]]&lt;10000,"Medium",
IF(tbl_HRData[[#This Row],[MonthlyIncome]]&lt;15000,"Upper Medium","High")))</f>
        <v>Medium</v>
      </c>
      <c r="AM495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496" spans="1:39" x14ac:dyDescent="0.35">
      <c r="A496" s="1">
        <v>495</v>
      </c>
      <c r="B496">
        <v>34</v>
      </c>
      <c r="C496" s="1" t="s">
        <v>40</v>
      </c>
      <c r="D496" s="1" t="s">
        <v>34</v>
      </c>
      <c r="E496">
        <v>204</v>
      </c>
      <c r="F496" s="1" t="s">
        <v>35</v>
      </c>
      <c r="G496">
        <v>14</v>
      </c>
      <c r="H496">
        <v>3</v>
      </c>
      <c r="I496" s="1" t="s">
        <v>57</v>
      </c>
      <c r="J496">
        <v>666</v>
      </c>
      <c r="K496">
        <v>3</v>
      </c>
      <c r="L496" s="1" t="s">
        <v>37</v>
      </c>
      <c r="M496">
        <v>31</v>
      </c>
      <c r="N496">
        <v>3</v>
      </c>
      <c r="O496">
        <v>1</v>
      </c>
      <c r="P496" s="1" t="s">
        <v>54</v>
      </c>
      <c r="Q496">
        <v>3</v>
      </c>
      <c r="R496" s="1" t="s">
        <v>49</v>
      </c>
      <c r="S496">
        <v>2579</v>
      </c>
      <c r="T496">
        <v>2912</v>
      </c>
      <c r="U496">
        <v>1</v>
      </c>
      <c r="V496" s="1" t="s">
        <v>33</v>
      </c>
      <c r="W496">
        <v>18</v>
      </c>
      <c r="X496">
        <v>3</v>
      </c>
      <c r="Y496">
        <v>4</v>
      </c>
      <c r="Z496">
        <v>80</v>
      </c>
      <c r="AA496">
        <v>2</v>
      </c>
      <c r="AB496">
        <v>8</v>
      </c>
      <c r="AC496">
        <v>3</v>
      </c>
      <c r="AD496">
        <v>3</v>
      </c>
      <c r="AE496">
        <v>8</v>
      </c>
      <c r="AF496">
        <v>2</v>
      </c>
      <c r="AG496">
        <v>0</v>
      </c>
      <c r="AH496">
        <v>6</v>
      </c>
      <c r="AI496">
        <f>IF(tbl_HRData[[#This Row],[Attrition]] = "Yes",1,0)</f>
        <v>0</v>
      </c>
      <c r="AJ496">
        <f>IF(tbl_HRData[[#This Row],[Attrition]] = "No",1,0)</f>
        <v>1</v>
      </c>
      <c r="AK496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496" s="1" t="str">
        <f>IF(tbl_HRData[[#This Row],[MonthlyIncome]]&lt;5000,"Low",
IF(tbl_HRData[[#This Row],[MonthlyIncome]]&lt;10000,"Medium",
IF(tbl_HRData[[#This Row],[MonthlyIncome]]&lt;15000,"Upper Medium","High")))</f>
        <v>Low</v>
      </c>
      <c r="AM496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497" spans="1:39" x14ac:dyDescent="0.35">
      <c r="A497" s="1">
        <v>496</v>
      </c>
      <c r="B497">
        <v>27</v>
      </c>
      <c r="C497" s="1" t="s">
        <v>33</v>
      </c>
      <c r="D497" s="1" t="s">
        <v>34</v>
      </c>
      <c r="E497">
        <v>1420</v>
      </c>
      <c r="F497" s="1" t="s">
        <v>35</v>
      </c>
      <c r="G497">
        <v>2</v>
      </c>
      <c r="H497">
        <v>1</v>
      </c>
      <c r="I497" s="1" t="s">
        <v>56</v>
      </c>
      <c r="J497">
        <v>667</v>
      </c>
      <c r="K497">
        <v>3</v>
      </c>
      <c r="L497" s="1" t="s">
        <v>43</v>
      </c>
      <c r="M497">
        <v>85</v>
      </c>
      <c r="N497">
        <v>3</v>
      </c>
      <c r="O497">
        <v>1</v>
      </c>
      <c r="P497" s="1" t="s">
        <v>54</v>
      </c>
      <c r="Q497">
        <v>1</v>
      </c>
      <c r="R497" s="1" t="s">
        <v>49</v>
      </c>
      <c r="S497">
        <v>3041</v>
      </c>
      <c r="T497">
        <v>16346</v>
      </c>
      <c r="U497">
        <v>0</v>
      </c>
      <c r="V497" s="1" t="s">
        <v>40</v>
      </c>
      <c r="W497">
        <v>11</v>
      </c>
      <c r="X497">
        <v>3</v>
      </c>
      <c r="Y497">
        <v>2</v>
      </c>
      <c r="Z497">
        <v>80</v>
      </c>
      <c r="AA497">
        <v>1</v>
      </c>
      <c r="AB497">
        <v>5</v>
      </c>
      <c r="AC497">
        <v>3</v>
      </c>
      <c r="AD497">
        <v>3</v>
      </c>
      <c r="AE497">
        <v>4</v>
      </c>
      <c r="AF497">
        <v>3</v>
      </c>
      <c r="AG497">
        <v>0</v>
      </c>
      <c r="AH497">
        <v>2</v>
      </c>
      <c r="AI497">
        <f>IF(tbl_HRData[[#This Row],[Attrition]] = "Yes",1,0)</f>
        <v>1</v>
      </c>
      <c r="AJ497">
        <f>IF(tbl_HRData[[#This Row],[Attrition]] = "No",1,0)</f>
        <v>0</v>
      </c>
      <c r="AK497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497" s="1" t="str">
        <f>IF(tbl_HRData[[#This Row],[MonthlyIncome]]&lt;5000,"Low",
IF(tbl_HRData[[#This Row],[MonthlyIncome]]&lt;10000,"Medium",
IF(tbl_HRData[[#This Row],[MonthlyIncome]]&lt;15000,"Upper Medium","High")))</f>
        <v>Low</v>
      </c>
      <c r="AM497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498" spans="1:39" x14ac:dyDescent="0.35">
      <c r="A498" s="1">
        <v>497</v>
      </c>
      <c r="B498">
        <v>21</v>
      </c>
      <c r="C498" s="1" t="s">
        <v>40</v>
      </c>
      <c r="D498" s="1" t="s">
        <v>34</v>
      </c>
      <c r="E498">
        <v>1343</v>
      </c>
      <c r="F498" s="1" t="s">
        <v>35</v>
      </c>
      <c r="G498">
        <v>22</v>
      </c>
      <c r="H498">
        <v>1</v>
      </c>
      <c r="I498" s="1" t="s">
        <v>57</v>
      </c>
      <c r="J498">
        <v>669</v>
      </c>
      <c r="K498">
        <v>3</v>
      </c>
      <c r="L498" s="1" t="s">
        <v>43</v>
      </c>
      <c r="M498">
        <v>49</v>
      </c>
      <c r="N498">
        <v>3</v>
      </c>
      <c r="O498">
        <v>1</v>
      </c>
      <c r="P498" s="1" t="s">
        <v>54</v>
      </c>
      <c r="Q498">
        <v>3</v>
      </c>
      <c r="R498" s="1" t="s">
        <v>39</v>
      </c>
      <c r="S498">
        <v>3447</v>
      </c>
      <c r="T498">
        <v>24444</v>
      </c>
      <c r="U498">
        <v>1</v>
      </c>
      <c r="V498" s="1" t="s">
        <v>40</v>
      </c>
      <c r="W498">
        <v>11</v>
      </c>
      <c r="X498">
        <v>3</v>
      </c>
      <c r="Y498">
        <v>3</v>
      </c>
      <c r="Z498">
        <v>80</v>
      </c>
      <c r="AA498">
        <v>0</v>
      </c>
      <c r="AB498">
        <v>3</v>
      </c>
      <c r="AC498">
        <v>2</v>
      </c>
      <c r="AD498">
        <v>3</v>
      </c>
      <c r="AE498">
        <v>3</v>
      </c>
      <c r="AF498">
        <v>2</v>
      </c>
      <c r="AG498">
        <v>1</v>
      </c>
      <c r="AH498">
        <v>2</v>
      </c>
      <c r="AI498">
        <f>IF(tbl_HRData[[#This Row],[Attrition]] = "Yes",1,0)</f>
        <v>0</v>
      </c>
      <c r="AJ498">
        <f>IF(tbl_HRData[[#This Row],[Attrition]] = "No",1,0)</f>
        <v>1</v>
      </c>
      <c r="AK498" t="str">
        <f>IF(tbl_HRData[[#This Row],[Age]] &lt; 25, "Under 25", IF(tbl_HRData[[#This Row],[Age]] &lt;= 34, "25-34", IF(tbl_HRData[[#This Row],[Age]] &lt;= 44, "35-44", IF(tbl_HRData[[#This Row],[Age]] &lt;= 54, "45-54", "55+"))))</f>
        <v>Under 25</v>
      </c>
      <c r="AL498" s="1" t="str">
        <f>IF(tbl_HRData[[#This Row],[MonthlyIncome]]&lt;5000,"Low",
IF(tbl_HRData[[#This Row],[MonthlyIncome]]&lt;10000,"Medium",
IF(tbl_HRData[[#This Row],[MonthlyIncome]]&lt;15000,"Upper Medium","High")))</f>
        <v>Low</v>
      </c>
      <c r="AM498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499" spans="1:39" x14ac:dyDescent="0.35">
      <c r="A499" s="1">
        <v>498</v>
      </c>
      <c r="B499">
        <v>44</v>
      </c>
      <c r="C499" s="1" t="s">
        <v>40</v>
      </c>
      <c r="D499" s="1" t="s">
        <v>34</v>
      </c>
      <c r="E499">
        <v>1315</v>
      </c>
      <c r="F499" s="1" t="s">
        <v>42</v>
      </c>
      <c r="G499">
        <v>3</v>
      </c>
      <c r="H499">
        <v>4</v>
      </c>
      <c r="I499" s="1" t="s">
        <v>46</v>
      </c>
      <c r="J499">
        <v>671</v>
      </c>
      <c r="K499">
        <v>4</v>
      </c>
      <c r="L499" s="1" t="s">
        <v>43</v>
      </c>
      <c r="M499">
        <v>35</v>
      </c>
      <c r="N499">
        <v>3</v>
      </c>
      <c r="O499">
        <v>5</v>
      </c>
      <c r="P499" s="1" t="s">
        <v>53</v>
      </c>
      <c r="Q499">
        <v>4</v>
      </c>
      <c r="R499" s="1" t="s">
        <v>45</v>
      </c>
      <c r="S499">
        <v>19513</v>
      </c>
      <c r="T499">
        <v>9358</v>
      </c>
      <c r="U499">
        <v>4</v>
      </c>
      <c r="V499" s="1" t="s">
        <v>33</v>
      </c>
      <c r="W499">
        <v>12</v>
      </c>
      <c r="X499">
        <v>3</v>
      </c>
      <c r="Y499">
        <v>1</v>
      </c>
      <c r="Z499">
        <v>80</v>
      </c>
      <c r="AA499">
        <v>1</v>
      </c>
      <c r="AB499">
        <v>26</v>
      </c>
      <c r="AC499">
        <v>2</v>
      </c>
      <c r="AD499">
        <v>4</v>
      </c>
      <c r="AE499">
        <v>2</v>
      </c>
      <c r="AF499">
        <v>2</v>
      </c>
      <c r="AG499">
        <v>0</v>
      </c>
      <c r="AH499">
        <v>1</v>
      </c>
      <c r="AI499">
        <f>IF(tbl_HRData[[#This Row],[Attrition]] = "Yes",1,0)</f>
        <v>0</v>
      </c>
      <c r="AJ499">
        <f>IF(tbl_HRData[[#This Row],[Attrition]] = "No",1,0)</f>
        <v>1</v>
      </c>
      <c r="AK499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499" s="1" t="str">
        <f>IF(tbl_HRData[[#This Row],[MonthlyIncome]]&lt;5000,"Low",
IF(tbl_HRData[[#This Row],[MonthlyIncome]]&lt;10000,"Medium",
IF(tbl_HRData[[#This Row],[MonthlyIncome]]&lt;15000,"Upper Medium","High")))</f>
        <v>High</v>
      </c>
      <c r="AM499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500" spans="1:39" x14ac:dyDescent="0.35">
      <c r="A500" s="1">
        <v>499</v>
      </c>
      <c r="B500">
        <v>22</v>
      </c>
      <c r="C500" s="1" t="s">
        <v>40</v>
      </c>
      <c r="D500" s="1" t="s">
        <v>34</v>
      </c>
      <c r="E500">
        <v>604</v>
      </c>
      <c r="F500" s="1" t="s">
        <v>42</v>
      </c>
      <c r="G500">
        <v>6</v>
      </c>
      <c r="H500">
        <v>1</v>
      </c>
      <c r="I500" s="1" t="s">
        <v>48</v>
      </c>
      <c r="J500">
        <v>675</v>
      </c>
      <c r="K500">
        <v>1</v>
      </c>
      <c r="L500" s="1" t="s">
        <v>43</v>
      </c>
      <c r="M500">
        <v>69</v>
      </c>
      <c r="N500">
        <v>3</v>
      </c>
      <c r="O500">
        <v>1</v>
      </c>
      <c r="P500" s="1" t="s">
        <v>44</v>
      </c>
      <c r="Q500">
        <v>3</v>
      </c>
      <c r="R500" s="1" t="s">
        <v>45</v>
      </c>
      <c r="S500">
        <v>2773</v>
      </c>
      <c r="T500">
        <v>12145</v>
      </c>
      <c r="U500">
        <v>0</v>
      </c>
      <c r="V500" s="1" t="s">
        <v>40</v>
      </c>
      <c r="W500">
        <v>20</v>
      </c>
      <c r="X500">
        <v>4</v>
      </c>
      <c r="Y500">
        <v>4</v>
      </c>
      <c r="Z500">
        <v>80</v>
      </c>
      <c r="AA500">
        <v>0</v>
      </c>
      <c r="AB500">
        <v>3</v>
      </c>
      <c r="AC500">
        <v>3</v>
      </c>
      <c r="AD500">
        <v>3</v>
      </c>
      <c r="AE500">
        <v>2</v>
      </c>
      <c r="AF500">
        <v>2</v>
      </c>
      <c r="AG500">
        <v>2</v>
      </c>
      <c r="AH500">
        <v>2</v>
      </c>
      <c r="AI500">
        <f>IF(tbl_HRData[[#This Row],[Attrition]] = "Yes",1,0)</f>
        <v>0</v>
      </c>
      <c r="AJ500">
        <f>IF(tbl_HRData[[#This Row],[Attrition]] = "No",1,0)</f>
        <v>1</v>
      </c>
      <c r="AK500" t="str">
        <f>IF(tbl_HRData[[#This Row],[Age]] &lt; 25, "Under 25", IF(tbl_HRData[[#This Row],[Age]] &lt;= 34, "25-34", IF(tbl_HRData[[#This Row],[Age]] &lt;= 44, "35-44", IF(tbl_HRData[[#This Row],[Age]] &lt;= 54, "45-54", "55+"))))</f>
        <v>Under 25</v>
      </c>
      <c r="AL500" s="1" t="str">
        <f>IF(tbl_HRData[[#This Row],[MonthlyIncome]]&lt;5000,"Low",
IF(tbl_HRData[[#This Row],[MonthlyIncome]]&lt;10000,"Medium",
IF(tbl_HRData[[#This Row],[MonthlyIncome]]&lt;15000,"Upper Medium","High")))</f>
        <v>Low</v>
      </c>
      <c r="AM500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501" spans="1:39" x14ac:dyDescent="0.35">
      <c r="A501" s="1">
        <v>500</v>
      </c>
      <c r="B501">
        <v>33</v>
      </c>
      <c r="C501" s="1" t="s">
        <v>40</v>
      </c>
      <c r="D501" s="1" t="s">
        <v>34</v>
      </c>
      <c r="E501">
        <v>1216</v>
      </c>
      <c r="F501" s="1" t="s">
        <v>35</v>
      </c>
      <c r="G501">
        <v>8</v>
      </c>
      <c r="H501">
        <v>4</v>
      </c>
      <c r="I501" s="1" t="s">
        <v>56</v>
      </c>
      <c r="J501">
        <v>677</v>
      </c>
      <c r="K501">
        <v>3</v>
      </c>
      <c r="L501" s="1" t="s">
        <v>43</v>
      </c>
      <c r="M501">
        <v>39</v>
      </c>
      <c r="N501">
        <v>3</v>
      </c>
      <c r="O501">
        <v>2</v>
      </c>
      <c r="P501" s="1" t="s">
        <v>38</v>
      </c>
      <c r="Q501">
        <v>3</v>
      </c>
      <c r="R501" s="1" t="s">
        <v>49</v>
      </c>
      <c r="S501">
        <v>7104</v>
      </c>
      <c r="T501">
        <v>20431</v>
      </c>
      <c r="U501">
        <v>0</v>
      </c>
      <c r="V501" s="1" t="s">
        <v>40</v>
      </c>
      <c r="W501">
        <v>12</v>
      </c>
      <c r="X501">
        <v>3</v>
      </c>
      <c r="Y501">
        <v>4</v>
      </c>
      <c r="Z501">
        <v>80</v>
      </c>
      <c r="AA501">
        <v>0</v>
      </c>
      <c r="AB501">
        <v>6</v>
      </c>
      <c r="AC501">
        <v>3</v>
      </c>
      <c r="AD501">
        <v>3</v>
      </c>
      <c r="AE501">
        <v>5</v>
      </c>
      <c r="AF501">
        <v>0</v>
      </c>
      <c r="AG501">
        <v>1</v>
      </c>
      <c r="AH501">
        <v>2</v>
      </c>
      <c r="AI501">
        <f>IF(tbl_HRData[[#This Row],[Attrition]] = "Yes",1,0)</f>
        <v>0</v>
      </c>
      <c r="AJ501">
        <f>IF(tbl_HRData[[#This Row],[Attrition]] = "No",1,0)</f>
        <v>1</v>
      </c>
      <c r="AK501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501" s="1" t="str">
        <f>IF(tbl_HRData[[#This Row],[MonthlyIncome]]&lt;5000,"Low",
IF(tbl_HRData[[#This Row],[MonthlyIncome]]&lt;10000,"Medium",
IF(tbl_HRData[[#This Row],[MonthlyIncome]]&lt;15000,"Upper Medium","High")))</f>
        <v>Medium</v>
      </c>
      <c r="AM501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502" spans="1:39" x14ac:dyDescent="0.35">
      <c r="A502" s="1">
        <v>501</v>
      </c>
      <c r="B502">
        <v>32</v>
      </c>
      <c r="C502" s="1" t="s">
        <v>40</v>
      </c>
      <c r="D502" s="1" t="s">
        <v>34</v>
      </c>
      <c r="E502">
        <v>646</v>
      </c>
      <c r="F502" s="1" t="s">
        <v>42</v>
      </c>
      <c r="G502">
        <v>9</v>
      </c>
      <c r="H502">
        <v>4</v>
      </c>
      <c r="I502" s="1" t="s">
        <v>36</v>
      </c>
      <c r="J502">
        <v>679</v>
      </c>
      <c r="K502">
        <v>1</v>
      </c>
      <c r="L502" s="1" t="s">
        <v>37</v>
      </c>
      <c r="M502">
        <v>92</v>
      </c>
      <c r="N502">
        <v>3</v>
      </c>
      <c r="O502">
        <v>2</v>
      </c>
      <c r="P502" s="1" t="s">
        <v>44</v>
      </c>
      <c r="Q502">
        <v>4</v>
      </c>
      <c r="R502" s="1" t="s">
        <v>45</v>
      </c>
      <c r="S502">
        <v>6322</v>
      </c>
      <c r="T502">
        <v>18089</v>
      </c>
      <c r="U502">
        <v>1</v>
      </c>
      <c r="V502" s="1" t="s">
        <v>33</v>
      </c>
      <c r="W502">
        <v>12</v>
      </c>
      <c r="X502">
        <v>3</v>
      </c>
      <c r="Y502">
        <v>4</v>
      </c>
      <c r="Z502">
        <v>80</v>
      </c>
      <c r="AA502">
        <v>1</v>
      </c>
      <c r="AB502">
        <v>6</v>
      </c>
      <c r="AC502">
        <v>2</v>
      </c>
      <c r="AD502">
        <v>2</v>
      </c>
      <c r="AE502">
        <v>6</v>
      </c>
      <c r="AF502">
        <v>4</v>
      </c>
      <c r="AG502">
        <v>0</v>
      </c>
      <c r="AH502">
        <v>5</v>
      </c>
      <c r="AI502">
        <f>IF(tbl_HRData[[#This Row],[Attrition]] = "Yes",1,0)</f>
        <v>0</v>
      </c>
      <c r="AJ502">
        <f>IF(tbl_HRData[[#This Row],[Attrition]] = "No",1,0)</f>
        <v>1</v>
      </c>
      <c r="AK502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502" s="1" t="str">
        <f>IF(tbl_HRData[[#This Row],[MonthlyIncome]]&lt;5000,"Low",
IF(tbl_HRData[[#This Row],[MonthlyIncome]]&lt;10000,"Medium",
IF(tbl_HRData[[#This Row],[MonthlyIncome]]&lt;15000,"Upper Medium","High")))</f>
        <v>Medium</v>
      </c>
      <c r="AM502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503" spans="1:39" x14ac:dyDescent="0.35">
      <c r="A503" s="1">
        <v>502</v>
      </c>
      <c r="B503">
        <v>30</v>
      </c>
      <c r="C503" s="1" t="s">
        <v>40</v>
      </c>
      <c r="D503" s="1" t="s">
        <v>41</v>
      </c>
      <c r="E503">
        <v>160</v>
      </c>
      <c r="F503" s="1" t="s">
        <v>42</v>
      </c>
      <c r="G503">
        <v>3</v>
      </c>
      <c r="H503">
        <v>3</v>
      </c>
      <c r="I503" s="1" t="s">
        <v>48</v>
      </c>
      <c r="J503">
        <v>680</v>
      </c>
      <c r="K503">
        <v>3</v>
      </c>
      <c r="L503" s="1" t="s">
        <v>37</v>
      </c>
      <c r="M503">
        <v>71</v>
      </c>
      <c r="N503">
        <v>3</v>
      </c>
      <c r="O503">
        <v>1</v>
      </c>
      <c r="P503" s="1" t="s">
        <v>44</v>
      </c>
      <c r="Q503">
        <v>3</v>
      </c>
      <c r="R503" s="1" t="s">
        <v>49</v>
      </c>
      <c r="S503">
        <v>2083</v>
      </c>
      <c r="T503">
        <v>22653</v>
      </c>
      <c r="U503">
        <v>1</v>
      </c>
      <c r="V503" s="1" t="s">
        <v>40</v>
      </c>
      <c r="W503">
        <v>20</v>
      </c>
      <c r="X503">
        <v>4</v>
      </c>
      <c r="Y503">
        <v>3</v>
      </c>
      <c r="Z503">
        <v>80</v>
      </c>
      <c r="AA503">
        <v>1</v>
      </c>
      <c r="AB503">
        <v>1</v>
      </c>
      <c r="AC503">
        <v>2</v>
      </c>
      <c r="AD503">
        <v>3</v>
      </c>
      <c r="AE503">
        <v>1</v>
      </c>
      <c r="AF503">
        <v>0</v>
      </c>
      <c r="AG503">
        <v>0</v>
      </c>
      <c r="AH503">
        <v>0</v>
      </c>
      <c r="AI503">
        <f>IF(tbl_HRData[[#This Row],[Attrition]] = "Yes",1,0)</f>
        <v>0</v>
      </c>
      <c r="AJ503">
        <f>IF(tbl_HRData[[#This Row],[Attrition]] = "No",1,0)</f>
        <v>1</v>
      </c>
      <c r="AK503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503" s="1" t="str">
        <f>IF(tbl_HRData[[#This Row],[MonthlyIncome]]&lt;5000,"Low",
IF(tbl_HRData[[#This Row],[MonthlyIncome]]&lt;10000,"Medium",
IF(tbl_HRData[[#This Row],[MonthlyIncome]]&lt;15000,"Upper Medium","High")))</f>
        <v>Low</v>
      </c>
      <c r="AM503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504" spans="1:39" x14ac:dyDescent="0.35">
      <c r="A504" s="1">
        <v>503</v>
      </c>
      <c r="B504">
        <v>53</v>
      </c>
      <c r="C504" s="1" t="s">
        <v>40</v>
      </c>
      <c r="D504" s="1" t="s">
        <v>34</v>
      </c>
      <c r="E504">
        <v>238</v>
      </c>
      <c r="F504" s="1" t="s">
        <v>35</v>
      </c>
      <c r="G504">
        <v>1</v>
      </c>
      <c r="H504">
        <v>1</v>
      </c>
      <c r="I504" s="1" t="s">
        <v>48</v>
      </c>
      <c r="J504">
        <v>682</v>
      </c>
      <c r="K504">
        <v>4</v>
      </c>
      <c r="L504" s="1" t="s">
        <v>37</v>
      </c>
      <c r="M504">
        <v>34</v>
      </c>
      <c r="N504">
        <v>3</v>
      </c>
      <c r="O504">
        <v>2</v>
      </c>
      <c r="P504" s="1" t="s">
        <v>38</v>
      </c>
      <c r="Q504">
        <v>1</v>
      </c>
      <c r="R504" s="1" t="s">
        <v>39</v>
      </c>
      <c r="S504">
        <v>8381</v>
      </c>
      <c r="T504">
        <v>7507</v>
      </c>
      <c r="U504">
        <v>7</v>
      </c>
      <c r="V504" s="1" t="s">
        <v>40</v>
      </c>
      <c r="W504">
        <v>20</v>
      </c>
      <c r="X504">
        <v>4</v>
      </c>
      <c r="Y504">
        <v>4</v>
      </c>
      <c r="Z504">
        <v>80</v>
      </c>
      <c r="AA504">
        <v>0</v>
      </c>
      <c r="AB504">
        <v>18</v>
      </c>
      <c r="AC504">
        <v>2</v>
      </c>
      <c r="AD504">
        <v>4</v>
      </c>
      <c r="AE504">
        <v>14</v>
      </c>
      <c r="AF504">
        <v>7</v>
      </c>
      <c r="AG504">
        <v>8</v>
      </c>
      <c r="AH504">
        <v>10</v>
      </c>
      <c r="AI504">
        <f>IF(tbl_HRData[[#This Row],[Attrition]] = "Yes",1,0)</f>
        <v>0</v>
      </c>
      <c r="AJ504">
        <f>IF(tbl_HRData[[#This Row],[Attrition]] = "No",1,0)</f>
        <v>1</v>
      </c>
      <c r="AK504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504" s="1" t="str">
        <f>IF(tbl_HRData[[#This Row],[MonthlyIncome]]&lt;5000,"Low",
IF(tbl_HRData[[#This Row],[MonthlyIncome]]&lt;10000,"Medium",
IF(tbl_HRData[[#This Row],[MonthlyIncome]]&lt;15000,"Upper Medium","High")))</f>
        <v>Medium</v>
      </c>
      <c r="AM504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505" spans="1:39" x14ac:dyDescent="0.35">
      <c r="A505" s="1">
        <v>504</v>
      </c>
      <c r="B505">
        <v>34</v>
      </c>
      <c r="C505" s="1" t="s">
        <v>40</v>
      </c>
      <c r="D505" s="1" t="s">
        <v>34</v>
      </c>
      <c r="E505">
        <v>1397</v>
      </c>
      <c r="F505" s="1" t="s">
        <v>42</v>
      </c>
      <c r="G505">
        <v>1</v>
      </c>
      <c r="H505">
        <v>5</v>
      </c>
      <c r="I505" s="1" t="s">
        <v>36</v>
      </c>
      <c r="J505">
        <v>683</v>
      </c>
      <c r="K505">
        <v>2</v>
      </c>
      <c r="L505" s="1" t="s">
        <v>43</v>
      </c>
      <c r="M505">
        <v>42</v>
      </c>
      <c r="N505">
        <v>3</v>
      </c>
      <c r="O505">
        <v>1</v>
      </c>
      <c r="P505" s="1" t="s">
        <v>44</v>
      </c>
      <c r="Q505">
        <v>4</v>
      </c>
      <c r="R505" s="1" t="s">
        <v>45</v>
      </c>
      <c r="S505">
        <v>2691</v>
      </c>
      <c r="T505">
        <v>7660</v>
      </c>
      <c r="U505">
        <v>1</v>
      </c>
      <c r="V505" s="1" t="s">
        <v>40</v>
      </c>
      <c r="W505">
        <v>12</v>
      </c>
      <c r="X505">
        <v>3</v>
      </c>
      <c r="Y505">
        <v>4</v>
      </c>
      <c r="Z505">
        <v>80</v>
      </c>
      <c r="AA505">
        <v>1</v>
      </c>
      <c r="AB505">
        <v>10</v>
      </c>
      <c r="AC505">
        <v>4</v>
      </c>
      <c r="AD505">
        <v>2</v>
      </c>
      <c r="AE505">
        <v>10</v>
      </c>
      <c r="AF505">
        <v>9</v>
      </c>
      <c r="AG505">
        <v>8</v>
      </c>
      <c r="AH505">
        <v>8</v>
      </c>
      <c r="AI505">
        <f>IF(tbl_HRData[[#This Row],[Attrition]] = "Yes",1,0)</f>
        <v>0</v>
      </c>
      <c r="AJ505">
        <f>IF(tbl_HRData[[#This Row],[Attrition]] = "No",1,0)</f>
        <v>1</v>
      </c>
      <c r="AK505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505" s="1" t="str">
        <f>IF(tbl_HRData[[#This Row],[MonthlyIncome]]&lt;5000,"Low",
IF(tbl_HRData[[#This Row],[MonthlyIncome]]&lt;10000,"Medium",
IF(tbl_HRData[[#This Row],[MonthlyIncome]]&lt;15000,"Upper Medium","High")))</f>
        <v>Low</v>
      </c>
      <c r="AM505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506" spans="1:39" x14ac:dyDescent="0.35">
      <c r="A506" s="1">
        <v>505</v>
      </c>
      <c r="B506">
        <v>45</v>
      </c>
      <c r="C506" s="1" t="s">
        <v>33</v>
      </c>
      <c r="D506" s="1" t="s">
        <v>41</v>
      </c>
      <c r="E506">
        <v>306</v>
      </c>
      <c r="F506" s="1" t="s">
        <v>35</v>
      </c>
      <c r="G506">
        <v>26</v>
      </c>
      <c r="H506">
        <v>4</v>
      </c>
      <c r="I506" s="1" t="s">
        <v>36</v>
      </c>
      <c r="J506">
        <v>684</v>
      </c>
      <c r="K506">
        <v>1</v>
      </c>
      <c r="L506" s="1" t="s">
        <v>37</v>
      </c>
      <c r="M506">
        <v>100</v>
      </c>
      <c r="N506">
        <v>3</v>
      </c>
      <c r="O506">
        <v>2</v>
      </c>
      <c r="P506" s="1" t="s">
        <v>38</v>
      </c>
      <c r="Q506">
        <v>1</v>
      </c>
      <c r="R506" s="1" t="s">
        <v>45</v>
      </c>
      <c r="S506">
        <v>4286</v>
      </c>
      <c r="T506">
        <v>5630</v>
      </c>
      <c r="U506">
        <v>2</v>
      </c>
      <c r="V506" s="1" t="s">
        <v>40</v>
      </c>
      <c r="W506">
        <v>14</v>
      </c>
      <c r="X506">
        <v>3</v>
      </c>
      <c r="Y506">
        <v>4</v>
      </c>
      <c r="Z506">
        <v>80</v>
      </c>
      <c r="AA506">
        <v>2</v>
      </c>
      <c r="AB506">
        <v>5</v>
      </c>
      <c r="AC506">
        <v>4</v>
      </c>
      <c r="AD506">
        <v>3</v>
      </c>
      <c r="AE506">
        <v>1</v>
      </c>
      <c r="AF506">
        <v>1</v>
      </c>
      <c r="AG506">
        <v>0</v>
      </c>
      <c r="AH506">
        <v>0</v>
      </c>
      <c r="AI506">
        <f>IF(tbl_HRData[[#This Row],[Attrition]] = "Yes",1,0)</f>
        <v>1</v>
      </c>
      <c r="AJ506">
        <f>IF(tbl_HRData[[#This Row],[Attrition]] = "No",1,0)</f>
        <v>0</v>
      </c>
      <c r="AK506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506" s="1" t="str">
        <f>IF(tbl_HRData[[#This Row],[MonthlyIncome]]&lt;5000,"Low",
IF(tbl_HRData[[#This Row],[MonthlyIncome]]&lt;10000,"Medium",
IF(tbl_HRData[[#This Row],[MonthlyIncome]]&lt;15000,"Upper Medium","High")))</f>
        <v>Low</v>
      </c>
      <c r="AM506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507" spans="1:39" x14ac:dyDescent="0.35">
      <c r="A507" s="1">
        <v>506</v>
      </c>
      <c r="B507">
        <v>26</v>
      </c>
      <c r="C507" s="1" t="s">
        <v>40</v>
      </c>
      <c r="D507" s="1" t="s">
        <v>34</v>
      </c>
      <c r="E507">
        <v>991</v>
      </c>
      <c r="F507" s="1" t="s">
        <v>42</v>
      </c>
      <c r="G507">
        <v>6</v>
      </c>
      <c r="H507">
        <v>3</v>
      </c>
      <c r="I507" s="1" t="s">
        <v>36</v>
      </c>
      <c r="J507">
        <v>686</v>
      </c>
      <c r="K507">
        <v>3</v>
      </c>
      <c r="L507" s="1" t="s">
        <v>37</v>
      </c>
      <c r="M507">
        <v>71</v>
      </c>
      <c r="N507">
        <v>3</v>
      </c>
      <c r="O507">
        <v>1</v>
      </c>
      <c r="P507" s="1" t="s">
        <v>47</v>
      </c>
      <c r="Q507">
        <v>4</v>
      </c>
      <c r="R507" s="1" t="s">
        <v>45</v>
      </c>
      <c r="S507">
        <v>2659</v>
      </c>
      <c r="T507">
        <v>17759</v>
      </c>
      <c r="U507">
        <v>1</v>
      </c>
      <c r="V507" s="1" t="s">
        <v>33</v>
      </c>
      <c r="W507">
        <v>13</v>
      </c>
      <c r="X507">
        <v>3</v>
      </c>
      <c r="Y507">
        <v>3</v>
      </c>
      <c r="Z507">
        <v>80</v>
      </c>
      <c r="AA507">
        <v>1</v>
      </c>
      <c r="AB507">
        <v>3</v>
      </c>
      <c r="AC507">
        <v>2</v>
      </c>
      <c r="AD507">
        <v>3</v>
      </c>
      <c r="AE507">
        <v>3</v>
      </c>
      <c r="AF507">
        <v>2</v>
      </c>
      <c r="AG507">
        <v>0</v>
      </c>
      <c r="AH507">
        <v>2</v>
      </c>
      <c r="AI507">
        <f>IF(tbl_HRData[[#This Row],[Attrition]] = "Yes",1,0)</f>
        <v>0</v>
      </c>
      <c r="AJ507">
        <f>IF(tbl_HRData[[#This Row],[Attrition]] = "No",1,0)</f>
        <v>1</v>
      </c>
      <c r="AK507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507" s="1" t="str">
        <f>IF(tbl_HRData[[#This Row],[MonthlyIncome]]&lt;5000,"Low",
IF(tbl_HRData[[#This Row],[MonthlyIncome]]&lt;10000,"Medium",
IF(tbl_HRData[[#This Row],[MonthlyIncome]]&lt;15000,"Upper Medium","High")))</f>
        <v>Low</v>
      </c>
      <c r="AM507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508" spans="1:39" x14ac:dyDescent="0.35">
      <c r="A508" s="1">
        <v>507</v>
      </c>
      <c r="B508">
        <v>37</v>
      </c>
      <c r="C508" s="1" t="s">
        <v>40</v>
      </c>
      <c r="D508" s="1" t="s">
        <v>34</v>
      </c>
      <c r="E508">
        <v>482</v>
      </c>
      <c r="F508" s="1" t="s">
        <v>42</v>
      </c>
      <c r="G508">
        <v>3</v>
      </c>
      <c r="H508">
        <v>3</v>
      </c>
      <c r="I508" s="1" t="s">
        <v>46</v>
      </c>
      <c r="J508">
        <v>689</v>
      </c>
      <c r="K508">
        <v>3</v>
      </c>
      <c r="L508" s="1" t="s">
        <v>43</v>
      </c>
      <c r="M508">
        <v>36</v>
      </c>
      <c r="N508">
        <v>3</v>
      </c>
      <c r="O508">
        <v>3</v>
      </c>
      <c r="P508" s="1" t="s">
        <v>50</v>
      </c>
      <c r="Q508">
        <v>3</v>
      </c>
      <c r="R508" s="1" t="s">
        <v>45</v>
      </c>
      <c r="S508">
        <v>9434</v>
      </c>
      <c r="T508">
        <v>9606</v>
      </c>
      <c r="U508">
        <v>1</v>
      </c>
      <c r="V508" s="1" t="s">
        <v>40</v>
      </c>
      <c r="W508">
        <v>15</v>
      </c>
      <c r="X508">
        <v>3</v>
      </c>
      <c r="Y508">
        <v>3</v>
      </c>
      <c r="Z508">
        <v>80</v>
      </c>
      <c r="AA508">
        <v>1</v>
      </c>
      <c r="AB508">
        <v>10</v>
      </c>
      <c r="AC508">
        <v>2</v>
      </c>
      <c r="AD508">
        <v>3</v>
      </c>
      <c r="AE508">
        <v>10</v>
      </c>
      <c r="AF508">
        <v>7</v>
      </c>
      <c r="AG508">
        <v>7</v>
      </c>
      <c r="AH508">
        <v>8</v>
      </c>
      <c r="AI508">
        <f>IF(tbl_HRData[[#This Row],[Attrition]] = "Yes",1,0)</f>
        <v>0</v>
      </c>
      <c r="AJ508">
        <f>IF(tbl_HRData[[#This Row],[Attrition]] = "No",1,0)</f>
        <v>1</v>
      </c>
      <c r="AK508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508" s="1" t="str">
        <f>IF(tbl_HRData[[#This Row],[MonthlyIncome]]&lt;5000,"Low",
IF(tbl_HRData[[#This Row],[MonthlyIncome]]&lt;10000,"Medium",
IF(tbl_HRData[[#This Row],[MonthlyIncome]]&lt;15000,"Upper Medium","High")))</f>
        <v>Medium</v>
      </c>
      <c r="AM508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509" spans="1:39" x14ac:dyDescent="0.35">
      <c r="A509" s="1">
        <v>508</v>
      </c>
      <c r="B509">
        <v>29</v>
      </c>
      <c r="C509" s="1" t="s">
        <v>40</v>
      </c>
      <c r="D509" s="1" t="s">
        <v>34</v>
      </c>
      <c r="E509">
        <v>1176</v>
      </c>
      <c r="F509" s="1" t="s">
        <v>35</v>
      </c>
      <c r="G509">
        <v>3</v>
      </c>
      <c r="H509">
        <v>2</v>
      </c>
      <c r="I509" s="1" t="s">
        <v>48</v>
      </c>
      <c r="J509">
        <v>690</v>
      </c>
      <c r="K509">
        <v>2</v>
      </c>
      <c r="L509" s="1" t="s">
        <v>37</v>
      </c>
      <c r="M509">
        <v>62</v>
      </c>
      <c r="N509">
        <v>3</v>
      </c>
      <c r="O509">
        <v>2</v>
      </c>
      <c r="P509" s="1" t="s">
        <v>38</v>
      </c>
      <c r="Q509">
        <v>3</v>
      </c>
      <c r="R509" s="1" t="s">
        <v>45</v>
      </c>
      <c r="S509">
        <v>5561</v>
      </c>
      <c r="T509">
        <v>3487</v>
      </c>
      <c r="U509">
        <v>1</v>
      </c>
      <c r="V509" s="1" t="s">
        <v>40</v>
      </c>
      <c r="W509">
        <v>14</v>
      </c>
      <c r="X509">
        <v>3</v>
      </c>
      <c r="Y509">
        <v>1</v>
      </c>
      <c r="Z509">
        <v>80</v>
      </c>
      <c r="AA509">
        <v>1</v>
      </c>
      <c r="AB509">
        <v>6</v>
      </c>
      <c r="AC509">
        <v>5</v>
      </c>
      <c r="AD509">
        <v>2</v>
      </c>
      <c r="AE509">
        <v>6</v>
      </c>
      <c r="AF509">
        <v>0</v>
      </c>
      <c r="AG509">
        <v>1</v>
      </c>
      <c r="AH509">
        <v>2</v>
      </c>
      <c r="AI509">
        <f>IF(tbl_HRData[[#This Row],[Attrition]] = "Yes",1,0)</f>
        <v>0</v>
      </c>
      <c r="AJ509">
        <f>IF(tbl_HRData[[#This Row],[Attrition]] = "No",1,0)</f>
        <v>1</v>
      </c>
      <c r="AK509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509" s="1" t="str">
        <f>IF(tbl_HRData[[#This Row],[MonthlyIncome]]&lt;5000,"Low",
IF(tbl_HRData[[#This Row],[MonthlyIncome]]&lt;10000,"Medium",
IF(tbl_HRData[[#This Row],[MonthlyIncome]]&lt;15000,"Upper Medium","High")))</f>
        <v>Medium</v>
      </c>
      <c r="AM509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510" spans="1:39" x14ac:dyDescent="0.35">
      <c r="A510" s="1">
        <v>509</v>
      </c>
      <c r="B510">
        <v>35</v>
      </c>
      <c r="C510" s="1" t="s">
        <v>40</v>
      </c>
      <c r="D510" s="1" t="s">
        <v>34</v>
      </c>
      <c r="E510">
        <v>1017</v>
      </c>
      <c r="F510" s="1" t="s">
        <v>42</v>
      </c>
      <c r="G510">
        <v>6</v>
      </c>
      <c r="H510">
        <v>4</v>
      </c>
      <c r="I510" s="1" t="s">
        <v>36</v>
      </c>
      <c r="J510">
        <v>691</v>
      </c>
      <c r="K510">
        <v>2</v>
      </c>
      <c r="L510" s="1" t="s">
        <v>43</v>
      </c>
      <c r="M510">
        <v>82</v>
      </c>
      <c r="N510">
        <v>1</v>
      </c>
      <c r="O510">
        <v>2</v>
      </c>
      <c r="P510" s="1" t="s">
        <v>44</v>
      </c>
      <c r="Q510">
        <v>4</v>
      </c>
      <c r="R510" s="1" t="s">
        <v>39</v>
      </c>
      <c r="S510">
        <v>6646</v>
      </c>
      <c r="T510">
        <v>19368</v>
      </c>
      <c r="U510">
        <v>1</v>
      </c>
      <c r="V510" s="1" t="s">
        <v>40</v>
      </c>
      <c r="W510">
        <v>13</v>
      </c>
      <c r="X510">
        <v>3</v>
      </c>
      <c r="Y510">
        <v>2</v>
      </c>
      <c r="Z510">
        <v>80</v>
      </c>
      <c r="AA510">
        <v>0</v>
      </c>
      <c r="AB510">
        <v>17</v>
      </c>
      <c r="AC510">
        <v>3</v>
      </c>
      <c r="AD510">
        <v>3</v>
      </c>
      <c r="AE510">
        <v>17</v>
      </c>
      <c r="AF510">
        <v>11</v>
      </c>
      <c r="AG510">
        <v>11</v>
      </c>
      <c r="AH510">
        <v>8</v>
      </c>
      <c r="AI510">
        <f>IF(tbl_HRData[[#This Row],[Attrition]] = "Yes",1,0)</f>
        <v>0</v>
      </c>
      <c r="AJ510">
        <f>IF(tbl_HRData[[#This Row],[Attrition]] = "No",1,0)</f>
        <v>1</v>
      </c>
      <c r="AK510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510" s="1" t="str">
        <f>IF(tbl_HRData[[#This Row],[MonthlyIncome]]&lt;5000,"Low",
IF(tbl_HRData[[#This Row],[MonthlyIncome]]&lt;10000,"Medium",
IF(tbl_HRData[[#This Row],[MonthlyIncome]]&lt;15000,"Upper Medium","High")))</f>
        <v>Medium</v>
      </c>
      <c r="AM510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511" spans="1:39" x14ac:dyDescent="0.35">
      <c r="A511" s="1">
        <v>510</v>
      </c>
      <c r="B511">
        <v>33</v>
      </c>
      <c r="C511" s="1" t="s">
        <v>40</v>
      </c>
      <c r="D511" s="1" t="s">
        <v>41</v>
      </c>
      <c r="E511">
        <v>1296</v>
      </c>
      <c r="F511" s="1" t="s">
        <v>42</v>
      </c>
      <c r="G511">
        <v>6</v>
      </c>
      <c r="H511">
        <v>3</v>
      </c>
      <c r="I511" s="1" t="s">
        <v>36</v>
      </c>
      <c r="J511">
        <v>692</v>
      </c>
      <c r="K511">
        <v>3</v>
      </c>
      <c r="L511" s="1" t="s">
        <v>43</v>
      </c>
      <c r="M511">
        <v>30</v>
      </c>
      <c r="N511">
        <v>3</v>
      </c>
      <c r="O511">
        <v>2</v>
      </c>
      <c r="P511" s="1" t="s">
        <v>51</v>
      </c>
      <c r="Q511">
        <v>4</v>
      </c>
      <c r="R511" s="1" t="s">
        <v>49</v>
      </c>
      <c r="S511">
        <v>7725</v>
      </c>
      <c r="T511">
        <v>5335</v>
      </c>
      <c r="U511">
        <v>3</v>
      </c>
      <c r="V511" s="1" t="s">
        <v>40</v>
      </c>
      <c r="W511">
        <v>23</v>
      </c>
      <c r="X511">
        <v>4</v>
      </c>
      <c r="Y511">
        <v>3</v>
      </c>
      <c r="Z511">
        <v>80</v>
      </c>
      <c r="AA511">
        <v>1</v>
      </c>
      <c r="AB511">
        <v>15</v>
      </c>
      <c r="AC511">
        <v>2</v>
      </c>
      <c r="AD511">
        <v>1</v>
      </c>
      <c r="AE511">
        <v>13</v>
      </c>
      <c r="AF511">
        <v>11</v>
      </c>
      <c r="AG511">
        <v>4</v>
      </c>
      <c r="AH511">
        <v>7</v>
      </c>
      <c r="AI511">
        <f>IF(tbl_HRData[[#This Row],[Attrition]] = "Yes",1,0)</f>
        <v>0</v>
      </c>
      <c r="AJ511">
        <f>IF(tbl_HRData[[#This Row],[Attrition]] = "No",1,0)</f>
        <v>1</v>
      </c>
      <c r="AK511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511" s="1" t="str">
        <f>IF(tbl_HRData[[#This Row],[MonthlyIncome]]&lt;5000,"Low",
IF(tbl_HRData[[#This Row],[MonthlyIncome]]&lt;10000,"Medium",
IF(tbl_HRData[[#This Row],[MonthlyIncome]]&lt;15000,"Upper Medium","High")))</f>
        <v>Medium</v>
      </c>
      <c r="AM511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512" spans="1:39" x14ac:dyDescent="0.35">
      <c r="A512" s="1">
        <v>511</v>
      </c>
      <c r="B512">
        <v>54</v>
      </c>
      <c r="C512" s="1" t="s">
        <v>40</v>
      </c>
      <c r="D512" s="1" t="s">
        <v>34</v>
      </c>
      <c r="E512">
        <v>397</v>
      </c>
      <c r="F512" s="1" t="s">
        <v>58</v>
      </c>
      <c r="G512">
        <v>19</v>
      </c>
      <c r="H512">
        <v>4</v>
      </c>
      <c r="I512" s="1" t="s">
        <v>48</v>
      </c>
      <c r="J512">
        <v>698</v>
      </c>
      <c r="K512">
        <v>3</v>
      </c>
      <c r="L512" s="1" t="s">
        <v>43</v>
      </c>
      <c r="M512">
        <v>88</v>
      </c>
      <c r="N512">
        <v>3</v>
      </c>
      <c r="O512">
        <v>3</v>
      </c>
      <c r="P512" s="1" t="s">
        <v>58</v>
      </c>
      <c r="Q512">
        <v>2</v>
      </c>
      <c r="R512" s="1" t="s">
        <v>45</v>
      </c>
      <c r="S512">
        <v>10725</v>
      </c>
      <c r="T512">
        <v>6729</v>
      </c>
      <c r="U512">
        <v>2</v>
      </c>
      <c r="V512" s="1" t="s">
        <v>40</v>
      </c>
      <c r="W512">
        <v>15</v>
      </c>
      <c r="X512">
        <v>3</v>
      </c>
      <c r="Y512">
        <v>3</v>
      </c>
      <c r="Z512">
        <v>80</v>
      </c>
      <c r="AA512">
        <v>1</v>
      </c>
      <c r="AB512">
        <v>16</v>
      </c>
      <c r="AC512">
        <v>1</v>
      </c>
      <c r="AD512">
        <v>4</v>
      </c>
      <c r="AE512">
        <v>9</v>
      </c>
      <c r="AF512">
        <v>7</v>
      </c>
      <c r="AG512">
        <v>7</v>
      </c>
      <c r="AH512">
        <v>1</v>
      </c>
      <c r="AI512">
        <f>IF(tbl_HRData[[#This Row],[Attrition]] = "Yes",1,0)</f>
        <v>0</v>
      </c>
      <c r="AJ512">
        <f>IF(tbl_HRData[[#This Row],[Attrition]] = "No",1,0)</f>
        <v>1</v>
      </c>
      <c r="AK512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512" s="1" t="str">
        <f>IF(tbl_HRData[[#This Row],[MonthlyIncome]]&lt;5000,"Low",
IF(tbl_HRData[[#This Row],[MonthlyIncome]]&lt;10000,"Medium",
IF(tbl_HRData[[#This Row],[MonthlyIncome]]&lt;15000,"Upper Medium","High")))</f>
        <v>Upper Medium</v>
      </c>
      <c r="AM512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513" spans="1:39" x14ac:dyDescent="0.35">
      <c r="A513" s="1">
        <v>512</v>
      </c>
      <c r="B513">
        <v>36</v>
      </c>
      <c r="C513" s="1" t="s">
        <v>40</v>
      </c>
      <c r="D513" s="1" t="s">
        <v>34</v>
      </c>
      <c r="E513">
        <v>913</v>
      </c>
      <c r="F513" s="1" t="s">
        <v>42</v>
      </c>
      <c r="G513">
        <v>9</v>
      </c>
      <c r="H513">
        <v>2</v>
      </c>
      <c r="I513" s="1" t="s">
        <v>48</v>
      </c>
      <c r="J513">
        <v>699</v>
      </c>
      <c r="K513">
        <v>2</v>
      </c>
      <c r="L513" s="1" t="s">
        <v>43</v>
      </c>
      <c r="M513">
        <v>48</v>
      </c>
      <c r="N513">
        <v>2</v>
      </c>
      <c r="O513">
        <v>2</v>
      </c>
      <c r="P513" s="1" t="s">
        <v>50</v>
      </c>
      <c r="Q513">
        <v>2</v>
      </c>
      <c r="R513" s="1" t="s">
        <v>49</v>
      </c>
      <c r="S513">
        <v>8847</v>
      </c>
      <c r="T513">
        <v>13934</v>
      </c>
      <c r="U513">
        <v>2</v>
      </c>
      <c r="V513" s="1" t="s">
        <v>33</v>
      </c>
      <c r="W513">
        <v>11</v>
      </c>
      <c r="X513">
        <v>3</v>
      </c>
      <c r="Y513">
        <v>3</v>
      </c>
      <c r="Z513">
        <v>80</v>
      </c>
      <c r="AA513">
        <v>1</v>
      </c>
      <c r="AB513">
        <v>13</v>
      </c>
      <c r="AC513">
        <v>2</v>
      </c>
      <c r="AD513">
        <v>3</v>
      </c>
      <c r="AE513">
        <v>3</v>
      </c>
      <c r="AF513">
        <v>2</v>
      </c>
      <c r="AG513">
        <v>0</v>
      </c>
      <c r="AH513">
        <v>2</v>
      </c>
      <c r="AI513">
        <f>IF(tbl_HRData[[#This Row],[Attrition]] = "Yes",1,0)</f>
        <v>0</v>
      </c>
      <c r="AJ513">
        <f>IF(tbl_HRData[[#This Row],[Attrition]] = "No",1,0)</f>
        <v>1</v>
      </c>
      <c r="AK513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513" s="1" t="str">
        <f>IF(tbl_HRData[[#This Row],[MonthlyIncome]]&lt;5000,"Low",
IF(tbl_HRData[[#This Row],[MonthlyIncome]]&lt;10000,"Medium",
IF(tbl_HRData[[#This Row],[MonthlyIncome]]&lt;15000,"Upper Medium","High")))</f>
        <v>Medium</v>
      </c>
      <c r="AM513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514" spans="1:39" x14ac:dyDescent="0.35">
      <c r="A514" s="1">
        <v>513</v>
      </c>
      <c r="B514">
        <v>27</v>
      </c>
      <c r="C514" s="1" t="s">
        <v>40</v>
      </c>
      <c r="D514" s="1" t="s">
        <v>34</v>
      </c>
      <c r="E514">
        <v>1115</v>
      </c>
      <c r="F514" s="1" t="s">
        <v>42</v>
      </c>
      <c r="G514">
        <v>3</v>
      </c>
      <c r="H514">
        <v>4</v>
      </c>
      <c r="I514" s="1" t="s">
        <v>48</v>
      </c>
      <c r="J514">
        <v>700</v>
      </c>
      <c r="K514">
        <v>1</v>
      </c>
      <c r="L514" s="1" t="s">
        <v>43</v>
      </c>
      <c r="M514">
        <v>54</v>
      </c>
      <c r="N514">
        <v>2</v>
      </c>
      <c r="O514">
        <v>1</v>
      </c>
      <c r="P514" s="1" t="s">
        <v>44</v>
      </c>
      <c r="Q514">
        <v>4</v>
      </c>
      <c r="R514" s="1" t="s">
        <v>39</v>
      </c>
      <c r="S514">
        <v>2045</v>
      </c>
      <c r="T514">
        <v>15174</v>
      </c>
      <c r="U514">
        <v>0</v>
      </c>
      <c r="V514" s="1" t="s">
        <v>40</v>
      </c>
      <c r="W514">
        <v>13</v>
      </c>
      <c r="X514">
        <v>3</v>
      </c>
      <c r="Y514">
        <v>4</v>
      </c>
      <c r="Z514">
        <v>80</v>
      </c>
      <c r="AA514">
        <v>0</v>
      </c>
      <c r="AB514">
        <v>5</v>
      </c>
      <c r="AC514">
        <v>0</v>
      </c>
      <c r="AD514">
        <v>3</v>
      </c>
      <c r="AE514">
        <v>4</v>
      </c>
      <c r="AF514">
        <v>2</v>
      </c>
      <c r="AG514">
        <v>1</v>
      </c>
      <c r="AH514">
        <v>1</v>
      </c>
      <c r="AI514">
        <f>IF(tbl_HRData[[#This Row],[Attrition]] = "Yes",1,0)</f>
        <v>0</v>
      </c>
      <c r="AJ514">
        <f>IF(tbl_HRData[[#This Row],[Attrition]] = "No",1,0)</f>
        <v>1</v>
      </c>
      <c r="AK514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514" s="1" t="str">
        <f>IF(tbl_HRData[[#This Row],[MonthlyIncome]]&lt;5000,"Low",
IF(tbl_HRData[[#This Row],[MonthlyIncome]]&lt;10000,"Medium",
IF(tbl_HRData[[#This Row],[MonthlyIncome]]&lt;15000,"Upper Medium","High")))</f>
        <v>Low</v>
      </c>
      <c r="AM514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515" spans="1:39" x14ac:dyDescent="0.35">
      <c r="A515" s="1">
        <v>514</v>
      </c>
      <c r="B515">
        <v>20</v>
      </c>
      <c r="C515" s="1" t="s">
        <v>33</v>
      </c>
      <c r="D515" s="1" t="s">
        <v>34</v>
      </c>
      <c r="E515">
        <v>1362</v>
      </c>
      <c r="F515" s="1" t="s">
        <v>42</v>
      </c>
      <c r="G515">
        <v>10</v>
      </c>
      <c r="H515">
        <v>1</v>
      </c>
      <c r="I515" s="1" t="s">
        <v>48</v>
      </c>
      <c r="J515">
        <v>701</v>
      </c>
      <c r="K515">
        <v>4</v>
      </c>
      <c r="L515" s="1" t="s">
        <v>43</v>
      </c>
      <c r="M515">
        <v>32</v>
      </c>
      <c r="N515">
        <v>3</v>
      </c>
      <c r="O515">
        <v>1</v>
      </c>
      <c r="P515" s="1" t="s">
        <v>44</v>
      </c>
      <c r="Q515">
        <v>3</v>
      </c>
      <c r="R515" s="1" t="s">
        <v>39</v>
      </c>
      <c r="S515">
        <v>1009</v>
      </c>
      <c r="T515">
        <v>26999</v>
      </c>
      <c r="U515">
        <v>1</v>
      </c>
      <c r="V515" s="1" t="s">
        <v>33</v>
      </c>
      <c r="W515">
        <v>11</v>
      </c>
      <c r="X515">
        <v>3</v>
      </c>
      <c r="Y515">
        <v>4</v>
      </c>
      <c r="Z515">
        <v>80</v>
      </c>
      <c r="AA515">
        <v>0</v>
      </c>
      <c r="AB515">
        <v>1</v>
      </c>
      <c r="AC515">
        <v>5</v>
      </c>
      <c r="AD515">
        <v>3</v>
      </c>
      <c r="AE515">
        <v>1</v>
      </c>
      <c r="AF515">
        <v>0</v>
      </c>
      <c r="AG515">
        <v>1</v>
      </c>
      <c r="AH515">
        <v>1</v>
      </c>
      <c r="AI515">
        <f>IF(tbl_HRData[[#This Row],[Attrition]] = "Yes",1,0)</f>
        <v>1</v>
      </c>
      <c r="AJ515">
        <f>IF(tbl_HRData[[#This Row],[Attrition]] = "No",1,0)</f>
        <v>0</v>
      </c>
      <c r="AK515" t="str">
        <f>IF(tbl_HRData[[#This Row],[Age]] &lt; 25, "Under 25", IF(tbl_HRData[[#This Row],[Age]] &lt;= 34, "25-34", IF(tbl_HRData[[#This Row],[Age]] &lt;= 44, "35-44", IF(tbl_HRData[[#This Row],[Age]] &lt;= 54, "45-54", "55+"))))</f>
        <v>Under 25</v>
      </c>
      <c r="AL515" s="1" t="str">
        <f>IF(tbl_HRData[[#This Row],[MonthlyIncome]]&lt;5000,"Low",
IF(tbl_HRData[[#This Row],[MonthlyIncome]]&lt;10000,"Medium",
IF(tbl_HRData[[#This Row],[MonthlyIncome]]&lt;15000,"Upper Medium","High")))</f>
        <v>Low</v>
      </c>
      <c r="AM515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516" spans="1:39" x14ac:dyDescent="0.35">
      <c r="A516" s="1">
        <v>515</v>
      </c>
      <c r="B516">
        <v>33</v>
      </c>
      <c r="C516" s="1" t="s">
        <v>33</v>
      </c>
      <c r="D516" s="1" t="s">
        <v>41</v>
      </c>
      <c r="E516">
        <v>1076</v>
      </c>
      <c r="F516" s="1" t="s">
        <v>42</v>
      </c>
      <c r="G516">
        <v>3</v>
      </c>
      <c r="H516">
        <v>3</v>
      </c>
      <c r="I516" s="1" t="s">
        <v>36</v>
      </c>
      <c r="J516">
        <v>702</v>
      </c>
      <c r="K516">
        <v>1</v>
      </c>
      <c r="L516" s="1" t="s">
        <v>43</v>
      </c>
      <c r="M516">
        <v>70</v>
      </c>
      <c r="N516">
        <v>3</v>
      </c>
      <c r="O516">
        <v>1</v>
      </c>
      <c r="P516" s="1" t="s">
        <v>44</v>
      </c>
      <c r="Q516">
        <v>1</v>
      </c>
      <c r="R516" s="1" t="s">
        <v>39</v>
      </c>
      <c r="S516">
        <v>3348</v>
      </c>
      <c r="T516">
        <v>3164</v>
      </c>
      <c r="U516">
        <v>1</v>
      </c>
      <c r="V516" s="1" t="s">
        <v>33</v>
      </c>
      <c r="W516">
        <v>11</v>
      </c>
      <c r="X516">
        <v>3</v>
      </c>
      <c r="Y516">
        <v>1</v>
      </c>
      <c r="Z516">
        <v>80</v>
      </c>
      <c r="AA516">
        <v>0</v>
      </c>
      <c r="AB516">
        <v>10</v>
      </c>
      <c r="AC516">
        <v>3</v>
      </c>
      <c r="AD516">
        <v>3</v>
      </c>
      <c r="AE516">
        <v>10</v>
      </c>
      <c r="AF516">
        <v>8</v>
      </c>
      <c r="AG516">
        <v>9</v>
      </c>
      <c r="AH516">
        <v>7</v>
      </c>
      <c r="AI516">
        <f>IF(tbl_HRData[[#This Row],[Attrition]] = "Yes",1,0)</f>
        <v>1</v>
      </c>
      <c r="AJ516">
        <f>IF(tbl_HRData[[#This Row],[Attrition]] = "No",1,0)</f>
        <v>0</v>
      </c>
      <c r="AK516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516" s="1" t="str">
        <f>IF(tbl_HRData[[#This Row],[MonthlyIncome]]&lt;5000,"Low",
IF(tbl_HRData[[#This Row],[MonthlyIncome]]&lt;10000,"Medium",
IF(tbl_HRData[[#This Row],[MonthlyIncome]]&lt;15000,"Upper Medium","High")))</f>
        <v>Low</v>
      </c>
      <c r="AM516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517" spans="1:39" x14ac:dyDescent="0.35">
      <c r="A517" s="1">
        <v>516</v>
      </c>
      <c r="B517">
        <v>35</v>
      </c>
      <c r="C517" s="1" t="s">
        <v>40</v>
      </c>
      <c r="D517" s="1" t="s">
        <v>52</v>
      </c>
      <c r="E517">
        <v>727</v>
      </c>
      <c r="F517" s="1" t="s">
        <v>42</v>
      </c>
      <c r="G517">
        <v>3</v>
      </c>
      <c r="H517">
        <v>3</v>
      </c>
      <c r="I517" s="1" t="s">
        <v>36</v>
      </c>
      <c r="J517">
        <v>704</v>
      </c>
      <c r="K517">
        <v>3</v>
      </c>
      <c r="L517" s="1" t="s">
        <v>43</v>
      </c>
      <c r="M517">
        <v>41</v>
      </c>
      <c r="N517">
        <v>2</v>
      </c>
      <c r="O517">
        <v>1</v>
      </c>
      <c r="P517" s="1" t="s">
        <v>47</v>
      </c>
      <c r="Q517">
        <v>3</v>
      </c>
      <c r="R517" s="1" t="s">
        <v>45</v>
      </c>
      <c r="S517">
        <v>1281</v>
      </c>
      <c r="T517">
        <v>16900</v>
      </c>
      <c r="U517">
        <v>1</v>
      </c>
      <c r="V517" s="1" t="s">
        <v>40</v>
      </c>
      <c r="W517">
        <v>18</v>
      </c>
      <c r="X517">
        <v>3</v>
      </c>
      <c r="Y517">
        <v>3</v>
      </c>
      <c r="Z517">
        <v>80</v>
      </c>
      <c r="AA517">
        <v>2</v>
      </c>
      <c r="AB517">
        <v>1</v>
      </c>
      <c r="AC517">
        <v>3</v>
      </c>
      <c r="AD517">
        <v>3</v>
      </c>
      <c r="AE517">
        <v>1</v>
      </c>
      <c r="AF517">
        <v>0</v>
      </c>
      <c r="AG517">
        <v>0</v>
      </c>
      <c r="AH517">
        <v>0</v>
      </c>
      <c r="AI517">
        <f>IF(tbl_HRData[[#This Row],[Attrition]] = "Yes",1,0)</f>
        <v>0</v>
      </c>
      <c r="AJ517">
        <f>IF(tbl_HRData[[#This Row],[Attrition]] = "No",1,0)</f>
        <v>1</v>
      </c>
      <c r="AK517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517" s="1" t="str">
        <f>IF(tbl_HRData[[#This Row],[MonthlyIncome]]&lt;5000,"Low",
IF(tbl_HRData[[#This Row],[MonthlyIncome]]&lt;10000,"Medium",
IF(tbl_HRData[[#This Row],[MonthlyIncome]]&lt;15000,"Upper Medium","High")))</f>
        <v>Low</v>
      </c>
      <c r="AM517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518" spans="1:39" x14ac:dyDescent="0.35">
      <c r="A518" s="1">
        <v>517</v>
      </c>
      <c r="B518">
        <v>23</v>
      </c>
      <c r="C518" s="1" t="s">
        <v>40</v>
      </c>
      <c r="D518" s="1" t="s">
        <v>34</v>
      </c>
      <c r="E518">
        <v>885</v>
      </c>
      <c r="F518" s="1" t="s">
        <v>42</v>
      </c>
      <c r="G518">
        <v>4</v>
      </c>
      <c r="H518">
        <v>3</v>
      </c>
      <c r="I518" s="1" t="s">
        <v>48</v>
      </c>
      <c r="J518">
        <v>705</v>
      </c>
      <c r="K518">
        <v>1</v>
      </c>
      <c r="L518" s="1" t="s">
        <v>43</v>
      </c>
      <c r="M518">
        <v>58</v>
      </c>
      <c r="N518">
        <v>4</v>
      </c>
      <c r="O518">
        <v>1</v>
      </c>
      <c r="P518" s="1" t="s">
        <v>44</v>
      </c>
      <c r="Q518">
        <v>1</v>
      </c>
      <c r="R518" s="1" t="s">
        <v>45</v>
      </c>
      <c r="S518">
        <v>2819</v>
      </c>
      <c r="T518">
        <v>8544</v>
      </c>
      <c r="U518">
        <v>2</v>
      </c>
      <c r="V518" s="1" t="s">
        <v>40</v>
      </c>
      <c r="W518">
        <v>16</v>
      </c>
      <c r="X518">
        <v>3</v>
      </c>
      <c r="Y518">
        <v>1</v>
      </c>
      <c r="Z518">
        <v>80</v>
      </c>
      <c r="AA518">
        <v>1</v>
      </c>
      <c r="AB518">
        <v>5</v>
      </c>
      <c r="AC518">
        <v>3</v>
      </c>
      <c r="AD518">
        <v>4</v>
      </c>
      <c r="AE518">
        <v>3</v>
      </c>
      <c r="AF518">
        <v>2</v>
      </c>
      <c r="AG518">
        <v>0</v>
      </c>
      <c r="AH518">
        <v>2</v>
      </c>
      <c r="AI518">
        <f>IF(tbl_HRData[[#This Row],[Attrition]] = "Yes",1,0)</f>
        <v>0</v>
      </c>
      <c r="AJ518">
        <f>IF(tbl_HRData[[#This Row],[Attrition]] = "No",1,0)</f>
        <v>1</v>
      </c>
      <c r="AK518" t="str">
        <f>IF(tbl_HRData[[#This Row],[Age]] &lt; 25, "Under 25", IF(tbl_HRData[[#This Row],[Age]] &lt;= 34, "25-34", IF(tbl_HRData[[#This Row],[Age]] &lt;= 44, "35-44", IF(tbl_HRData[[#This Row],[Age]] &lt;= 54, "45-54", "55+"))))</f>
        <v>Under 25</v>
      </c>
      <c r="AL518" s="1" t="str">
        <f>IF(tbl_HRData[[#This Row],[MonthlyIncome]]&lt;5000,"Low",
IF(tbl_HRData[[#This Row],[MonthlyIncome]]&lt;10000,"Medium",
IF(tbl_HRData[[#This Row],[MonthlyIncome]]&lt;15000,"Upper Medium","High")))</f>
        <v>Low</v>
      </c>
      <c r="AM518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519" spans="1:39" x14ac:dyDescent="0.35">
      <c r="A519" s="1">
        <v>518</v>
      </c>
      <c r="B519">
        <v>25</v>
      </c>
      <c r="C519" s="1" t="s">
        <v>40</v>
      </c>
      <c r="D519" s="1" t="s">
        <v>34</v>
      </c>
      <c r="E519">
        <v>810</v>
      </c>
      <c r="F519" s="1" t="s">
        <v>35</v>
      </c>
      <c r="G519">
        <v>8</v>
      </c>
      <c r="H519">
        <v>3</v>
      </c>
      <c r="I519" s="1" t="s">
        <v>36</v>
      </c>
      <c r="J519">
        <v>707</v>
      </c>
      <c r="K519">
        <v>4</v>
      </c>
      <c r="L519" s="1" t="s">
        <v>43</v>
      </c>
      <c r="M519">
        <v>57</v>
      </c>
      <c r="N519">
        <v>4</v>
      </c>
      <c r="O519">
        <v>2</v>
      </c>
      <c r="P519" s="1" t="s">
        <v>38</v>
      </c>
      <c r="Q519">
        <v>2</v>
      </c>
      <c r="R519" s="1" t="s">
        <v>45</v>
      </c>
      <c r="S519">
        <v>4851</v>
      </c>
      <c r="T519">
        <v>15678</v>
      </c>
      <c r="U519">
        <v>0</v>
      </c>
      <c r="V519" s="1" t="s">
        <v>40</v>
      </c>
      <c r="W519">
        <v>22</v>
      </c>
      <c r="X519">
        <v>4</v>
      </c>
      <c r="Y519">
        <v>3</v>
      </c>
      <c r="Z519">
        <v>80</v>
      </c>
      <c r="AA519">
        <v>1</v>
      </c>
      <c r="AB519">
        <v>4</v>
      </c>
      <c r="AC519">
        <v>4</v>
      </c>
      <c r="AD519">
        <v>3</v>
      </c>
      <c r="AE519">
        <v>3</v>
      </c>
      <c r="AF519">
        <v>2</v>
      </c>
      <c r="AG519">
        <v>1</v>
      </c>
      <c r="AH519">
        <v>2</v>
      </c>
      <c r="AI519">
        <f>IF(tbl_HRData[[#This Row],[Attrition]] = "Yes",1,0)</f>
        <v>0</v>
      </c>
      <c r="AJ519">
        <f>IF(tbl_HRData[[#This Row],[Attrition]] = "No",1,0)</f>
        <v>1</v>
      </c>
      <c r="AK519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519" s="1" t="str">
        <f>IF(tbl_HRData[[#This Row],[MonthlyIncome]]&lt;5000,"Low",
IF(tbl_HRData[[#This Row],[MonthlyIncome]]&lt;10000,"Medium",
IF(tbl_HRData[[#This Row],[MonthlyIncome]]&lt;15000,"Upper Medium","High")))</f>
        <v>Low</v>
      </c>
      <c r="AM519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520" spans="1:39" x14ac:dyDescent="0.35">
      <c r="A520" s="1">
        <v>519</v>
      </c>
      <c r="B520">
        <v>38</v>
      </c>
      <c r="C520" s="1" t="s">
        <v>40</v>
      </c>
      <c r="D520" s="1" t="s">
        <v>34</v>
      </c>
      <c r="E520">
        <v>243</v>
      </c>
      <c r="F520" s="1" t="s">
        <v>35</v>
      </c>
      <c r="G520">
        <v>7</v>
      </c>
      <c r="H520">
        <v>4</v>
      </c>
      <c r="I520" s="1" t="s">
        <v>56</v>
      </c>
      <c r="J520">
        <v>709</v>
      </c>
      <c r="K520">
        <v>4</v>
      </c>
      <c r="L520" s="1" t="s">
        <v>37</v>
      </c>
      <c r="M520">
        <v>46</v>
      </c>
      <c r="N520">
        <v>2</v>
      </c>
      <c r="O520">
        <v>2</v>
      </c>
      <c r="P520" s="1" t="s">
        <v>38</v>
      </c>
      <c r="Q520">
        <v>4</v>
      </c>
      <c r="R520" s="1" t="s">
        <v>39</v>
      </c>
      <c r="S520">
        <v>4028</v>
      </c>
      <c r="T520">
        <v>7791</v>
      </c>
      <c r="U520">
        <v>0</v>
      </c>
      <c r="V520" s="1" t="s">
        <v>40</v>
      </c>
      <c r="W520">
        <v>20</v>
      </c>
      <c r="X520">
        <v>4</v>
      </c>
      <c r="Y520">
        <v>1</v>
      </c>
      <c r="Z520">
        <v>80</v>
      </c>
      <c r="AA520">
        <v>0</v>
      </c>
      <c r="AB520">
        <v>8</v>
      </c>
      <c r="AC520">
        <v>2</v>
      </c>
      <c r="AD520">
        <v>3</v>
      </c>
      <c r="AE520">
        <v>7</v>
      </c>
      <c r="AF520">
        <v>7</v>
      </c>
      <c r="AG520">
        <v>0</v>
      </c>
      <c r="AH520">
        <v>5</v>
      </c>
      <c r="AI520">
        <f>IF(tbl_HRData[[#This Row],[Attrition]] = "Yes",1,0)</f>
        <v>0</v>
      </c>
      <c r="AJ520">
        <f>IF(tbl_HRData[[#This Row],[Attrition]] = "No",1,0)</f>
        <v>1</v>
      </c>
      <c r="AK520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520" s="1" t="str">
        <f>IF(tbl_HRData[[#This Row],[MonthlyIncome]]&lt;5000,"Low",
IF(tbl_HRData[[#This Row],[MonthlyIncome]]&lt;10000,"Medium",
IF(tbl_HRData[[#This Row],[MonthlyIncome]]&lt;15000,"Upper Medium","High")))</f>
        <v>Low</v>
      </c>
      <c r="AM520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521" spans="1:39" x14ac:dyDescent="0.35">
      <c r="A521" s="1">
        <v>520</v>
      </c>
      <c r="B521">
        <v>29</v>
      </c>
      <c r="C521" s="1" t="s">
        <v>40</v>
      </c>
      <c r="D521" s="1" t="s">
        <v>41</v>
      </c>
      <c r="E521">
        <v>806</v>
      </c>
      <c r="F521" s="1" t="s">
        <v>42</v>
      </c>
      <c r="G521">
        <v>1</v>
      </c>
      <c r="H521">
        <v>4</v>
      </c>
      <c r="I521" s="1" t="s">
        <v>36</v>
      </c>
      <c r="J521">
        <v>710</v>
      </c>
      <c r="K521">
        <v>2</v>
      </c>
      <c r="L521" s="1" t="s">
        <v>43</v>
      </c>
      <c r="M521">
        <v>76</v>
      </c>
      <c r="N521">
        <v>1</v>
      </c>
      <c r="O521">
        <v>1</v>
      </c>
      <c r="P521" s="1" t="s">
        <v>44</v>
      </c>
      <c r="Q521">
        <v>4</v>
      </c>
      <c r="R521" s="1" t="s">
        <v>49</v>
      </c>
      <c r="S521">
        <v>2720</v>
      </c>
      <c r="T521">
        <v>18959</v>
      </c>
      <c r="U521">
        <v>1</v>
      </c>
      <c r="V521" s="1" t="s">
        <v>40</v>
      </c>
      <c r="W521">
        <v>18</v>
      </c>
      <c r="X521">
        <v>3</v>
      </c>
      <c r="Y521">
        <v>4</v>
      </c>
      <c r="Z521">
        <v>80</v>
      </c>
      <c r="AA521">
        <v>1</v>
      </c>
      <c r="AB521">
        <v>10</v>
      </c>
      <c r="AC521">
        <v>5</v>
      </c>
      <c r="AD521">
        <v>3</v>
      </c>
      <c r="AE521">
        <v>10</v>
      </c>
      <c r="AF521">
        <v>7</v>
      </c>
      <c r="AG521">
        <v>2</v>
      </c>
      <c r="AH521">
        <v>8</v>
      </c>
      <c r="AI521">
        <f>IF(tbl_HRData[[#This Row],[Attrition]] = "Yes",1,0)</f>
        <v>0</v>
      </c>
      <c r="AJ521">
        <f>IF(tbl_HRData[[#This Row],[Attrition]] = "No",1,0)</f>
        <v>1</v>
      </c>
      <c r="AK521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521" s="1" t="str">
        <f>IF(tbl_HRData[[#This Row],[MonthlyIncome]]&lt;5000,"Low",
IF(tbl_HRData[[#This Row],[MonthlyIncome]]&lt;10000,"Medium",
IF(tbl_HRData[[#This Row],[MonthlyIncome]]&lt;15000,"Upper Medium","High")))</f>
        <v>Low</v>
      </c>
      <c r="AM521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522" spans="1:39" x14ac:dyDescent="0.35">
      <c r="A522" s="1">
        <v>521</v>
      </c>
      <c r="B522">
        <v>48</v>
      </c>
      <c r="C522" s="1" t="s">
        <v>40</v>
      </c>
      <c r="D522" s="1" t="s">
        <v>34</v>
      </c>
      <c r="E522">
        <v>817</v>
      </c>
      <c r="F522" s="1" t="s">
        <v>35</v>
      </c>
      <c r="G522">
        <v>2</v>
      </c>
      <c r="H522">
        <v>1</v>
      </c>
      <c r="I522" s="1" t="s">
        <v>56</v>
      </c>
      <c r="J522">
        <v>712</v>
      </c>
      <c r="K522">
        <v>2</v>
      </c>
      <c r="L522" s="1" t="s">
        <v>43</v>
      </c>
      <c r="M522">
        <v>56</v>
      </c>
      <c r="N522">
        <v>4</v>
      </c>
      <c r="O522">
        <v>2</v>
      </c>
      <c r="P522" s="1" t="s">
        <v>38</v>
      </c>
      <c r="Q522">
        <v>2</v>
      </c>
      <c r="R522" s="1" t="s">
        <v>45</v>
      </c>
      <c r="S522">
        <v>8120</v>
      </c>
      <c r="T522">
        <v>18597</v>
      </c>
      <c r="U522">
        <v>3</v>
      </c>
      <c r="V522" s="1" t="s">
        <v>40</v>
      </c>
      <c r="W522">
        <v>12</v>
      </c>
      <c r="X522">
        <v>3</v>
      </c>
      <c r="Y522">
        <v>4</v>
      </c>
      <c r="Z522">
        <v>80</v>
      </c>
      <c r="AA522">
        <v>0</v>
      </c>
      <c r="AB522">
        <v>12</v>
      </c>
      <c r="AC522">
        <v>3</v>
      </c>
      <c r="AD522">
        <v>3</v>
      </c>
      <c r="AE522">
        <v>2</v>
      </c>
      <c r="AF522">
        <v>2</v>
      </c>
      <c r="AG522">
        <v>2</v>
      </c>
      <c r="AH522">
        <v>2</v>
      </c>
      <c r="AI522">
        <f>IF(tbl_HRData[[#This Row],[Attrition]] = "Yes",1,0)</f>
        <v>0</v>
      </c>
      <c r="AJ522">
        <f>IF(tbl_HRData[[#This Row],[Attrition]] = "No",1,0)</f>
        <v>1</v>
      </c>
      <c r="AK522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522" s="1" t="str">
        <f>IF(tbl_HRData[[#This Row],[MonthlyIncome]]&lt;5000,"Low",
IF(tbl_HRData[[#This Row],[MonthlyIncome]]&lt;10000,"Medium",
IF(tbl_HRData[[#This Row],[MonthlyIncome]]&lt;15000,"Upper Medium","High")))</f>
        <v>Medium</v>
      </c>
      <c r="AM522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523" spans="1:39" x14ac:dyDescent="0.35">
      <c r="A523" s="1">
        <v>522</v>
      </c>
      <c r="B523">
        <v>27</v>
      </c>
      <c r="C523" s="1" t="s">
        <v>40</v>
      </c>
      <c r="D523" s="1" t="s">
        <v>41</v>
      </c>
      <c r="E523">
        <v>1410</v>
      </c>
      <c r="F523" s="1" t="s">
        <v>35</v>
      </c>
      <c r="G523">
        <v>3</v>
      </c>
      <c r="H523">
        <v>1</v>
      </c>
      <c r="I523" s="1" t="s">
        <v>48</v>
      </c>
      <c r="J523">
        <v>714</v>
      </c>
      <c r="K523">
        <v>4</v>
      </c>
      <c r="L523" s="1" t="s">
        <v>37</v>
      </c>
      <c r="M523">
        <v>71</v>
      </c>
      <c r="N523">
        <v>4</v>
      </c>
      <c r="O523">
        <v>2</v>
      </c>
      <c r="P523" s="1" t="s">
        <v>38</v>
      </c>
      <c r="Q523">
        <v>4</v>
      </c>
      <c r="R523" s="1" t="s">
        <v>49</v>
      </c>
      <c r="S523">
        <v>4647</v>
      </c>
      <c r="T523">
        <v>16673</v>
      </c>
      <c r="U523">
        <v>1</v>
      </c>
      <c r="V523" s="1" t="s">
        <v>33</v>
      </c>
      <c r="W523">
        <v>20</v>
      </c>
      <c r="X523">
        <v>4</v>
      </c>
      <c r="Y523">
        <v>2</v>
      </c>
      <c r="Z523">
        <v>80</v>
      </c>
      <c r="AA523">
        <v>2</v>
      </c>
      <c r="AB523">
        <v>6</v>
      </c>
      <c r="AC523">
        <v>3</v>
      </c>
      <c r="AD523">
        <v>3</v>
      </c>
      <c r="AE523">
        <v>6</v>
      </c>
      <c r="AF523">
        <v>5</v>
      </c>
      <c r="AG523">
        <v>0</v>
      </c>
      <c r="AH523">
        <v>4</v>
      </c>
      <c r="AI523">
        <f>IF(tbl_HRData[[#This Row],[Attrition]] = "Yes",1,0)</f>
        <v>0</v>
      </c>
      <c r="AJ523">
        <f>IF(tbl_HRData[[#This Row],[Attrition]] = "No",1,0)</f>
        <v>1</v>
      </c>
      <c r="AK523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523" s="1" t="str">
        <f>IF(tbl_HRData[[#This Row],[MonthlyIncome]]&lt;5000,"Low",
IF(tbl_HRData[[#This Row],[MonthlyIncome]]&lt;10000,"Medium",
IF(tbl_HRData[[#This Row],[MonthlyIncome]]&lt;15000,"Upper Medium","High")))</f>
        <v>Low</v>
      </c>
      <c r="AM523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524" spans="1:39" x14ac:dyDescent="0.35">
      <c r="A524" s="1">
        <v>523</v>
      </c>
      <c r="B524">
        <v>37</v>
      </c>
      <c r="C524" s="1" t="s">
        <v>40</v>
      </c>
      <c r="D524" s="1" t="s">
        <v>34</v>
      </c>
      <c r="E524">
        <v>1225</v>
      </c>
      <c r="F524" s="1" t="s">
        <v>42</v>
      </c>
      <c r="G524">
        <v>10</v>
      </c>
      <c r="H524">
        <v>2</v>
      </c>
      <c r="I524" s="1" t="s">
        <v>36</v>
      </c>
      <c r="J524">
        <v>715</v>
      </c>
      <c r="K524">
        <v>4</v>
      </c>
      <c r="L524" s="1" t="s">
        <v>43</v>
      </c>
      <c r="M524">
        <v>80</v>
      </c>
      <c r="N524">
        <v>4</v>
      </c>
      <c r="O524">
        <v>1</v>
      </c>
      <c r="P524" s="1" t="s">
        <v>44</v>
      </c>
      <c r="Q524">
        <v>4</v>
      </c>
      <c r="R524" s="1" t="s">
        <v>39</v>
      </c>
      <c r="S524">
        <v>4680</v>
      </c>
      <c r="T524">
        <v>15232</v>
      </c>
      <c r="U524">
        <v>3</v>
      </c>
      <c r="V524" s="1" t="s">
        <v>40</v>
      </c>
      <c r="W524">
        <v>17</v>
      </c>
      <c r="X524">
        <v>3</v>
      </c>
      <c r="Y524">
        <v>1</v>
      </c>
      <c r="Z524">
        <v>80</v>
      </c>
      <c r="AA524">
        <v>0</v>
      </c>
      <c r="AB524">
        <v>4</v>
      </c>
      <c r="AC524">
        <v>2</v>
      </c>
      <c r="AD524">
        <v>3</v>
      </c>
      <c r="AE524">
        <v>1</v>
      </c>
      <c r="AF524">
        <v>0</v>
      </c>
      <c r="AG524">
        <v>0</v>
      </c>
      <c r="AH524">
        <v>0</v>
      </c>
      <c r="AI524">
        <f>IF(tbl_HRData[[#This Row],[Attrition]] = "Yes",1,0)</f>
        <v>0</v>
      </c>
      <c r="AJ524">
        <f>IF(tbl_HRData[[#This Row],[Attrition]] = "No",1,0)</f>
        <v>1</v>
      </c>
      <c r="AK524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524" s="1" t="str">
        <f>IF(tbl_HRData[[#This Row],[MonthlyIncome]]&lt;5000,"Low",
IF(tbl_HRData[[#This Row],[MonthlyIncome]]&lt;10000,"Medium",
IF(tbl_HRData[[#This Row],[MonthlyIncome]]&lt;15000,"Upper Medium","High")))</f>
        <v>Low</v>
      </c>
      <c r="AM524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525" spans="1:39" x14ac:dyDescent="0.35">
      <c r="A525" s="1">
        <v>524</v>
      </c>
      <c r="B525">
        <v>50</v>
      </c>
      <c r="C525" s="1" t="s">
        <v>40</v>
      </c>
      <c r="D525" s="1" t="s">
        <v>34</v>
      </c>
      <c r="E525">
        <v>1207</v>
      </c>
      <c r="F525" s="1" t="s">
        <v>42</v>
      </c>
      <c r="G525">
        <v>28</v>
      </c>
      <c r="H525">
        <v>1</v>
      </c>
      <c r="I525" s="1" t="s">
        <v>48</v>
      </c>
      <c r="J525">
        <v>716</v>
      </c>
      <c r="K525">
        <v>4</v>
      </c>
      <c r="L525" s="1" t="s">
        <v>43</v>
      </c>
      <c r="M525">
        <v>74</v>
      </c>
      <c r="N525">
        <v>4</v>
      </c>
      <c r="O525">
        <v>1</v>
      </c>
      <c r="P525" s="1" t="s">
        <v>47</v>
      </c>
      <c r="Q525">
        <v>3</v>
      </c>
      <c r="R525" s="1" t="s">
        <v>45</v>
      </c>
      <c r="S525">
        <v>3221</v>
      </c>
      <c r="T525">
        <v>3297</v>
      </c>
      <c r="U525">
        <v>1</v>
      </c>
      <c r="V525" s="1" t="s">
        <v>33</v>
      </c>
      <c r="W525">
        <v>11</v>
      </c>
      <c r="X525">
        <v>3</v>
      </c>
      <c r="Y525">
        <v>3</v>
      </c>
      <c r="Z525">
        <v>80</v>
      </c>
      <c r="AA525">
        <v>3</v>
      </c>
      <c r="AB525">
        <v>20</v>
      </c>
      <c r="AC525">
        <v>3</v>
      </c>
      <c r="AD525">
        <v>3</v>
      </c>
      <c r="AE525">
        <v>20</v>
      </c>
      <c r="AF525">
        <v>8</v>
      </c>
      <c r="AG525">
        <v>3</v>
      </c>
      <c r="AH525">
        <v>8</v>
      </c>
      <c r="AI525">
        <f>IF(tbl_HRData[[#This Row],[Attrition]] = "Yes",1,0)</f>
        <v>0</v>
      </c>
      <c r="AJ525">
        <f>IF(tbl_HRData[[#This Row],[Attrition]] = "No",1,0)</f>
        <v>1</v>
      </c>
      <c r="AK525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525" s="1" t="str">
        <f>IF(tbl_HRData[[#This Row],[MonthlyIncome]]&lt;5000,"Low",
IF(tbl_HRData[[#This Row],[MonthlyIncome]]&lt;10000,"Medium",
IF(tbl_HRData[[#This Row],[MonthlyIncome]]&lt;15000,"Upper Medium","High")))</f>
        <v>Low</v>
      </c>
      <c r="AM525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526" spans="1:39" x14ac:dyDescent="0.35">
      <c r="A526" s="1">
        <v>525</v>
      </c>
      <c r="B526">
        <v>34</v>
      </c>
      <c r="C526" s="1" t="s">
        <v>40</v>
      </c>
      <c r="D526" s="1" t="s">
        <v>34</v>
      </c>
      <c r="E526">
        <v>1442</v>
      </c>
      <c r="F526" s="1" t="s">
        <v>42</v>
      </c>
      <c r="G526">
        <v>9</v>
      </c>
      <c r="H526">
        <v>3</v>
      </c>
      <c r="I526" s="1" t="s">
        <v>48</v>
      </c>
      <c r="J526">
        <v>717</v>
      </c>
      <c r="K526">
        <v>4</v>
      </c>
      <c r="L526" s="1" t="s">
        <v>37</v>
      </c>
      <c r="M526">
        <v>46</v>
      </c>
      <c r="N526">
        <v>2</v>
      </c>
      <c r="O526">
        <v>3</v>
      </c>
      <c r="P526" s="1" t="s">
        <v>51</v>
      </c>
      <c r="Q526">
        <v>2</v>
      </c>
      <c r="R526" s="1" t="s">
        <v>39</v>
      </c>
      <c r="S526">
        <v>8621</v>
      </c>
      <c r="T526">
        <v>17654</v>
      </c>
      <c r="U526">
        <v>1</v>
      </c>
      <c r="V526" s="1" t="s">
        <v>40</v>
      </c>
      <c r="W526">
        <v>14</v>
      </c>
      <c r="X526">
        <v>3</v>
      </c>
      <c r="Y526">
        <v>2</v>
      </c>
      <c r="Z526">
        <v>80</v>
      </c>
      <c r="AA526">
        <v>0</v>
      </c>
      <c r="AB526">
        <v>9</v>
      </c>
      <c r="AC526">
        <v>3</v>
      </c>
      <c r="AD526">
        <v>4</v>
      </c>
      <c r="AE526">
        <v>8</v>
      </c>
      <c r="AF526">
        <v>7</v>
      </c>
      <c r="AG526">
        <v>7</v>
      </c>
      <c r="AH526">
        <v>7</v>
      </c>
      <c r="AI526">
        <f>IF(tbl_HRData[[#This Row],[Attrition]] = "Yes",1,0)</f>
        <v>0</v>
      </c>
      <c r="AJ526">
        <f>IF(tbl_HRData[[#This Row],[Attrition]] = "No",1,0)</f>
        <v>1</v>
      </c>
      <c r="AK526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526" s="1" t="str">
        <f>IF(tbl_HRData[[#This Row],[MonthlyIncome]]&lt;5000,"Low",
IF(tbl_HRData[[#This Row],[MonthlyIncome]]&lt;10000,"Medium",
IF(tbl_HRData[[#This Row],[MonthlyIncome]]&lt;15000,"Upper Medium","High")))</f>
        <v>Medium</v>
      </c>
      <c r="AM526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527" spans="1:39" x14ac:dyDescent="0.35">
      <c r="A527" s="1">
        <v>526</v>
      </c>
      <c r="B527">
        <v>24</v>
      </c>
      <c r="C527" s="1" t="s">
        <v>33</v>
      </c>
      <c r="D527" s="1" t="s">
        <v>34</v>
      </c>
      <c r="E527">
        <v>693</v>
      </c>
      <c r="F527" s="1" t="s">
        <v>35</v>
      </c>
      <c r="G527">
        <v>3</v>
      </c>
      <c r="H527">
        <v>2</v>
      </c>
      <c r="I527" s="1" t="s">
        <v>36</v>
      </c>
      <c r="J527">
        <v>720</v>
      </c>
      <c r="K527">
        <v>1</v>
      </c>
      <c r="L527" s="1" t="s">
        <v>37</v>
      </c>
      <c r="M527">
        <v>65</v>
      </c>
      <c r="N527">
        <v>3</v>
      </c>
      <c r="O527">
        <v>2</v>
      </c>
      <c r="P527" s="1" t="s">
        <v>38</v>
      </c>
      <c r="Q527">
        <v>3</v>
      </c>
      <c r="R527" s="1" t="s">
        <v>39</v>
      </c>
      <c r="S527">
        <v>4577</v>
      </c>
      <c r="T527">
        <v>24785</v>
      </c>
      <c r="U527">
        <v>9</v>
      </c>
      <c r="V527" s="1" t="s">
        <v>40</v>
      </c>
      <c r="W527">
        <v>14</v>
      </c>
      <c r="X527">
        <v>3</v>
      </c>
      <c r="Y527">
        <v>1</v>
      </c>
      <c r="Z527">
        <v>80</v>
      </c>
      <c r="AA527">
        <v>0</v>
      </c>
      <c r="AB527">
        <v>4</v>
      </c>
      <c r="AC527">
        <v>3</v>
      </c>
      <c r="AD527">
        <v>3</v>
      </c>
      <c r="AE527">
        <v>2</v>
      </c>
      <c r="AF527">
        <v>2</v>
      </c>
      <c r="AG527">
        <v>2</v>
      </c>
      <c r="AH527">
        <v>0</v>
      </c>
      <c r="AI527">
        <f>IF(tbl_HRData[[#This Row],[Attrition]] = "Yes",1,0)</f>
        <v>1</v>
      </c>
      <c r="AJ527">
        <f>IF(tbl_HRData[[#This Row],[Attrition]] = "No",1,0)</f>
        <v>0</v>
      </c>
      <c r="AK527" t="str">
        <f>IF(tbl_HRData[[#This Row],[Age]] &lt; 25, "Under 25", IF(tbl_HRData[[#This Row],[Age]] &lt;= 34, "25-34", IF(tbl_HRData[[#This Row],[Age]] &lt;= 44, "35-44", IF(tbl_HRData[[#This Row],[Age]] &lt;= 54, "45-54", "55+"))))</f>
        <v>Under 25</v>
      </c>
      <c r="AL527" s="1" t="str">
        <f>IF(tbl_HRData[[#This Row],[MonthlyIncome]]&lt;5000,"Low",
IF(tbl_HRData[[#This Row],[MonthlyIncome]]&lt;10000,"Medium",
IF(tbl_HRData[[#This Row],[MonthlyIncome]]&lt;15000,"Upper Medium","High")))</f>
        <v>Low</v>
      </c>
      <c r="AM527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528" spans="1:39" x14ac:dyDescent="0.35">
      <c r="A528" s="1">
        <v>527</v>
      </c>
      <c r="B528">
        <v>39</v>
      </c>
      <c r="C528" s="1" t="s">
        <v>40</v>
      </c>
      <c r="D528" s="1" t="s">
        <v>34</v>
      </c>
      <c r="E528">
        <v>408</v>
      </c>
      <c r="F528" s="1" t="s">
        <v>42</v>
      </c>
      <c r="G528">
        <v>2</v>
      </c>
      <c r="H528">
        <v>4</v>
      </c>
      <c r="I528" s="1" t="s">
        <v>57</v>
      </c>
      <c r="J528">
        <v>721</v>
      </c>
      <c r="K528">
        <v>4</v>
      </c>
      <c r="L528" s="1" t="s">
        <v>37</v>
      </c>
      <c r="M528">
        <v>80</v>
      </c>
      <c r="N528">
        <v>2</v>
      </c>
      <c r="O528">
        <v>2</v>
      </c>
      <c r="P528" s="1" t="s">
        <v>51</v>
      </c>
      <c r="Q528">
        <v>3</v>
      </c>
      <c r="R528" s="1" t="s">
        <v>39</v>
      </c>
      <c r="S528">
        <v>4553</v>
      </c>
      <c r="T528">
        <v>20978</v>
      </c>
      <c r="U528">
        <v>1</v>
      </c>
      <c r="V528" s="1" t="s">
        <v>40</v>
      </c>
      <c r="W528">
        <v>11</v>
      </c>
      <c r="X528">
        <v>3</v>
      </c>
      <c r="Y528">
        <v>1</v>
      </c>
      <c r="Z528">
        <v>80</v>
      </c>
      <c r="AA528">
        <v>0</v>
      </c>
      <c r="AB528">
        <v>20</v>
      </c>
      <c r="AC528">
        <v>4</v>
      </c>
      <c r="AD528">
        <v>3</v>
      </c>
      <c r="AE528">
        <v>20</v>
      </c>
      <c r="AF528">
        <v>7</v>
      </c>
      <c r="AG528">
        <v>11</v>
      </c>
      <c r="AH528">
        <v>10</v>
      </c>
      <c r="AI528">
        <f>IF(tbl_HRData[[#This Row],[Attrition]] = "Yes",1,0)</f>
        <v>0</v>
      </c>
      <c r="AJ528">
        <f>IF(tbl_HRData[[#This Row],[Attrition]] = "No",1,0)</f>
        <v>1</v>
      </c>
      <c r="AK528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528" s="1" t="str">
        <f>IF(tbl_HRData[[#This Row],[MonthlyIncome]]&lt;5000,"Low",
IF(tbl_HRData[[#This Row],[MonthlyIncome]]&lt;10000,"Medium",
IF(tbl_HRData[[#This Row],[MonthlyIncome]]&lt;15000,"Upper Medium","High")))</f>
        <v>Low</v>
      </c>
      <c r="AM528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529" spans="1:39" x14ac:dyDescent="0.35">
      <c r="A529" s="1">
        <v>528</v>
      </c>
      <c r="B529">
        <v>32</v>
      </c>
      <c r="C529" s="1" t="s">
        <v>40</v>
      </c>
      <c r="D529" s="1" t="s">
        <v>34</v>
      </c>
      <c r="E529">
        <v>929</v>
      </c>
      <c r="F529" s="1" t="s">
        <v>35</v>
      </c>
      <c r="G529">
        <v>10</v>
      </c>
      <c r="H529">
        <v>3</v>
      </c>
      <c r="I529" s="1" t="s">
        <v>56</v>
      </c>
      <c r="J529">
        <v>722</v>
      </c>
      <c r="K529">
        <v>4</v>
      </c>
      <c r="L529" s="1" t="s">
        <v>43</v>
      </c>
      <c r="M529">
        <v>55</v>
      </c>
      <c r="N529">
        <v>3</v>
      </c>
      <c r="O529">
        <v>2</v>
      </c>
      <c r="P529" s="1" t="s">
        <v>38</v>
      </c>
      <c r="Q529">
        <v>4</v>
      </c>
      <c r="R529" s="1" t="s">
        <v>39</v>
      </c>
      <c r="S529">
        <v>5396</v>
      </c>
      <c r="T529">
        <v>21703</v>
      </c>
      <c r="U529">
        <v>1</v>
      </c>
      <c r="V529" s="1" t="s">
        <v>40</v>
      </c>
      <c r="W529">
        <v>12</v>
      </c>
      <c r="X529">
        <v>3</v>
      </c>
      <c r="Y529">
        <v>4</v>
      </c>
      <c r="Z529">
        <v>80</v>
      </c>
      <c r="AA529">
        <v>0</v>
      </c>
      <c r="AB529">
        <v>10</v>
      </c>
      <c r="AC529">
        <v>2</v>
      </c>
      <c r="AD529">
        <v>2</v>
      </c>
      <c r="AE529">
        <v>10</v>
      </c>
      <c r="AF529">
        <v>7</v>
      </c>
      <c r="AG529">
        <v>0</v>
      </c>
      <c r="AH529">
        <v>8</v>
      </c>
      <c r="AI529">
        <f>IF(tbl_HRData[[#This Row],[Attrition]] = "Yes",1,0)</f>
        <v>0</v>
      </c>
      <c r="AJ529">
        <f>IF(tbl_HRData[[#This Row],[Attrition]] = "No",1,0)</f>
        <v>1</v>
      </c>
      <c r="AK529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529" s="1" t="str">
        <f>IF(tbl_HRData[[#This Row],[MonthlyIncome]]&lt;5000,"Low",
IF(tbl_HRData[[#This Row],[MonthlyIncome]]&lt;10000,"Medium",
IF(tbl_HRData[[#This Row],[MonthlyIncome]]&lt;15000,"Upper Medium","High")))</f>
        <v>Medium</v>
      </c>
      <c r="AM529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530" spans="1:39" x14ac:dyDescent="0.35">
      <c r="A530" s="1">
        <v>529</v>
      </c>
      <c r="B530">
        <v>50</v>
      </c>
      <c r="C530" s="1" t="s">
        <v>33</v>
      </c>
      <c r="D530" s="1" t="s">
        <v>41</v>
      </c>
      <c r="E530">
        <v>562</v>
      </c>
      <c r="F530" s="1" t="s">
        <v>35</v>
      </c>
      <c r="G530">
        <v>8</v>
      </c>
      <c r="H530">
        <v>2</v>
      </c>
      <c r="I530" s="1" t="s">
        <v>57</v>
      </c>
      <c r="J530">
        <v>723</v>
      </c>
      <c r="K530">
        <v>2</v>
      </c>
      <c r="L530" s="1" t="s">
        <v>43</v>
      </c>
      <c r="M530">
        <v>50</v>
      </c>
      <c r="N530">
        <v>3</v>
      </c>
      <c r="O530">
        <v>2</v>
      </c>
      <c r="P530" s="1" t="s">
        <v>38</v>
      </c>
      <c r="Q530">
        <v>3</v>
      </c>
      <c r="R530" s="1" t="s">
        <v>45</v>
      </c>
      <c r="S530">
        <v>6796</v>
      </c>
      <c r="T530">
        <v>23452</v>
      </c>
      <c r="U530">
        <v>3</v>
      </c>
      <c r="V530" s="1" t="s">
        <v>33</v>
      </c>
      <c r="W530">
        <v>14</v>
      </c>
      <c r="X530">
        <v>3</v>
      </c>
      <c r="Y530">
        <v>1</v>
      </c>
      <c r="Z530">
        <v>80</v>
      </c>
      <c r="AA530">
        <v>1</v>
      </c>
      <c r="AB530">
        <v>18</v>
      </c>
      <c r="AC530">
        <v>4</v>
      </c>
      <c r="AD530">
        <v>3</v>
      </c>
      <c r="AE530">
        <v>4</v>
      </c>
      <c r="AF530">
        <v>3</v>
      </c>
      <c r="AG530">
        <v>1</v>
      </c>
      <c r="AH530">
        <v>3</v>
      </c>
      <c r="AI530">
        <f>IF(tbl_HRData[[#This Row],[Attrition]] = "Yes",1,0)</f>
        <v>1</v>
      </c>
      <c r="AJ530">
        <f>IF(tbl_HRData[[#This Row],[Attrition]] = "No",1,0)</f>
        <v>0</v>
      </c>
      <c r="AK530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530" s="1" t="str">
        <f>IF(tbl_HRData[[#This Row],[MonthlyIncome]]&lt;5000,"Low",
IF(tbl_HRData[[#This Row],[MonthlyIncome]]&lt;10000,"Medium",
IF(tbl_HRData[[#This Row],[MonthlyIncome]]&lt;15000,"Upper Medium","High")))</f>
        <v>Medium</v>
      </c>
      <c r="AM530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531" spans="1:39" x14ac:dyDescent="0.35">
      <c r="A531" s="1">
        <v>530</v>
      </c>
      <c r="B531">
        <v>38</v>
      </c>
      <c r="C531" s="1" t="s">
        <v>40</v>
      </c>
      <c r="D531" s="1" t="s">
        <v>34</v>
      </c>
      <c r="E531">
        <v>827</v>
      </c>
      <c r="F531" s="1" t="s">
        <v>42</v>
      </c>
      <c r="G531">
        <v>1</v>
      </c>
      <c r="H531">
        <v>4</v>
      </c>
      <c r="I531" s="1" t="s">
        <v>36</v>
      </c>
      <c r="J531">
        <v>724</v>
      </c>
      <c r="K531">
        <v>2</v>
      </c>
      <c r="L531" s="1" t="s">
        <v>37</v>
      </c>
      <c r="M531">
        <v>33</v>
      </c>
      <c r="N531">
        <v>4</v>
      </c>
      <c r="O531">
        <v>2</v>
      </c>
      <c r="P531" s="1" t="s">
        <v>51</v>
      </c>
      <c r="Q531">
        <v>4</v>
      </c>
      <c r="R531" s="1" t="s">
        <v>39</v>
      </c>
      <c r="S531">
        <v>7625</v>
      </c>
      <c r="T531">
        <v>19383</v>
      </c>
      <c r="U531">
        <v>0</v>
      </c>
      <c r="V531" s="1" t="s">
        <v>40</v>
      </c>
      <c r="W531">
        <v>13</v>
      </c>
      <c r="X531">
        <v>3</v>
      </c>
      <c r="Y531">
        <v>3</v>
      </c>
      <c r="Z531">
        <v>80</v>
      </c>
      <c r="AA531">
        <v>0</v>
      </c>
      <c r="AB531">
        <v>10</v>
      </c>
      <c r="AC531">
        <v>4</v>
      </c>
      <c r="AD531">
        <v>2</v>
      </c>
      <c r="AE531">
        <v>9</v>
      </c>
      <c r="AF531">
        <v>7</v>
      </c>
      <c r="AG531">
        <v>1</v>
      </c>
      <c r="AH531">
        <v>8</v>
      </c>
      <c r="AI531">
        <f>IF(tbl_HRData[[#This Row],[Attrition]] = "Yes",1,0)</f>
        <v>0</v>
      </c>
      <c r="AJ531">
        <f>IF(tbl_HRData[[#This Row],[Attrition]] = "No",1,0)</f>
        <v>1</v>
      </c>
      <c r="AK531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531" s="1" t="str">
        <f>IF(tbl_HRData[[#This Row],[MonthlyIncome]]&lt;5000,"Low",
IF(tbl_HRData[[#This Row],[MonthlyIncome]]&lt;10000,"Medium",
IF(tbl_HRData[[#This Row],[MonthlyIncome]]&lt;15000,"Upper Medium","High")))</f>
        <v>Medium</v>
      </c>
      <c r="AM531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532" spans="1:39" x14ac:dyDescent="0.35">
      <c r="A532" s="1">
        <v>531</v>
      </c>
      <c r="B532">
        <v>27</v>
      </c>
      <c r="C532" s="1" t="s">
        <v>40</v>
      </c>
      <c r="D532" s="1" t="s">
        <v>34</v>
      </c>
      <c r="E532">
        <v>608</v>
      </c>
      <c r="F532" s="1" t="s">
        <v>42</v>
      </c>
      <c r="G532">
        <v>1</v>
      </c>
      <c r="H532">
        <v>2</v>
      </c>
      <c r="I532" s="1" t="s">
        <v>36</v>
      </c>
      <c r="J532">
        <v>725</v>
      </c>
      <c r="K532">
        <v>3</v>
      </c>
      <c r="L532" s="1" t="s">
        <v>37</v>
      </c>
      <c r="M532">
        <v>68</v>
      </c>
      <c r="N532">
        <v>3</v>
      </c>
      <c r="O532">
        <v>3</v>
      </c>
      <c r="P532" s="1" t="s">
        <v>50</v>
      </c>
      <c r="Q532">
        <v>1</v>
      </c>
      <c r="R532" s="1" t="s">
        <v>45</v>
      </c>
      <c r="S532">
        <v>7412</v>
      </c>
      <c r="T532">
        <v>6009</v>
      </c>
      <c r="U532">
        <v>1</v>
      </c>
      <c r="V532" s="1" t="s">
        <v>40</v>
      </c>
      <c r="W532">
        <v>11</v>
      </c>
      <c r="X532">
        <v>3</v>
      </c>
      <c r="Y532">
        <v>4</v>
      </c>
      <c r="Z532">
        <v>80</v>
      </c>
      <c r="AA532">
        <v>0</v>
      </c>
      <c r="AB532">
        <v>9</v>
      </c>
      <c r="AC532">
        <v>3</v>
      </c>
      <c r="AD532">
        <v>3</v>
      </c>
      <c r="AE532">
        <v>9</v>
      </c>
      <c r="AF532">
        <v>7</v>
      </c>
      <c r="AG532">
        <v>0</v>
      </c>
      <c r="AH532">
        <v>7</v>
      </c>
      <c r="AI532">
        <f>IF(tbl_HRData[[#This Row],[Attrition]] = "Yes",1,0)</f>
        <v>0</v>
      </c>
      <c r="AJ532">
        <f>IF(tbl_HRData[[#This Row],[Attrition]] = "No",1,0)</f>
        <v>1</v>
      </c>
      <c r="AK532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532" s="1" t="str">
        <f>IF(tbl_HRData[[#This Row],[MonthlyIncome]]&lt;5000,"Low",
IF(tbl_HRData[[#This Row],[MonthlyIncome]]&lt;10000,"Medium",
IF(tbl_HRData[[#This Row],[MonthlyIncome]]&lt;15000,"Upper Medium","High")))</f>
        <v>Medium</v>
      </c>
      <c r="AM532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533" spans="1:39" x14ac:dyDescent="0.35">
      <c r="A533" s="1">
        <v>532</v>
      </c>
      <c r="B533">
        <v>32</v>
      </c>
      <c r="C533" s="1" t="s">
        <v>40</v>
      </c>
      <c r="D533" s="1" t="s">
        <v>34</v>
      </c>
      <c r="E533">
        <v>1018</v>
      </c>
      <c r="F533" s="1" t="s">
        <v>42</v>
      </c>
      <c r="G533">
        <v>3</v>
      </c>
      <c r="H533">
        <v>2</v>
      </c>
      <c r="I533" s="1" t="s">
        <v>36</v>
      </c>
      <c r="J533">
        <v>727</v>
      </c>
      <c r="K533">
        <v>3</v>
      </c>
      <c r="L533" s="1" t="s">
        <v>37</v>
      </c>
      <c r="M533">
        <v>39</v>
      </c>
      <c r="N533">
        <v>3</v>
      </c>
      <c r="O533">
        <v>3</v>
      </c>
      <c r="P533" s="1" t="s">
        <v>55</v>
      </c>
      <c r="Q533">
        <v>4</v>
      </c>
      <c r="R533" s="1" t="s">
        <v>39</v>
      </c>
      <c r="S533">
        <v>11159</v>
      </c>
      <c r="T533">
        <v>19373</v>
      </c>
      <c r="U533">
        <v>3</v>
      </c>
      <c r="V533" s="1" t="s">
        <v>40</v>
      </c>
      <c r="W533">
        <v>15</v>
      </c>
      <c r="X533">
        <v>3</v>
      </c>
      <c r="Y533">
        <v>4</v>
      </c>
      <c r="Z533">
        <v>80</v>
      </c>
      <c r="AA533">
        <v>0</v>
      </c>
      <c r="AB533">
        <v>10</v>
      </c>
      <c r="AC533">
        <v>6</v>
      </c>
      <c r="AD533">
        <v>3</v>
      </c>
      <c r="AE533">
        <v>7</v>
      </c>
      <c r="AF533">
        <v>7</v>
      </c>
      <c r="AG533">
        <v>7</v>
      </c>
      <c r="AH533">
        <v>7</v>
      </c>
      <c r="AI533">
        <f>IF(tbl_HRData[[#This Row],[Attrition]] = "Yes",1,0)</f>
        <v>0</v>
      </c>
      <c r="AJ533">
        <f>IF(tbl_HRData[[#This Row],[Attrition]] = "No",1,0)</f>
        <v>1</v>
      </c>
      <c r="AK533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533" s="1" t="str">
        <f>IF(tbl_HRData[[#This Row],[MonthlyIncome]]&lt;5000,"Low",
IF(tbl_HRData[[#This Row],[MonthlyIncome]]&lt;10000,"Medium",
IF(tbl_HRData[[#This Row],[MonthlyIncome]]&lt;15000,"Upper Medium","High")))</f>
        <v>Upper Medium</v>
      </c>
      <c r="AM533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534" spans="1:39" x14ac:dyDescent="0.35">
      <c r="A534" s="1">
        <v>533</v>
      </c>
      <c r="B534">
        <v>47</v>
      </c>
      <c r="C534" s="1" t="s">
        <v>40</v>
      </c>
      <c r="D534" s="1" t="s">
        <v>34</v>
      </c>
      <c r="E534">
        <v>703</v>
      </c>
      <c r="F534" s="1" t="s">
        <v>35</v>
      </c>
      <c r="G534">
        <v>14</v>
      </c>
      <c r="H534">
        <v>4</v>
      </c>
      <c r="I534" s="1" t="s">
        <v>56</v>
      </c>
      <c r="J534">
        <v>728</v>
      </c>
      <c r="K534">
        <v>4</v>
      </c>
      <c r="L534" s="1" t="s">
        <v>43</v>
      </c>
      <c r="M534">
        <v>42</v>
      </c>
      <c r="N534">
        <v>3</v>
      </c>
      <c r="O534">
        <v>2</v>
      </c>
      <c r="P534" s="1" t="s">
        <v>38</v>
      </c>
      <c r="Q534">
        <v>1</v>
      </c>
      <c r="R534" s="1" t="s">
        <v>39</v>
      </c>
      <c r="S534">
        <v>4960</v>
      </c>
      <c r="T534">
        <v>11825</v>
      </c>
      <c r="U534">
        <v>2</v>
      </c>
      <c r="V534" s="1" t="s">
        <v>40</v>
      </c>
      <c r="W534">
        <v>12</v>
      </c>
      <c r="X534">
        <v>3</v>
      </c>
      <c r="Y534">
        <v>4</v>
      </c>
      <c r="Z534">
        <v>80</v>
      </c>
      <c r="AA534">
        <v>0</v>
      </c>
      <c r="AB534">
        <v>20</v>
      </c>
      <c r="AC534">
        <v>2</v>
      </c>
      <c r="AD534">
        <v>3</v>
      </c>
      <c r="AE534">
        <v>7</v>
      </c>
      <c r="AF534">
        <v>7</v>
      </c>
      <c r="AG534">
        <v>1</v>
      </c>
      <c r="AH534">
        <v>7</v>
      </c>
      <c r="AI534">
        <f>IF(tbl_HRData[[#This Row],[Attrition]] = "Yes",1,0)</f>
        <v>0</v>
      </c>
      <c r="AJ534">
        <f>IF(tbl_HRData[[#This Row],[Attrition]] = "No",1,0)</f>
        <v>1</v>
      </c>
      <c r="AK534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534" s="1" t="str">
        <f>IF(tbl_HRData[[#This Row],[MonthlyIncome]]&lt;5000,"Low",
IF(tbl_HRData[[#This Row],[MonthlyIncome]]&lt;10000,"Medium",
IF(tbl_HRData[[#This Row],[MonthlyIncome]]&lt;15000,"Upper Medium","High")))</f>
        <v>Low</v>
      </c>
      <c r="AM534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535" spans="1:39" x14ac:dyDescent="0.35">
      <c r="A535" s="1">
        <v>534</v>
      </c>
      <c r="B535">
        <v>40</v>
      </c>
      <c r="C535" s="1" t="s">
        <v>40</v>
      </c>
      <c r="D535" s="1" t="s">
        <v>41</v>
      </c>
      <c r="E535">
        <v>580</v>
      </c>
      <c r="F535" s="1" t="s">
        <v>35</v>
      </c>
      <c r="G535">
        <v>5</v>
      </c>
      <c r="H535">
        <v>4</v>
      </c>
      <c r="I535" s="1" t="s">
        <v>36</v>
      </c>
      <c r="J535">
        <v>729</v>
      </c>
      <c r="K535">
        <v>4</v>
      </c>
      <c r="L535" s="1" t="s">
        <v>43</v>
      </c>
      <c r="M535">
        <v>48</v>
      </c>
      <c r="N535">
        <v>2</v>
      </c>
      <c r="O535">
        <v>3</v>
      </c>
      <c r="P535" s="1" t="s">
        <v>38</v>
      </c>
      <c r="Q535">
        <v>1</v>
      </c>
      <c r="R535" s="1" t="s">
        <v>45</v>
      </c>
      <c r="S535">
        <v>10475</v>
      </c>
      <c r="T535">
        <v>23772</v>
      </c>
      <c r="U535">
        <v>5</v>
      </c>
      <c r="V535" s="1" t="s">
        <v>33</v>
      </c>
      <c r="W535">
        <v>21</v>
      </c>
      <c r="X535">
        <v>4</v>
      </c>
      <c r="Y535">
        <v>3</v>
      </c>
      <c r="Z535">
        <v>80</v>
      </c>
      <c r="AA535">
        <v>1</v>
      </c>
      <c r="AB535">
        <v>20</v>
      </c>
      <c r="AC535">
        <v>2</v>
      </c>
      <c r="AD535">
        <v>3</v>
      </c>
      <c r="AE535">
        <v>18</v>
      </c>
      <c r="AF535">
        <v>13</v>
      </c>
      <c r="AG535">
        <v>1</v>
      </c>
      <c r="AH535">
        <v>12</v>
      </c>
      <c r="AI535">
        <f>IF(tbl_HRData[[#This Row],[Attrition]] = "Yes",1,0)</f>
        <v>0</v>
      </c>
      <c r="AJ535">
        <f>IF(tbl_HRData[[#This Row],[Attrition]] = "No",1,0)</f>
        <v>1</v>
      </c>
      <c r="AK535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535" s="1" t="str">
        <f>IF(tbl_HRData[[#This Row],[MonthlyIncome]]&lt;5000,"Low",
IF(tbl_HRData[[#This Row],[MonthlyIncome]]&lt;10000,"Medium",
IF(tbl_HRData[[#This Row],[MonthlyIncome]]&lt;15000,"Upper Medium","High")))</f>
        <v>Upper Medium</v>
      </c>
      <c r="AM535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536" spans="1:39" x14ac:dyDescent="0.35">
      <c r="A536" s="1">
        <v>535</v>
      </c>
      <c r="B536">
        <v>53</v>
      </c>
      <c r="C536" s="1" t="s">
        <v>40</v>
      </c>
      <c r="D536" s="1" t="s">
        <v>34</v>
      </c>
      <c r="E536">
        <v>970</v>
      </c>
      <c r="F536" s="1" t="s">
        <v>42</v>
      </c>
      <c r="G536">
        <v>7</v>
      </c>
      <c r="H536">
        <v>3</v>
      </c>
      <c r="I536" s="1" t="s">
        <v>36</v>
      </c>
      <c r="J536">
        <v>730</v>
      </c>
      <c r="K536">
        <v>3</v>
      </c>
      <c r="L536" s="1" t="s">
        <v>43</v>
      </c>
      <c r="M536">
        <v>59</v>
      </c>
      <c r="N536">
        <v>4</v>
      </c>
      <c r="O536">
        <v>4</v>
      </c>
      <c r="P536" s="1" t="s">
        <v>55</v>
      </c>
      <c r="Q536">
        <v>3</v>
      </c>
      <c r="R536" s="1" t="s">
        <v>45</v>
      </c>
      <c r="S536">
        <v>14814</v>
      </c>
      <c r="T536">
        <v>13514</v>
      </c>
      <c r="U536">
        <v>3</v>
      </c>
      <c r="V536" s="1" t="s">
        <v>40</v>
      </c>
      <c r="W536">
        <v>19</v>
      </c>
      <c r="X536">
        <v>3</v>
      </c>
      <c r="Y536">
        <v>3</v>
      </c>
      <c r="Z536">
        <v>80</v>
      </c>
      <c r="AA536">
        <v>0</v>
      </c>
      <c r="AB536">
        <v>32</v>
      </c>
      <c r="AC536">
        <v>3</v>
      </c>
      <c r="AD536">
        <v>3</v>
      </c>
      <c r="AE536">
        <v>5</v>
      </c>
      <c r="AF536">
        <v>1</v>
      </c>
      <c r="AG536">
        <v>1</v>
      </c>
      <c r="AH536">
        <v>3</v>
      </c>
      <c r="AI536">
        <f>IF(tbl_HRData[[#This Row],[Attrition]] = "Yes",1,0)</f>
        <v>0</v>
      </c>
      <c r="AJ536">
        <f>IF(tbl_HRData[[#This Row],[Attrition]] = "No",1,0)</f>
        <v>1</v>
      </c>
      <c r="AK536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536" s="1" t="str">
        <f>IF(tbl_HRData[[#This Row],[MonthlyIncome]]&lt;5000,"Low",
IF(tbl_HRData[[#This Row],[MonthlyIncome]]&lt;10000,"Medium",
IF(tbl_HRData[[#This Row],[MonthlyIncome]]&lt;15000,"Upper Medium","High")))</f>
        <v>Upper Medium</v>
      </c>
      <c r="AM536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537" spans="1:39" x14ac:dyDescent="0.35">
      <c r="A537" s="1">
        <v>536</v>
      </c>
      <c r="B537">
        <v>41</v>
      </c>
      <c r="C537" s="1" t="s">
        <v>40</v>
      </c>
      <c r="D537" s="1" t="s">
        <v>34</v>
      </c>
      <c r="E537">
        <v>427</v>
      </c>
      <c r="F537" s="1" t="s">
        <v>58</v>
      </c>
      <c r="G537">
        <v>10</v>
      </c>
      <c r="H537">
        <v>4</v>
      </c>
      <c r="I537" s="1" t="s">
        <v>58</v>
      </c>
      <c r="J537">
        <v>731</v>
      </c>
      <c r="K537">
        <v>2</v>
      </c>
      <c r="L537" s="1" t="s">
        <v>43</v>
      </c>
      <c r="M537">
        <v>73</v>
      </c>
      <c r="N537">
        <v>2</v>
      </c>
      <c r="O537">
        <v>5</v>
      </c>
      <c r="P537" s="1" t="s">
        <v>53</v>
      </c>
      <c r="Q537">
        <v>4</v>
      </c>
      <c r="R537" s="1" t="s">
        <v>49</v>
      </c>
      <c r="S537">
        <v>19141</v>
      </c>
      <c r="T537">
        <v>8861</v>
      </c>
      <c r="U537">
        <v>3</v>
      </c>
      <c r="V537" s="1" t="s">
        <v>40</v>
      </c>
      <c r="W537">
        <v>15</v>
      </c>
      <c r="X537">
        <v>3</v>
      </c>
      <c r="Y537">
        <v>2</v>
      </c>
      <c r="Z537">
        <v>80</v>
      </c>
      <c r="AA537">
        <v>3</v>
      </c>
      <c r="AB537">
        <v>23</v>
      </c>
      <c r="AC537">
        <v>2</v>
      </c>
      <c r="AD537">
        <v>2</v>
      </c>
      <c r="AE537">
        <v>21</v>
      </c>
      <c r="AF537">
        <v>6</v>
      </c>
      <c r="AG537">
        <v>12</v>
      </c>
      <c r="AH537">
        <v>6</v>
      </c>
      <c r="AI537">
        <f>IF(tbl_HRData[[#This Row],[Attrition]] = "Yes",1,0)</f>
        <v>0</v>
      </c>
      <c r="AJ537">
        <f>IF(tbl_HRData[[#This Row],[Attrition]] = "No",1,0)</f>
        <v>1</v>
      </c>
      <c r="AK537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537" s="1" t="str">
        <f>IF(tbl_HRData[[#This Row],[MonthlyIncome]]&lt;5000,"Low",
IF(tbl_HRData[[#This Row],[MonthlyIncome]]&lt;10000,"Medium",
IF(tbl_HRData[[#This Row],[MonthlyIncome]]&lt;15000,"Upper Medium","High")))</f>
        <v>High</v>
      </c>
      <c r="AM537" s="1" t="str">
        <f>IF(tbl_HRData[[#This Row],[YearsAtCompany]]&lt;=5,"0-5 Years",
IF(tbl_HRData[[#This Row],[YearsAtCompany]]&lt;=10,"6-10 Years",
IF(tbl_HRData[[#This Row],[YearsAtCompany]]&lt;=20,"11-20 Years","21+ Years")))</f>
        <v>21+ Years</v>
      </c>
    </row>
    <row r="538" spans="1:39" x14ac:dyDescent="0.35">
      <c r="A538" s="1">
        <v>537</v>
      </c>
      <c r="B538">
        <v>60</v>
      </c>
      <c r="C538" s="1" t="s">
        <v>40</v>
      </c>
      <c r="D538" s="1" t="s">
        <v>34</v>
      </c>
      <c r="E538">
        <v>1179</v>
      </c>
      <c r="F538" s="1" t="s">
        <v>35</v>
      </c>
      <c r="G538">
        <v>16</v>
      </c>
      <c r="H538">
        <v>4</v>
      </c>
      <c r="I538" s="1" t="s">
        <v>56</v>
      </c>
      <c r="J538">
        <v>732</v>
      </c>
      <c r="K538">
        <v>1</v>
      </c>
      <c r="L538" s="1" t="s">
        <v>43</v>
      </c>
      <c r="M538">
        <v>84</v>
      </c>
      <c r="N538">
        <v>3</v>
      </c>
      <c r="O538">
        <v>2</v>
      </c>
      <c r="P538" s="1" t="s">
        <v>38</v>
      </c>
      <c r="Q538">
        <v>1</v>
      </c>
      <c r="R538" s="1" t="s">
        <v>39</v>
      </c>
      <c r="S538">
        <v>5405</v>
      </c>
      <c r="T538">
        <v>11924</v>
      </c>
      <c r="U538">
        <v>8</v>
      </c>
      <c r="V538" s="1" t="s">
        <v>40</v>
      </c>
      <c r="W538">
        <v>14</v>
      </c>
      <c r="X538">
        <v>3</v>
      </c>
      <c r="Y538">
        <v>4</v>
      </c>
      <c r="Z538">
        <v>80</v>
      </c>
      <c r="AA538">
        <v>0</v>
      </c>
      <c r="AB538">
        <v>10</v>
      </c>
      <c r="AC538">
        <v>1</v>
      </c>
      <c r="AD538">
        <v>3</v>
      </c>
      <c r="AE538">
        <v>2</v>
      </c>
      <c r="AF538">
        <v>2</v>
      </c>
      <c r="AG538">
        <v>2</v>
      </c>
      <c r="AH538">
        <v>2</v>
      </c>
      <c r="AI538">
        <f>IF(tbl_HRData[[#This Row],[Attrition]] = "Yes",1,0)</f>
        <v>0</v>
      </c>
      <c r="AJ538">
        <f>IF(tbl_HRData[[#This Row],[Attrition]] = "No",1,0)</f>
        <v>1</v>
      </c>
      <c r="AK538" t="str">
        <f>IF(tbl_HRData[[#This Row],[Age]] &lt; 25, "Under 25", IF(tbl_HRData[[#This Row],[Age]] &lt;= 34, "25-34", IF(tbl_HRData[[#This Row],[Age]] &lt;= 44, "35-44", IF(tbl_HRData[[#This Row],[Age]] &lt;= 54, "45-54", "55+"))))</f>
        <v>55+</v>
      </c>
      <c r="AL538" s="1" t="str">
        <f>IF(tbl_HRData[[#This Row],[MonthlyIncome]]&lt;5000,"Low",
IF(tbl_HRData[[#This Row],[MonthlyIncome]]&lt;10000,"Medium",
IF(tbl_HRData[[#This Row],[MonthlyIncome]]&lt;15000,"Upper Medium","High")))</f>
        <v>Medium</v>
      </c>
      <c r="AM538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539" spans="1:39" x14ac:dyDescent="0.35">
      <c r="A539" s="1">
        <v>538</v>
      </c>
      <c r="B539">
        <v>27</v>
      </c>
      <c r="C539" s="1" t="s">
        <v>40</v>
      </c>
      <c r="D539" s="1" t="s">
        <v>41</v>
      </c>
      <c r="E539">
        <v>294</v>
      </c>
      <c r="F539" s="1" t="s">
        <v>42</v>
      </c>
      <c r="G539">
        <v>10</v>
      </c>
      <c r="H539">
        <v>2</v>
      </c>
      <c r="I539" s="1" t="s">
        <v>36</v>
      </c>
      <c r="J539">
        <v>733</v>
      </c>
      <c r="K539">
        <v>4</v>
      </c>
      <c r="L539" s="1" t="s">
        <v>43</v>
      </c>
      <c r="M539">
        <v>32</v>
      </c>
      <c r="N539">
        <v>3</v>
      </c>
      <c r="O539">
        <v>3</v>
      </c>
      <c r="P539" s="1" t="s">
        <v>50</v>
      </c>
      <c r="Q539">
        <v>1</v>
      </c>
      <c r="R539" s="1" t="s">
        <v>49</v>
      </c>
      <c r="S539">
        <v>8793</v>
      </c>
      <c r="T539">
        <v>4809</v>
      </c>
      <c r="U539">
        <v>1</v>
      </c>
      <c r="V539" s="1" t="s">
        <v>40</v>
      </c>
      <c r="W539">
        <v>21</v>
      </c>
      <c r="X539">
        <v>4</v>
      </c>
      <c r="Y539">
        <v>3</v>
      </c>
      <c r="Z539">
        <v>80</v>
      </c>
      <c r="AA539">
        <v>2</v>
      </c>
      <c r="AB539">
        <v>9</v>
      </c>
      <c r="AC539">
        <v>4</v>
      </c>
      <c r="AD539">
        <v>2</v>
      </c>
      <c r="AE539">
        <v>9</v>
      </c>
      <c r="AF539">
        <v>7</v>
      </c>
      <c r="AG539">
        <v>1</v>
      </c>
      <c r="AH539">
        <v>7</v>
      </c>
      <c r="AI539">
        <f>IF(tbl_HRData[[#This Row],[Attrition]] = "Yes",1,0)</f>
        <v>0</v>
      </c>
      <c r="AJ539">
        <f>IF(tbl_HRData[[#This Row],[Attrition]] = "No",1,0)</f>
        <v>1</v>
      </c>
      <c r="AK539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539" s="1" t="str">
        <f>IF(tbl_HRData[[#This Row],[MonthlyIncome]]&lt;5000,"Low",
IF(tbl_HRData[[#This Row],[MonthlyIncome]]&lt;10000,"Medium",
IF(tbl_HRData[[#This Row],[MonthlyIncome]]&lt;15000,"Upper Medium","High")))</f>
        <v>Medium</v>
      </c>
      <c r="AM539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540" spans="1:39" x14ac:dyDescent="0.35">
      <c r="A540" s="1">
        <v>539</v>
      </c>
      <c r="B540">
        <v>41</v>
      </c>
      <c r="C540" s="1" t="s">
        <v>40</v>
      </c>
      <c r="D540" s="1" t="s">
        <v>34</v>
      </c>
      <c r="E540">
        <v>314</v>
      </c>
      <c r="F540" s="1" t="s">
        <v>58</v>
      </c>
      <c r="G540">
        <v>1</v>
      </c>
      <c r="H540">
        <v>3</v>
      </c>
      <c r="I540" s="1" t="s">
        <v>58</v>
      </c>
      <c r="J540">
        <v>734</v>
      </c>
      <c r="K540">
        <v>4</v>
      </c>
      <c r="L540" s="1" t="s">
        <v>43</v>
      </c>
      <c r="M540">
        <v>59</v>
      </c>
      <c r="N540">
        <v>2</v>
      </c>
      <c r="O540">
        <v>5</v>
      </c>
      <c r="P540" s="1" t="s">
        <v>53</v>
      </c>
      <c r="Q540">
        <v>3</v>
      </c>
      <c r="R540" s="1" t="s">
        <v>45</v>
      </c>
      <c r="S540">
        <v>19189</v>
      </c>
      <c r="T540">
        <v>19562</v>
      </c>
      <c r="U540">
        <v>1</v>
      </c>
      <c r="V540" s="1" t="s">
        <v>40</v>
      </c>
      <c r="W540">
        <v>12</v>
      </c>
      <c r="X540">
        <v>3</v>
      </c>
      <c r="Y540">
        <v>2</v>
      </c>
      <c r="Z540">
        <v>80</v>
      </c>
      <c r="AA540">
        <v>1</v>
      </c>
      <c r="AB540">
        <v>22</v>
      </c>
      <c r="AC540">
        <v>3</v>
      </c>
      <c r="AD540">
        <v>3</v>
      </c>
      <c r="AE540">
        <v>22</v>
      </c>
      <c r="AF540">
        <v>7</v>
      </c>
      <c r="AG540">
        <v>2</v>
      </c>
      <c r="AH540">
        <v>10</v>
      </c>
      <c r="AI540">
        <f>IF(tbl_HRData[[#This Row],[Attrition]] = "Yes",1,0)</f>
        <v>0</v>
      </c>
      <c r="AJ540">
        <f>IF(tbl_HRData[[#This Row],[Attrition]] = "No",1,0)</f>
        <v>1</v>
      </c>
      <c r="AK540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540" s="1" t="str">
        <f>IF(tbl_HRData[[#This Row],[MonthlyIncome]]&lt;5000,"Low",
IF(tbl_HRData[[#This Row],[MonthlyIncome]]&lt;10000,"Medium",
IF(tbl_HRData[[#This Row],[MonthlyIncome]]&lt;15000,"Upper Medium","High")))</f>
        <v>High</v>
      </c>
      <c r="AM540" s="1" t="str">
        <f>IF(tbl_HRData[[#This Row],[YearsAtCompany]]&lt;=5,"0-5 Years",
IF(tbl_HRData[[#This Row],[YearsAtCompany]]&lt;=10,"6-10 Years",
IF(tbl_HRData[[#This Row],[YearsAtCompany]]&lt;=20,"11-20 Years","21+ Years")))</f>
        <v>21+ Years</v>
      </c>
    </row>
    <row r="541" spans="1:39" x14ac:dyDescent="0.35">
      <c r="A541" s="1">
        <v>540</v>
      </c>
      <c r="B541">
        <v>50</v>
      </c>
      <c r="C541" s="1" t="s">
        <v>40</v>
      </c>
      <c r="D541" s="1" t="s">
        <v>34</v>
      </c>
      <c r="E541">
        <v>316</v>
      </c>
      <c r="F541" s="1" t="s">
        <v>35</v>
      </c>
      <c r="G541">
        <v>8</v>
      </c>
      <c r="H541">
        <v>4</v>
      </c>
      <c r="I541" s="1" t="s">
        <v>56</v>
      </c>
      <c r="J541">
        <v>738</v>
      </c>
      <c r="K541">
        <v>4</v>
      </c>
      <c r="L541" s="1" t="s">
        <v>43</v>
      </c>
      <c r="M541">
        <v>54</v>
      </c>
      <c r="N541">
        <v>3</v>
      </c>
      <c r="O541">
        <v>1</v>
      </c>
      <c r="P541" s="1" t="s">
        <v>54</v>
      </c>
      <c r="Q541">
        <v>2</v>
      </c>
      <c r="R541" s="1" t="s">
        <v>45</v>
      </c>
      <c r="S541">
        <v>3875</v>
      </c>
      <c r="T541">
        <v>9983</v>
      </c>
      <c r="U541">
        <v>7</v>
      </c>
      <c r="V541" s="1" t="s">
        <v>40</v>
      </c>
      <c r="W541">
        <v>15</v>
      </c>
      <c r="X541">
        <v>3</v>
      </c>
      <c r="Y541">
        <v>4</v>
      </c>
      <c r="Z541">
        <v>80</v>
      </c>
      <c r="AA541">
        <v>1</v>
      </c>
      <c r="AB541">
        <v>4</v>
      </c>
      <c r="AC541">
        <v>2</v>
      </c>
      <c r="AD541">
        <v>3</v>
      </c>
      <c r="AE541">
        <v>2</v>
      </c>
      <c r="AF541">
        <v>2</v>
      </c>
      <c r="AG541">
        <v>2</v>
      </c>
      <c r="AH541">
        <v>2</v>
      </c>
      <c r="AI541">
        <f>IF(tbl_HRData[[#This Row],[Attrition]] = "Yes",1,0)</f>
        <v>0</v>
      </c>
      <c r="AJ541">
        <f>IF(tbl_HRData[[#This Row],[Attrition]] = "No",1,0)</f>
        <v>1</v>
      </c>
      <c r="AK541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541" s="1" t="str">
        <f>IF(tbl_HRData[[#This Row],[MonthlyIncome]]&lt;5000,"Low",
IF(tbl_HRData[[#This Row],[MonthlyIncome]]&lt;10000,"Medium",
IF(tbl_HRData[[#This Row],[MonthlyIncome]]&lt;15000,"Upper Medium","High")))</f>
        <v>Low</v>
      </c>
      <c r="AM541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542" spans="1:39" x14ac:dyDescent="0.35">
      <c r="A542" s="1">
        <v>541</v>
      </c>
      <c r="B542">
        <v>28</v>
      </c>
      <c r="C542" s="1" t="s">
        <v>33</v>
      </c>
      <c r="D542" s="1" t="s">
        <v>34</v>
      </c>
      <c r="E542">
        <v>654</v>
      </c>
      <c r="F542" s="1" t="s">
        <v>42</v>
      </c>
      <c r="G542">
        <v>1</v>
      </c>
      <c r="H542">
        <v>2</v>
      </c>
      <c r="I542" s="1" t="s">
        <v>36</v>
      </c>
      <c r="J542">
        <v>741</v>
      </c>
      <c r="K542">
        <v>1</v>
      </c>
      <c r="L542" s="1" t="s">
        <v>37</v>
      </c>
      <c r="M542">
        <v>67</v>
      </c>
      <c r="N542">
        <v>1</v>
      </c>
      <c r="O542">
        <v>1</v>
      </c>
      <c r="P542" s="1" t="s">
        <v>44</v>
      </c>
      <c r="Q542">
        <v>2</v>
      </c>
      <c r="R542" s="1" t="s">
        <v>39</v>
      </c>
      <c r="S542">
        <v>2216</v>
      </c>
      <c r="T542">
        <v>3872</v>
      </c>
      <c r="U542">
        <v>7</v>
      </c>
      <c r="V542" s="1" t="s">
        <v>33</v>
      </c>
      <c r="W542">
        <v>13</v>
      </c>
      <c r="X542">
        <v>3</v>
      </c>
      <c r="Y542">
        <v>4</v>
      </c>
      <c r="Z542">
        <v>80</v>
      </c>
      <c r="AA542">
        <v>0</v>
      </c>
      <c r="AB542">
        <v>10</v>
      </c>
      <c r="AC542">
        <v>4</v>
      </c>
      <c r="AD542">
        <v>3</v>
      </c>
      <c r="AE542">
        <v>7</v>
      </c>
      <c r="AF542">
        <v>7</v>
      </c>
      <c r="AG542">
        <v>3</v>
      </c>
      <c r="AH542">
        <v>7</v>
      </c>
      <c r="AI542">
        <f>IF(tbl_HRData[[#This Row],[Attrition]] = "Yes",1,0)</f>
        <v>1</v>
      </c>
      <c r="AJ542">
        <f>IF(tbl_HRData[[#This Row],[Attrition]] = "No",1,0)</f>
        <v>0</v>
      </c>
      <c r="AK542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542" s="1" t="str">
        <f>IF(tbl_HRData[[#This Row],[MonthlyIncome]]&lt;5000,"Low",
IF(tbl_HRData[[#This Row],[MonthlyIncome]]&lt;10000,"Medium",
IF(tbl_HRData[[#This Row],[MonthlyIncome]]&lt;15000,"Upper Medium","High")))</f>
        <v>Low</v>
      </c>
      <c r="AM542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543" spans="1:39" x14ac:dyDescent="0.35">
      <c r="A543" s="1">
        <v>542</v>
      </c>
      <c r="B543">
        <v>36</v>
      </c>
      <c r="C543" s="1" t="s">
        <v>40</v>
      </c>
      <c r="D543" s="1" t="s">
        <v>52</v>
      </c>
      <c r="E543">
        <v>427</v>
      </c>
      <c r="F543" s="1" t="s">
        <v>42</v>
      </c>
      <c r="G543">
        <v>8</v>
      </c>
      <c r="H543">
        <v>3</v>
      </c>
      <c r="I543" s="1" t="s">
        <v>36</v>
      </c>
      <c r="J543">
        <v>742</v>
      </c>
      <c r="K543">
        <v>1</v>
      </c>
      <c r="L543" s="1" t="s">
        <v>37</v>
      </c>
      <c r="M543">
        <v>63</v>
      </c>
      <c r="N543">
        <v>4</v>
      </c>
      <c r="O543">
        <v>3</v>
      </c>
      <c r="P543" s="1" t="s">
        <v>55</v>
      </c>
      <c r="Q543">
        <v>1</v>
      </c>
      <c r="R543" s="1" t="s">
        <v>45</v>
      </c>
      <c r="S543">
        <v>11713</v>
      </c>
      <c r="T543">
        <v>20335</v>
      </c>
      <c r="U543">
        <v>9</v>
      </c>
      <c r="V543" s="1" t="s">
        <v>40</v>
      </c>
      <c r="W543">
        <v>14</v>
      </c>
      <c r="X543">
        <v>3</v>
      </c>
      <c r="Y543">
        <v>1</v>
      </c>
      <c r="Z543">
        <v>80</v>
      </c>
      <c r="AA543">
        <v>1</v>
      </c>
      <c r="AB543">
        <v>10</v>
      </c>
      <c r="AC543">
        <v>2</v>
      </c>
      <c r="AD543">
        <v>3</v>
      </c>
      <c r="AE543">
        <v>8</v>
      </c>
      <c r="AF543">
        <v>7</v>
      </c>
      <c r="AG543">
        <v>0</v>
      </c>
      <c r="AH543">
        <v>5</v>
      </c>
      <c r="AI543">
        <f>IF(tbl_HRData[[#This Row],[Attrition]] = "Yes",1,0)</f>
        <v>0</v>
      </c>
      <c r="AJ543">
        <f>IF(tbl_HRData[[#This Row],[Attrition]] = "No",1,0)</f>
        <v>1</v>
      </c>
      <c r="AK543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543" s="1" t="str">
        <f>IF(tbl_HRData[[#This Row],[MonthlyIncome]]&lt;5000,"Low",
IF(tbl_HRData[[#This Row],[MonthlyIncome]]&lt;10000,"Medium",
IF(tbl_HRData[[#This Row],[MonthlyIncome]]&lt;15000,"Upper Medium","High")))</f>
        <v>Upper Medium</v>
      </c>
      <c r="AM543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544" spans="1:39" x14ac:dyDescent="0.35">
      <c r="A544" s="1">
        <v>543</v>
      </c>
      <c r="B544">
        <v>38</v>
      </c>
      <c r="C544" s="1" t="s">
        <v>40</v>
      </c>
      <c r="D544" s="1" t="s">
        <v>34</v>
      </c>
      <c r="E544">
        <v>168</v>
      </c>
      <c r="F544" s="1" t="s">
        <v>42</v>
      </c>
      <c r="G544">
        <v>1</v>
      </c>
      <c r="H544">
        <v>3</v>
      </c>
      <c r="I544" s="1" t="s">
        <v>36</v>
      </c>
      <c r="J544">
        <v>743</v>
      </c>
      <c r="K544">
        <v>3</v>
      </c>
      <c r="L544" s="1" t="s">
        <v>37</v>
      </c>
      <c r="M544">
        <v>81</v>
      </c>
      <c r="N544">
        <v>3</v>
      </c>
      <c r="O544">
        <v>3</v>
      </c>
      <c r="P544" s="1" t="s">
        <v>50</v>
      </c>
      <c r="Q544">
        <v>3</v>
      </c>
      <c r="R544" s="1" t="s">
        <v>39</v>
      </c>
      <c r="S544">
        <v>7861</v>
      </c>
      <c r="T544">
        <v>15397</v>
      </c>
      <c r="U544">
        <v>4</v>
      </c>
      <c r="V544" s="1" t="s">
        <v>33</v>
      </c>
      <c r="W544">
        <v>14</v>
      </c>
      <c r="X544">
        <v>3</v>
      </c>
      <c r="Y544">
        <v>4</v>
      </c>
      <c r="Z544">
        <v>80</v>
      </c>
      <c r="AA544">
        <v>0</v>
      </c>
      <c r="AB544">
        <v>10</v>
      </c>
      <c r="AC544">
        <v>4</v>
      </c>
      <c r="AD544">
        <v>4</v>
      </c>
      <c r="AE544">
        <v>1</v>
      </c>
      <c r="AF544">
        <v>0</v>
      </c>
      <c r="AG544">
        <v>0</v>
      </c>
      <c r="AH544">
        <v>0</v>
      </c>
      <c r="AI544">
        <f>IF(tbl_HRData[[#This Row],[Attrition]] = "Yes",1,0)</f>
        <v>0</v>
      </c>
      <c r="AJ544">
        <f>IF(tbl_HRData[[#This Row],[Attrition]] = "No",1,0)</f>
        <v>1</v>
      </c>
      <c r="AK544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544" s="1" t="str">
        <f>IF(tbl_HRData[[#This Row],[MonthlyIncome]]&lt;5000,"Low",
IF(tbl_HRData[[#This Row],[MonthlyIncome]]&lt;10000,"Medium",
IF(tbl_HRData[[#This Row],[MonthlyIncome]]&lt;15000,"Upper Medium","High")))</f>
        <v>Medium</v>
      </c>
      <c r="AM544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545" spans="1:39" x14ac:dyDescent="0.35">
      <c r="A545" s="1">
        <v>544</v>
      </c>
      <c r="B545">
        <v>44</v>
      </c>
      <c r="C545" s="1" t="s">
        <v>40</v>
      </c>
      <c r="D545" s="1" t="s">
        <v>52</v>
      </c>
      <c r="E545">
        <v>381</v>
      </c>
      <c r="F545" s="1" t="s">
        <v>42</v>
      </c>
      <c r="G545">
        <v>24</v>
      </c>
      <c r="H545">
        <v>3</v>
      </c>
      <c r="I545" s="1" t="s">
        <v>48</v>
      </c>
      <c r="J545">
        <v>744</v>
      </c>
      <c r="K545">
        <v>1</v>
      </c>
      <c r="L545" s="1" t="s">
        <v>43</v>
      </c>
      <c r="M545">
        <v>49</v>
      </c>
      <c r="N545">
        <v>1</v>
      </c>
      <c r="O545">
        <v>1</v>
      </c>
      <c r="P545" s="1" t="s">
        <v>47</v>
      </c>
      <c r="Q545">
        <v>3</v>
      </c>
      <c r="R545" s="1" t="s">
        <v>39</v>
      </c>
      <c r="S545">
        <v>3708</v>
      </c>
      <c r="T545">
        <v>2104</v>
      </c>
      <c r="U545">
        <v>2</v>
      </c>
      <c r="V545" s="1" t="s">
        <v>40</v>
      </c>
      <c r="W545">
        <v>14</v>
      </c>
      <c r="X545">
        <v>3</v>
      </c>
      <c r="Y545">
        <v>3</v>
      </c>
      <c r="Z545">
        <v>80</v>
      </c>
      <c r="AA545">
        <v>0</v>
      </c>
      <c r="AB545">
        <v>9</v>
      </c>
      <c r="AC545">
        <v>5</v>
      </c>
      <c r="AD545">
        <v>3</v>
      </c>
      <c r="AE545">
        <v>5</v>
      </c>
      <c r="AF545">
        <v>2</v>
      </c>
      <c r="AG545">
        <v>1</v>
      </c>
      <c r="AH545">
        <v>4</v>
      </c>
      <c r="AI545">
        <f>IF(tbl_HRData[[#This Row],[Attrition]] = "Yes",1,0)</f>
        <v>0</v>
      </c>
      <c r="AJ545">
        <f>IF(tbl_HRData[[#This Row],[Attrition]] = "No",1,0)</f>
        <v>1</v>
      </c>
      <c r="AK545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545" s="1" t="str">
        <f>IF(tbl_HRData[[#This Row],[MonthlyIncome]]&lt;5000,"Low",
IF(tbl_HRData[[#This Row],[MonthlyIncome]]&lt;10000,"Medium",
IF(tbl_HRData[[#This Row],[MonthlyIncome]]&lt;15000,"Upper Medium","High")))</f>
        <v>Low</v>
      </c>
      <c r="AM545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546" spans="1:39" x14ac:dyDescent="0.35">
      <c r="A546" s="1">
        <v>545</v>
      </c>
      <c r="B546">
        <v>47</v>
      </c>
      <c r="C546" s="1" t="s">
        <v>40</v>
      </c>
      <c r="D546" s="1" t="s">
        <v>41</v>
      </c>
      <c r="E546">
        <v>217</v>
      </c>
      <c r="F546" s="1" t="s">
        <v>35</v>
      </c>
      <c r="G546">
        <v>3</v>
      </c>
      <c r="H546">
        <v>3</v>
      </c>
      <c r="I546" s="1" t="s">
        <v>48</v>
      </c>
      <c r="J546">
        <v>746</v>
      </c>
      <c r="K546">
        <v>4</v>
      </c>
      <c r="L546" s="1" t="s">
        <v>37</v>
      </c>
      <c r="M546">
        <v>49</v>
      </c>
      <c r="N546">
        <v>3</v>
      </c>
      <c r="O546">
        <v>4</v>
      </c>
      <c r="P546" s="1" t="s">
        <v>38</v>
      </c>
      <c r="Q546">
        <v>3</v>
      </c>
      <c r="R546" s="1" t="s">
        <v>49</v>
      </c>
      <c r="S546">
        <v>13770</v>
      </c>
      <c r="T546">
        <v>10225</v>
      </c>
      <c r="U546">
        <v>9</v>
      </c>
      <c r="V546" s="1" t="s">
        <v>33</v>
      </c>
      <c r="W546">
        <v>12</v>
      </c>
      <c r="X546">
        <v>3</v>
      </c>
      <c r="Y546">
        <v>4</v>
      </c>
      <c r="Z546">
        <v>80</v>
      </c>
      <c r="AA546">
        <v>2</v>
      </c>
      <c r="AB546">
        <v>28</v>
      </c>
      <c r="AC546">
        <v>2</v>
      </c>
      <c r="AD546">
        <v>2</v>
      </c>
      <c r="AE546">
        <v>22</v>
      </c>
      <c r="AF546">
        <v>2</v>
      </c>
      <c r="AG546">
        <v>11</v>
      </c>
      <c r="AH546">
        <v>13</v>
      </c>
      <c r="AI546">
        <f>IF(tbl_HRData[[#This Row],[Attrition]] = "Yes",1,0)</f>
        <v>0</v>
      </c>
      <c r="AJ546">
        <f>IF(tbl_HRData[[#This Row],[Attrition]] = "No",1,0)</f>
        <v>1</v>
      </c>
      <c r="AK546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546" s="1" t="str">
        <f>IF(tbl_HRData[[#This Row],[MonthlyIncome]]&lt;5000,"Low",
IF(tbl_HRData[[#This Row],[MonthlyIncome]]&lt;10000,"Medium",
IF(tbl_HRData[[#This Row],[MonthlyIncome]]&lt;15000,"Upper Medium","High")))</f>
        <v>Upper Medium</v>
      </c>
      <c r="AM546" s="1" t="str">
        <f>IF(tbl_HRData[[#This Row],[YearsAtCompany]]&lt;=5,"0-5 Years",
IF(tbl_HRData[[#This Row],[YearsAtCompany]]&lt;=10,"6-10 Years",
IF(tbl_HRData[[#This Row],[YearsAtCompany]]&lt;=20,"11-20 Years","21+ Years")))</f>
        <v>21+ Years</v>
      </c>
    </row>
    <row r="547" spans="1:39" x14ac:dyDescent="0.35">
      <c r="A547" s="1">
        <v>546</v>
      </c>
      <c r="B547">
        <v>30</v>
      </c>
      <c r="C547" s="1" t="s">
        <v>40</v>
      </c>
      <c r="D547" s="1" t="s">
        <v>34</v>
      </c>
      <c r="E547">
        <v>501</v>
      </c>
      <c r="F547" s="1" t="s">
        <v>35</v>
      </c>
      <c r="G547">
        <v>27</v>
      </c>
      <c r="H547">
        <v>5</v>
      </c>
      <c r="I547" s="1" t="s">
        <v>56</v>
      </c>
      <c r="J547">
        <v>747</v>
      </c>
      <c r="K547">
        <v>3</v>
      </c>
      <c r="L547" s="1" t="s">
        <v>43</v>
      </c>
      <c r="M547">
        <v>99</v>
      </c>
      <c r="N547">
        <v>3</v>
      </c>
      <c r="O547">
        <v>2</v>
      </c>
      <c r="P547" s="1" t="s">
        <v>38</v>
      </c>
      <c r="Q547">
        <v>4</v>
      </c>
      <c r="R547" s="1" t="s">
        <v>49</v>
      </c>
      <c r="S547">
        <v>5304</v>
      </c>
      <c r="T547">
        <v>25275</v>
      </c>
      <c r="U547">
        <v>7</v>
      </c>
      <c r="V547" s="1" t="s">
        <v>40</v>
      </c>
      <c r="W547">
        <v>23</v>
      </c>
      <c r="X547">
        <v>4</v>
      </c>
      <c r="Y547">
        <v>4</v>
      </c>
      <c r="Z547">
        <v>80</v>
      </c>
      <c r="AA547">
        <v>1</v>
      </c>
      <c r="AB547">
        <v>10</v>
      </c>
      <c r="AC547">
        <v>2</v>
      </c>
      <c r="AD547">
        <v>2</v>
      </c>
      <c r="AE547">
        <v>8</v>
      </c>
      <c r="AF547">
        <v>7</v>
      </c>
      <c r="AG547">
        <v>7</v>
      </c>
      <c r="AH547">
        <v>7</v>
      </c>
      <c r="AI547">
        <f>IF(tbl_HRData[[#This Row],[Attrition]] = "Yes",1,0)</f>
        <v>0</v>
      </c>
      <c r="AJ547">
        <f>IF(tbl_HRData[[#This Row],[Attrition]] = "No",1,0)</f>
        <v>1</v>
      </c>
      <c r="AK547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547" s="1" t="str">
        <f>IF(tbl_HRData[[#This Row],[MonthlyIncome]]&lt;5000,"Low",
IF(tbl_HRData[[#This Row],[MonthlyIncome]]&lt;10000,"Medium",
IF(tbl_HRData[[#This Row],[MonthlyIncome]]&lt;15000,"Upper Medium","High")))</f>
        <v>Medium</v>
      </c>
      <c r="AM547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548" spans="1:39" x14ac:dyDescent="0.35">
      <c r="A548" s="1">
        <v>547</v>
      </c>
      <c r="B548">
        <v>29</v>
      </c>
      <c r="C548" s="1" t="s">
        <v>40</v>
      </c>
      <c r="D548" s="1" t="s">
        <v>34</v>
      </c>
      <c r="E548">
        <v>1396</v>
      </c>
      <c r="F548" s="1" t="s">
        <v>35</v>
      </c>
      <c r="G548">
        <v>10</v>
      </c>
      <c r="H548">
        <v>3</v>
      </c>
      <c r="I548" s="1" t="s">
        <v>36</v>
      </c>
      <c r="J548">
        <v>749</v>
      </c>
      <c r="K548">
        <v>3</v>
      </c>
      <c r="L548" s="1" t="s">
        <v>43</v>
      </c>
      <c r="M548">
        <v>99</v>
      </c>
      <c r="N548">
        <v>3</v>
      </c>
      <c r="O548">
        <v>1</v>
      </c>
      <c r="P548" s="1" t="s">
        <v>54</v>
      </c>
      <c r="Q548">
        <v>3</v>
      </c>
      <c r="R548" s="1" t="s">
        <v>39</v>
      </c>
      <c r="S548">
        <v>2642</v>
      </c>
      <c r="T548">
        <v>2755</v>
      </c>
      <c r="U548">
        <v>1</v>
      </c>
      <c r="V548" s="1" t="s">
        <v>40</v>
      </c>
      <c r="W548">
        <v>11</v>
      </c>
      <c r="X548">
        <v>3</v>
      </c>
      <c r="Y548">
        <v>3</v>
      </c>
      <c r="Z548">
        <v>80</v>
      </c>
      <c r="AA548">
        <v>0</v>
      </c>
      <c r="AB548">
        <v>1</v>
      </c>
      <c r="AC548">
        <v>6</v>
      </c>
      <c r="AD548">
        <v>3</v>
      </c>
      <c r="AE548">
        <v>1</v>
      </c>
      <c r="AF548">
        <v>0</v>
      </c>
      <c r="AG548">
        <v>0</v>
      </c>
      <c r="AH548">
        <v>0</v>
      </c>
      <c r="AI548">
        <f>IF(tbl_HRData[[#This Row],[Attrition]] = "Yes",1,0)</f>
        <v>0</v>
      </c>
      <c r="AJ548">
        <f>IF(tbl_HRData[[#This Row],[Attrition]] = "No",1,0)</f>
        <v>1</v>
      </c>
      <c r="AK548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548" s="1" t="str">
        <f>IF(tbl_HRData[[#This Row],[MonthlyIncome]]&lt;5000,"Low",
IF(tbl_HRData[[#This Row],[MonthlyIncome]]&lt;10000,"Medium",
IF(tbl_HRData[[#This Row],[MonthlyIncome]]&lt;15000,"Upper Medium","High")))</f>
        <v>Low</v>
      </c>
      <c r="AM548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549" spans="1:39" x14ac:dyDescent="0.35">
      <c r="A549" s="1">
        <v>548</v>
      </c>
      <c r="B549">
        <v>42</v>
      </c>
      <c r="C549" s="1" t="s">
        <v>33</v>
      </c>
      <c r="D549" s="1" t="s">
        <v>41</v>
      </c>
      <c r="E549">
        <v>933</v>
      </c>
      <c r="F549" s="1" t="s">
        <v>42</v>
      </c>
      <c r="G549">
        <v>19</v>
      </c>
      <c r="H549">
        <v>3</v>
      </c>
      <c r="I549" s="1" t="s">
        <v>48</v>
      </c>
      <c r="J549">
        <v>752</v>
      </c>
      <c r="K549">
        <v>3</v>
      </c>
      <c r="L549" s="1" t="s">
        <v>43</v>
      </c>
      <c r="M549">
        <v>57</v>
      </c>
      <c r="N549">
        <v>4</v>
      </c>
      <c r="O549">
        <v>1</v>
      </c>
      <c r="P549" s="1" t="s">
        <v>44</v>
      </c>
      <c r="Q549">
        <v>3</v>
      </c>
      <c r="R549" s="1" t="s">
        <v>49</v>
      </c>
      <c r="S549">
        <v>2759</v>
      </c>
      <c r="T549">
        <v>20366</v>
      </c>
      <c r="U549">
        <v>6</v>
      </c>
      <c r="V549" s="1" t="s">
        <v>33</v>
      </c>
      <c r="W549">
        <v>12</v>
      </c>
      <c r="X549">
        <v>3</v>
      </c>
      <c r="Y549">
        <v>4</v>
      </c>
      <c r="Z549">
        <v>80</v>
      </c>
      <c r="AA549">
        <v>0</v>
      </c>
      <c r="AB549">
        <v>7</v>
      </c>
      <c r="AC549">
        <v>2</v>
      </c>
      <c r="AD549">
        <v>3</v>
      </c>
      <c r="AE549">
        <v>2</v>
      </c>
      <c r="AF549">
        <v>2</v>
      </c>
      <c r="AG549">
        <v>2</v>
      </c>
      <c r="AH549">
        <v>2</v>
      </c>
      <c r="AI549">
        <f>IF(tbl_HRData[[#This Row],[Attrition]] = "Yes",1,0)</f>
        <v>1</v>
      </c>
      <c r="AJ549">
        <f>IF(tbl_HRData[[#This Row],[Attrition]] = "No",1,0)</f>
        <v>0</v>
      </c>
      <c r="AK549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549" s="1" t="str">
        <f>IF(tbl_HRData[[#This Row],[MonthlyIncome]]&lt;5000,"Low",
IF(tbl_HRData[[#This Row],[MonthlyIncome]]&lt;10000,"Medium",
IF(tbl_HRData[[#This Row],[MonthlyIncome]]&lt;15000,"Upper Medium","High")))</f>
        <v>Low</v>
      </c>
      <c r="AM549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550" spans="1:39" x14ac:dyDescent="0.35">
      <c r="A550" s="1">
        <v>549</v>
      </c>
      <c r="B550">
        <v>43</v>
      </c>
      <c r="C550" s="1" t="s">
        <v>40</v>
      </c>
      <c r="D550" s="1" t="s">
        <v>41</v>
      </c>
      <c r="E550">
        <v>775</v>
      </c>
      <c r="F550" s="1" t="s">
        <v>35</v>
      </c>
      <c r="G550">
        <v>15</v>
      </c>
      <c r="H550">
        <v>3</v>
      </c>
      <c r="I550" s="1" t="s">
        <v>36</v>
      </c>
      <c r="J550">
        <v>754</v>
      </c>
      <c r="K550">
        <v>4</v>
      </c>
      <c r="L550" s="1" t="s">
        <v>43</v>
      </c>
      <c r="M550">
        <v>47</v>
      </c>
      <c r="N550">
        <v>2</v>
      </c>
      <c r="O550">
        <v>2</v>
      </c>
      <c r="P550" s="1" t="s">
        <v>38</v>
      </c>
      <c r="Q550">
        <v>4</v>
      </c>
      <c r="R550" s="1" t="s">
        <v>45</v>
      </c>
      <c r="S550">
        <v>6804</v>
      </c>
      <c r="T550">
        <v>23683</v>
      </c>
      <c r="U550">
        <v>3</v>
      </c>
      <c r="V550" s="1" t="s">
        <v>40</v>
      </c>
      <c r="W550">
        <v>18</v>
      </c>
      <c r="X550">
        <v>3</v>
      </c>
      <c r="Y550">
        <v>3</v>
      </c>
      <c r="Z550">
        <v>80</v>
      </c>
      <c r="AA550">
        <v>1</v>
      </c>
      <c r="AB550">
        <v>7</v>
      </c>
      <c r="AC550">
        <v>5</v>
      </c>
      <c r="AD550">
        <v>3</v>
      </c>
      <c r="AE550">
        <v>2</v>
      </c>
      <c r="AF550">
        <v>2</v>
      </c>
      <c r="AG550">
        <v>2</v>
      </c>
      <c r="AH550">
        <v>2</v>
      </c>
      <c r="AI550">
        <f>IF(tbl_HRData[[#This Row],[Attrition]] = "Yes",1,0)</f>
        <v>0</v>
      </c>
      <c r="AJ550">
        <f>IF(tbl_HRData[[#This Row],[Attrition]] = "No",1,0)</f>
        <v>1</v>
      </c>
      <c r="AK550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550" s="1" t="str">
        <f>IF(tbl_HRData[[#This Row],[MonthlyIncome]]&lt;5000,"Low",
IF(tbl_HRData[[#This Row],[MonthlyIncome]]&lt;10000,"Medium",
IF(tbl_HRData[[#This Row],[MonthlyIncome]]&lt;15000,"Upper Medium","High")))</f>
        <v>Medium</v>
      </c>
      <c r="AM550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551" spans="1:39" x14ac:dyDescent="0.35">
      <c r="A551" s="1">
        <v>550</v>
      </c>
      <c r="B551">
        <v>34</v>
      </c>
      <c r="C551" s="1" t="s">
        <v>40</v>
      </c>
      <c r="D551" s="1" t="s">
        <v>34</v>
      </c>
      <c r="E551">
        <v>970</v>
      </c>
      <c r="F551" s="1" t="s">
        <v>42</v>
      </c>
      <c r="G551">
        <v>8</v>
      </c>
      <c r="H551">
        <v>2</v>
      </c>
      <c r="I551" s="1" t="s">
        <v>48</v>
      </c>
      <c r="J551">
        <v>757</v>
      </c>
      <c r="K551">
        <v>2</v>
      </c>
      <c r="L551" s="1" t="s">
        <v>37</v>
      </c>
      <c r="M551">
        <v>96</v>
      </c>
      <c r="N551">
        <v>3</v>
      </c>
      <c r="O551">
        <v>2</v>
      </c>
      <c r="P551" s="1" t="s">
        <v>51</v>
      </c>
      <c r="Q551">
        <v>3</v>
      </c>
      <c r="R551" s="1" t="s">
        <v>39</v>
      </c>
      <c r="S551">
        <v>6142</v>
      </c>
      <c r="T551">
        <v>7360</v>
      </c>
      <c r="U551">
        <v>3</v>
      </c>
      <c r="V551" s="1" t="s">
        <v>40</v>
      </c>
      <c r="W551">
        <v>11</v>
      </c>
      <c r="X551">
        <v>3</v>
      </c>
      <c r="Y551">
        <v>4</v>
      </c>
      <c r="Z551">
        <v>80</v>
      </c>
      <c r="AA551">
        <v>0</v>
      </c>
      <c r="AB551">
        <v>10</v>
      </c>
      <c r="AC551">
        <v>2</v>
      </c>
      <c r="AD551">
        <v>3</v>
      </c>
      <c r="AE551">
        <v>5</v>
      </c>
      <c r="AF551">
        <v>1</v>
      </c>
      <c r="AG551">
        <v>4</v>
      </c>
      <c r="AH551">
        <v>3</v>
      </c>
      <c r="AI551">
        <f>IF(tbl_HRData[[#This Row],[Attrition]] = "Yes",1,0)</f>
        <v>0</v>
      </c>
      <c r="AJ551">
        <f>IF(tbl_HRData[[#This Row],[Attrition]] = "No",1,0)</f>
        <v>1</v>
      </c>
      <c r="AK551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551" s="1" t="str">
        <f>IF(tbl_HRData[[#This Row],[MonthlyIncome]]&lt;5000,"Low",
IF(tbl_HRData[[#This Row],[MonthlyIncome]]&lt;10000,"Medium",
IF(tbl_HRData[[#This Row],[MonthlyIncome]]&lt;15000,"Upper Medium","High")))</f>
        <v>Medium</v>
      </c>
      <c r="AM551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552" spans="1:39" x14ac:dyDescent="0.35">
      <c r="A552" s="1">
        <v>551</v>
      </c>
      <c r="B552">
        <v>23</v>
      </c>
      <c r="C552" s="1" t="s">
        <v>40</v>
      </c>
      <c r="D552" s="1" t="s">
        <v>34</v>
      </c>
      <c r="E552">
        <v>650</v>
      </c>
      <c r="F552" s="1" t="s">
        <v>42</v>
      </c>
      <c r="G552">
        <v>9</v>
      </c>
      <c r="H552">
        <v>1</v>
      </c>
      <c r="I552" s="1" t="s">
        <v>48</v>
      </c>
      <c r="J552">
        <v>758</v>
      </c>
      <c r="K552">
        <v>2</v>
      </c>
      <c r="L552" s="1" t="s">
        <v>43</v>
      </c>
      <c r="M552">
        <v>37</v>
      </c>
      <c r="N552">
        <v>3</v>
      </c>
      <c r="O552">
        <v>1</v>
      </c>
      <c r="P552" s="1" t="s">
        <v>47</v>
      </c>
      <c r="Q552">
        <v>1</v>
      </c>
      <c r="R552" s="1" t="s">
        <v>45</v>
      </c>
      <c r="S552">
        <v>2500</v>
      </c>
      <c r="T552">
        <v>4344</v>
      </c>
      <c r="U552">
        <v>1</v>
      </c>
      <c r="V552" s="1" t="s">
        <v>40</v>
      </c>
      <c r="W552">
        <v>14</v>
      </c>
      <c r="X552">
        <v>3</v>
      </c>
      <c r="Y552">
        <v>4</v>
      </c>
      <c r="Z552">
        <v>80</v>
      </c>
      <c r="AA552">
        <v>1</v>
      </c>
      <c r="AB552">
        <v>5</v>
      </c>
      <c r="AC552">
        <v>2</v>
      </c>
      <c r="AD552">
        <v>4</v>
      </c>
      <c r="AE552">
        <v>4</v>
      </c>
      <c r="AF552">
        <v>3</v>
      </c>
      <c r="AG552">
        <v>0</v>
      </c>
      <c r="AH552">
        <v>2</v>
      </c>
      <c r="AI552">
        <f>IF(tbl_HRData[[#This Row],[Attrition]] = "Yes",1,0)</f>
        <v>0</v>
      </c>
      <c r="AJ552">
        <f>IF(tbl_HRData[[#This Row],[Attrition]] = "No",1,0)</f>
        <v>1</v>
      </c>
      <c r="AK552" t="str">
        <f>IF(tbl_HRData[[#This Row],[Age]] &lt; 25, "Under 25", IF(tbl_HRData[[#This Row],[Age]] &lt;= 34, "25-34", IF(tbl_HRData[[#This Row],[Age]] &lt;= 44, "35-44", IF(tbl_HRData[[#This Row],[Age]] &lt;= 54, "45-54", "55+"))))</f>
        <v>Under 25</v>
      </c>
      <c r="AL552" s="1" t="str">
        <f>IF(tbl_HRData[[#This Row],[MonthlyIncome]]&lt;5000,"Low",
IF(tbl_HRData[[#This Row],[MonthlyIncome]]&lt;10000,"Medium",
IF(tbl_HRData[[#This Row],[MonthlyIncome]]&lt;15000,"Upper Medium","High")))</f>
        <v>Low</v>
      </c>
      <c r="AM552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553" spans="1:39" x14ac:dyDescent="0.35">
      <c r="A553" s="1">
        <v>552</v>
      </c>
      <c r="B553">
        <v>39</v>
      </c>
      <c r="C553" s="1" t="s">
        <v>40</v>
      </c>
      <c r="D553" s="1" t="s">
        <v>34</v>
      </c>
      <c r="E553">
        <v>141</v>
      </c>
      <c r="F553" s="1" t="s">
        <v>58</v>
      </c>
      <c r="G553">
        <v>3</v>
      </c>
      <c r="H553">
        <v>3</v>
      </c>
      <c r="I553" s="1" t="s">
        <v>58</v>
      </c>
      <c r="J553">
        <v>760</v>
      </c>
      <c r="K553">
        <v>3</v>
      </c>
      <c r="L553" s="1" t="s">
        <v>37</v>
      </c>
      <c r="M553">
        <v>44</v>
      </c>
      <c r="N553">
        <v>4</v>
      </c>
      <c r="O553">
        <v>2</v>
      </c>
      <c r="P553" s="1" t="s">
        <v>58</v>
      </c>
      <c r="Q553">
        <v>2</v>
      </c>
      <c r="R553" s="1" t="s">
        <v>45</v>
      </c>
      <c r="S553">
        <v>6389</v>
      </c>
      <c r="T553">
        <v>18767</v>
      </c>
      <c r="U553">
        <v>9</v>
      </c>
      <c r="V553" s="1" t="s">
        <v>40</v>
      </c>
      <c r="W553">
        <v>15</v>
      </c>
      <c r="X553">
        <v>3</v>
      </c>
      <c r="Y553">
        <v>3</v>
      </c>
      <c r="Z553">
        <v>80</v>
      </c>
      <c r="AA553">
        <v>1</v>
      </c>
      <c r="AB553">
        <v>12</v>
      </c>
      <c r="AC553">
        <v>3</v>
      </c>
      <c r="AD553">
        <v>1</v>
      </c>
      <c r="AE553">
        <v>8</v>
      </c>
      <c r="AF553">
        <v>3</v>
      </c>
      <c r="AG553">
        <v>3</v>
      </c>
      <c r="AH553">
        <v>6</v>
      </c>
      <c r="AI553">
        <f>IF(tbl_HRData[[#This Row],[Attrition]] = "Yes",1,0)</f>
        <v>0</v>
      </c>
      <c r="AJ553">
        <f>IF(tbl_HRData[[#This Row],[Attrition]] = "No",1,0)</f>
        <v>1</v>
      </c>
      <c r="AK553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553" s="1" t="str">
        <f>IF(tbl_HRData[[#This Row],[MonthlyIncome]]&lt;5000,"Low",
IF(tbl_HRData[[#This Row],[MonthlyIncome]]&lt;10000,"Medium",
IF(tbl_HRData[[#This Row],[MonthlyIncome]]&lt;15000,"Upper Medium","High")))</f>
        <v>Medium</v>
      </c>
      <c r="AM553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554" spans="1:39" x14ac:dyDescent="0.35">
      <c r="A554" s="1">
        <v>553</v>
      </c>
      <c r="B554">
        <v>56</v>
      </c>
      <c r="C554" s="1" t="s">
        <v>40</v>
      </c>
      <c r="D554" s="1" t="s">
        <v>34</v>
      </c>
      <c r="E554">
        <v>832</v>
      </c>
      <c r="F554" s="1" t="s">
        <v>42</v>
      </c>
      <c r="G554">
        <v>9</v>
      </c>
      <c r="H554">
        <v>3</v>
      </c>
      <c r="I554" s="1" t="s">
        <v>48</v>
      </c>
      <c r="J554">
        <v>762</v>
      </c>
      <c r="K554">
        <v>3</v>
      </c>
      <c r="L554" s="1" t="s">
        <v>43</v>
      </c>
      <c r="M554">
        <v>81</v>
      </c>
      <c r="N554">
        <v>3</v>
      </c>
      <c r="O554">
        <v>4</v>
      </c>
      <c r="P554" s="1" t="s">
        <v>51</v>
      </c>
      <c r="Q554">
        <v>4</v>
      </c>
      <c r="R554" s="1" t="s">
        <v>45</v>
      </c>
      <c r="S554">
        <v>11103</v>
      </c>
      <c r="T554">
        <v>20420</v>
      </c>
      <c r="U554">
        <v>7</v>
      </c>
      <c r="V554" s="1" t="s">
        <v>40</v>
      </c>
      <c r="W554">
        <v>11</v>
      </c>
      <c r="X554">
        <v>3</v>
      </c>
      <c r="Y554">
        <v>3</v>
      </c>
      <c r="Z554">
        <v>80</v>
      </c>
      <c r="AA554">
        <v>0</v>
      </c>
      <c r="AB554">
        <v>30</v>
      </c>
      <c r="AC554">
        <v>1</v>
      </c>
      <c r="AD554">
        <v>2</v>
      </c>
      <c r="AE554">
        <v>10</v>
      </c>
      <c r="AF554">
        <v>7</v>
      </c>
      <c r="AG554">
        <v>1</v>
      </c>
      <c r="AH554">
        <v>1</v>
      </c>
      <c r="AI554">
        <f>IF(tbl_HRData[[#This Row],[Attrition]] = "Yes",1,0)</f>
        <v>0</v>
      </c>
      <c r="AJ554">
        <f>IF(tbl_HRData[[#This Row],[Attrition]] = "No",1,0)</f>
        <v>1</v>
      </c>
      <c r="AK554" t="str">
        <f>IF(tbl_HRData[[#This Row],[Age]] &lt; 25, "Under 25", IF(tbl_HRData[[#This Row],[Age]] &lt;= 34, "25-34", IF(tbl_HRData[[#This Row],[Age]] &lt;= 44, "35-44", IF(tbl_HRData[[#This Row],[Age]] &lt;= 54, "45-54", "55+"))))</f>
        <v>55+</v>
      </c>
      <c r="AL554" s="1" t="str">
        <f>IF(tbl_HRData[[#This Row],[MonthlyIncome]]&lt;5000,"Low",
IF(tbl_HRData[[#This Row],[MonthlyIncome]]&lt;10000,"Medium",
IF(tbl_HRData[[#This Row],[MonthlyIncome]]&lt;15000,"Upper Medium","High")))</f>
        <v>Upper Medium</v>
      </c>
      <c r="AM554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555" spans="1:39" x14ac:dyDescent="0.35">
      <c r="A555" s="1">
        <v>554</v>
      </c>
      <c r="B555">
        <v>40</v>
      </c>
      <c r="C555" s="1" t="s">
        <v>40</v>
      </c>
      <c r="D555" s="1" t="s">
        <v>34</v>
      </c>
      <c r="E555">
        <v>804</v>
      </c>
      <c r="F555" s="1" t="s">
        <v>42</v>
      </c>
      <c r="G555">
        <v>2</v>
      </c>
      <c r="H555">
        <v>1</v>
      </c>
      <c r="I555" s="1" t="s">
        <v>48</v>
      </c>
      <c r="J555">
        <v>763</v>
      </c>
      <c r="K555">
        <v>4</v>
      </c>
      <c r="L555" s="1" t="s">
        <v>37</v>
      </c>
      <c r="M555">
        <v>86</v>
      </c>
      <c r="N555">
        <v>2</v>
      </c>
      <c r="O555">
        <v>1</v>
      </c>
      <c r="P555" s="1" t="s">
        <v>44</v>
      </c>
      <c r="Q555">
        <v>4</v>
      </c>
      <c r="R555" s="1" t="s">
        <v>39</v>
      </c>
      <c r="S555">
        <v>2342</v>
      </c>
      <c r="T555">
        <v>22929</v>
      </c>
      <c r="U555">
        <v>0</v>
      </c>
      <c r="V555" s="1" t="s">
        <v>33</v>
      </c>
      <c r="W555">
        <v>20</v>
      </c>
      <c r="X555">
        <v>4</v>
      </c>
      <c r="Y555">
        <v>4</v>
      </c>
      <c r="Z555">
        <v>80</v>
      </c>
      <c r="AA555">
        <v>0</v>
      </c>
      <c r="AB555">
        <v>5</v>
      </c>
      <c r="AC555">
        <v>2</v>
      </c>
      <c r="AD555">
        <v>2</v>
      </c>
      <c r="AE555">
        <v>4</v>
      </c>
      <c r="AF555">
        <v>2</v>
      </c>
      <c r="AG555">
        <v>2</v>
      </c>
      <c r="AH555">
        <v>3</v>
      </c>
      <c r="AI555">
        <f>IF(tbl_HRData[[#This Row],[Attrition]] = "Yes",1,0)</f>
        <v>0</v>
      </c>
      <c r="AJ555">
        <f>IF(tbl_HRData[[#This Row],[Attrition]] = "No",1,0)</f>
        <v>1</v>
      </c>
      <c r="AK555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555" s="1" t="str">
        <f>IF(tbl_HRData[[#This Row],[MonthlyIncome]]&lt;5000,"Low",
IF(tbl_HRData[[#This Row],[MonthlyIncome]]&lt;10000,"Medium",
IF(tbl_HRData[[#This Row],[MonthlyIncome]]&lt;15000,"Upper Medium","High")))</f>
        <v>Low</v>
      </c>
      <c r="AM555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556" spans="1:39" x14ac:dyDescent="0.35">
      <c r="A556" s="1">
        <v>555</v>
      </c>
      <c r="B556">
        <v>27</v>
      </c>
      <c r="C556" s="1" t="s">
        <v>40</v>
      </c>
      <c r="D556" s="1" t="s">
        <v>34</v>
      </c>
      <c r="E556">
        <v>975</v>
      </c>
      <c r="F556" s="1" t="s">
        <v>42</v>
      </c>
      <c r="G556">
        <v>7</v>
      </c>
      <c r="H556">
        <v>3</v>
      </c>
      <c r="I556" s="1" t="s">
        <v>48</v>
      </c>
      <c r="J556">
        <v>764</v>
      </c>
      <c r="K556">
        <v>4</v>
      </c>
      <c r="L556" s="1" t="s">
        <v>37</v>
      </c>
      <c r="M556">
        <v>55</v>
      </c>
      <c r="N556">
        <v>2</v>
      </c>
      <c r="O556">
        <v>2</v>
      </c>
      <c r="P556" s="1" t="s">
        <v>51</v>
      </c>
      <c r="Q556">
        <v>1</v>
      </c>
      <c r="R556" s="1" t="s">
        <v>39</v>
      </c>
      <c r="S556">
        <v>6811</v>
      </c>
      <c r="T556">
        <v>23398</v>
      </c>
      <c r="U556">
        <v>8</v>
      </c>
      <c r="V556" s="1" t="s">
        <v>40</v>
      </c>
      <c r="W556">
        <v>19</v>
      </c>
      <c r="X556">
        <v>3</v>
      </c>
      <c r="Y556">
        <v>1</v>
      </c>
      <c r="Z556">
        <v>80</v>
      </c>
      <c r="AA556">
        <v>0</v>
      </c>
      <c r="AB556">
        <v>9</v>
      </c>
      <c r="AC556">
        <v>2</v>
      </c>
      <c r="AD556">
        <v>1</v>
      </c>
      <c r="AE556">
        <v>7</v>
      </c>
      <c r="AF556">
        <v>6</v>
      </c>
      <c r="AG556">
        <v>0</v>
      </c>
      <c r="AH556">
        <v>7</v>
      </c>
      <c r="AI556">
        <f>IF(tbl_HRData[[#This Row],[Attrition]] = "Yes",1,0)</f>
        <v>0</v>
      </c>
      <c r="AJ556">
        <f>IF(tbl_HRData[[#This Row],[Attrition]] = "No",1,0)</f>
        <v>1</v>
      </c>
      <c r="AK556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556" s="1" t="str">
        <f>IF(tbl_HRData[[#This Row],[MonthlyIncome]]&lt;5000,"Low",
IF(tbl_HRData[[#This Row],[MonthlyIncome]]&lt;10000,"Medium",
IF(tbl_HRData[[#This Row],[MonthlyIncome]]&lt;15000,"Upper Medium","High")))</f>
        <v>Medium</v>
      </c>
      <c r="AM556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557" spans="1:39" x14ac:dyDescent="0.35">
      <c r="A557" s="1">
        <v>556</v>
      </c>
      <c r="B557">
        <v>29</v>
      </c>
      <c r="C557" s="1" t="s">
        <v>40</v>
      </c>
      <c r="D557" s="1" t="s">
        <v>34</v>
      </c>
      <c r="E557">
        <v>1090</v>
      </c>
      <c r="F557" s="1" t="s">
        <v>35</v>
      </c>
      <c r="G557">
        <v>10</v>
      </c>
      <c r="H557">
        <v>3</v>
      </c>
      <c r="I557" s="1" t="s">
        <v>56</v>
      </c>
      <c r="J557">
        <v>766</v>
      </c>
      <c r="K557">
        <v>4</v>
      </c>
      <c r="L557" s="1" t="s">
        <v>43</v>
      </c>
      <c r="M557">
        <v>83</v>
      </c>
      <c r="N557">
        <v>3</v>
      </c>
      <c r="O557">
        <v>1</v>
      </c>
      <c r="P557" s="1" t="s">
        <v>54</v>
      </c>
      <c r="Q557">
        <v>2</v>
      </c>
      <c r="R557" s="1" t="s">
        <v>49</v>
      </c>
      <c r="S557">
        <v>2297</v>
      </c>
      <c r="T557">
        <v>17967</v>
      </c>
      <c r="U557">
        <v>1</v>
      </c>
      <c r="V557" s="1" t="s">
        <v>40</v>
      </c>
      <c r="W557">
        <v>14</v>
      </c>
      <c r="X557">
        <v>3</v>
      </c>
      <c r="Y557">
        <v>4</v>
      </c>
      <c r="Z557">
        <v>80</v>
      </c>
      <c r="AA557">
        <v>2</v>
      </c>
      <c r="AB557">
        <v>2</v>
      </c>
      <c r="AC557">
        <v>2</v>
      </c>
      <c r="AD557">
        <v>3</v>
      </c>
      <c r="AE557">
        <v>2</v>
      </c>
      <c r="AF557">
        <v>2</v>
      </c>
      <c r="AG557">
        <v>2</v>
      </c>
      <c r="AH557">
        <v>2</v>
      </c>
      <c r="AI557">
        <f>IF(tbl_HRData[[#This Row],[Attrition]] = "Yes",1,0)</f>
        <v>0</v>
      </c>
      <c r="AJ557">
        <f>IF(tbl_HRData[[#This Row],[Attrition]] = "No",1,0)</f>
        <v>1</v>
      </c>
      <c r="AK557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557" s="1" t="str">
        <f>IF(tbl_HRData[[#This Row],[MonthlyIncome]]&lt;5000,"Low",
IF(tbl_HRData[[#This Row],[MonthlyIncome]]&lt;10000,"Medium",
IF(tbl_HRData[[#This Row],[MonthlyIncome]]&lt;15000,"Upper Medium","High")))</f>
        <v>Low</v>
      </c>
      <c r="AM557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558" spans="1:39" x14ac:dyDescent="0.35">
      <c r="A558" s="1">
        <v>557</v>
      </c>
      <c r="B558">
        <v>53</v>
      </c>
      <c r="C558" s="1" t="s">
        <v>40</v>
      </c>
      <c r="D558" s="1" t="s">
        <v>34</v>
      </c>
      <c r="E558">
        <v>346</v>
      </c>
      <c r="F558" s="1" t="s">
        <v>42</v>
      </c>
      <c r="G558">
        <v>6</v>
      </c>
      <c r="H558">
        <v>3</v>
      </c>
      <c r="I558" s="1" t="s">
        <v>36</v>
      </c>
      <c r="J558">
        <v>769</v>
      </c>
      <c r="K558">
        <v>4</v>
      </c>
      <c r="L558" s="1" t="s">
        <v>43</v>
      </c>
      <c r="M558">
        <v>86</v>
      </c>
      <c r="N558">
        <v>3</v>
      </c>
      <c r="O558">
        <v>2</v>
      </c>
      <c r="P558" s="1" t="s">
        <v>47</v>
      </c>
      <c r="Q558">
        <v>4</v>
      </c>
      <c r="R558" s="1" t="s">
        <v>39</v>
      </c>
      <c r="S558">
        <v>2450</v>
      </c>
      <c r="T558">
        <v>10919</v>
      </c>
      <c r="U558">
        <v>2</v>
      </c>
      <c r="V558" s="1" t="s">
        <v>40</v>
      </c>
      <c r="W558">
        <v>17</v>
      </c>
      <c r="X558">
        <v>3</v>
      </c>
      <c r="Y558">
        <v>4</v>
      </c>
      <c r="Z558">
        <v>80</v>
      </c>
      <c r="AA558">
        <v>0</v>
      </c>
      <c r="AB558">
        <v>19</v>
      </c>
      <c r="AC558">
        <v>4</v>
      </c>
      <c r="AD558">
        <v>3</v>
      </c>
      <c r="AE558">
        <v>2</v>
      </c>
      <c r="AF558">
        <v>2</v>
      </c>
      <c r="AG558">
        <v>2</v>
      </c>
      <c r="AH558">
        <v>2</v>
      </c>
      <c r="AI558">
        <f>IF(tbl_HRData[[#This Row],[Attrition]] = "Yes",1,0)</f>
        <v>0</v>
      </c>
      <c r="AJ558">
        <f>IF(tbl_HRData[[#This Row],[Attrition]] = "No",1,0)</f>
        <v>1</v>
      </c>
      <c r="AK558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558" s="1" t="str">
        <f>IF(tbl_HRData[[#This Row],[MonthlyIncome]]&lt;5000,"Low",
IF(tbl_HRData[[#This Row],[MonthlyIncome]]&lt;10000,"Medium",
IF(tbl_HRData[[#This Row],[MonthlyIncome]]&lt;15000,"Upper Medium","High")))</f>
        <v>Low</v>
      </c>
      <c r="AM558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559" spans="1:39" x14ac:dyDescent="0.35">
      <c r="A559" s="1">
        <v>558</v>
      </c>
      <c r="B559">
        <v>35</v>
      </c>
      <c r="C559" s="1" t="s">
        <v>40</v>
      </c>
      <c r="D559" s="1" t="s">
        <v>52</v>
      </c>
      <c r="E559">
        <v>1225</v>
      </c>
      <c r="F559" s="1" t="s">
        <v>42</v>
      </c>
      <c r="G559">
        <v>2</v>
      </c>
      <c r="H559">
        <v>4</v>
      </c>
      <c r="I559" s="1" t="s">
        <v>36</v>
      </c>
      <c r="J559">
        <v>771</v>
      </c>
      <c r="K559">
        <v>4</v>
      </c>
      <c r="L559" s="1" t="s">
        <v>37</v>
      </c>
      <c r="M559">
        <v>61</v>
      </c>
      <c r="N559">
        <v>3</v>
      </c>
      <c r="O559">
        <v>2</v>
      </c>
      <c r="P559" s="1" t="s">
        <v>51</v>
      </c>
      <c r="Q559">
        <v>1</v>
      </c>
      <c r="R559" s="1" t="s">
        <v>49</v>
      </c>
      <c r="S559">
        <v>5093</v>
      </c>
      <c r="T559">
        <v>4761</v>
      </c>
      <c r="U559">
        <v>2</v>
      </c>
      <c r="V559" s="1" t="s">
        <v>40</v>
      </c>
      <c r="W559">
        <v>11</v>
      </c>
      <c r="X559">
        <v>3</v>
      </c>
      <c r="Y559">
        <v>1</v>
      </c>
      <c r="Z559">
        <v>80</v>
      </c>
      <c r="AA559">
        <v>1</v>
      </c>
      <c r="AB559">
        <v>16</v>
      </c>
      <c r="AC559">
        <v>2</v>
      </c>
      <c r="AD559">
        <v>4</v>
      </c>
      <c r="AE559">
        <v>1</v>
      </c>
      <c r="AF559">
        <v>0</v>
      </c>
      <c r="AG559">
        <v>0</v>
      </c>
      <c r="AH559">
        <v>0</v>
      </c>
      <c r="AI559">
        <f>IF(tbl_HRData[[#This Row],[Attrition]] = "Yes",1,0)</f>
        <v>0</v>
      </c>
      <c r="AJ559">
        <f>IF(tbl_HRData[[#This Row],[Attrition]] = "No",1,0)</f>
        <v>1</v>
      </c>
      <c r="AK559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559" s="1" t="str">
        <f>IF(tbl_HRData[[#This Row],[MonthlyIncome]]&lt;5000,"Low",
IF(tbl_HRData[[#This Row],[MonthlyIncome]]&lt;10000,"Medium",
IF(tbl_HRData[[#This Row],[MonthlyIncome]]&lt;15000,"Upper Medium","High")))</f>
        <v>Medium</v>
      </c>
      <c r="AM559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560" spans="1:39" x14ac:dyDescent="0.35">
      <c r="A560" s="1">
        <v>559</v>
      </c>
      <c r="B560">
        <v>32</v>
      </c>
      <c r="C560" s="1" t="s">
        <v>40</v>
      </c>
      <c r="D560" s="1" t="s">
        <v>41</v>
      </c>
      <c r="E560">
        <v>430</v>
      </c>
      <c r="F560" s="1" t="s">
        <v>42</v>
      </c>
      <c r="G560">
        <v>24</v>
      </c>
      <c r="H560">
        <v>4</v>
      </c>
      <c r="I560" s="1" t="s">
        <v>36</v>
      </c>
      <c r="J560">
        <v>772</v>
      </c>
      <c r="K560">
        <v>1</v>
      </c>
      <c r="L560" s="1" t="s">
        <v>43</v>
      </c>
      <c r="M560">
        <v>80</v>
      </c>
      <c r="N560">
        <v>3</v>
      </c>
      <c r="O560">
        <v>2</v>
      </c>
      <c r="P560" s="1" t="s">
        <v>47</v>
      </c>
      <c r="Q560">
        <v>4</v>
      </c>
      <c r="R560" s="1" t="s">
        <v>45</v>
      </c>
      <c r="S560">
        <v>5309</v>
      </c>
      <c r="T560">
        <v>21146</v>
      </c>
      <c r="U560">
        <v>1</v>
      </c>
      <c r="V560" s="1" t="s">
        <v>40</v>
      </c>
      <c r="W560">
        <v>15</v>
      </c>
      <c r="X560">
        <v>3</v>
      </c>
      <c r="Y560">
        <v>4</v>
      </c>
      <c r="Z560">
        <v>80</v>
      </c>
      <c r="AA560">
        <v>2</v>
      </c>
      <c r="AB560">
        <v>10</v>
      </c>
      <c r="AC560">
        <v>2</v>
      </c>
      <c r="AD560">
        <v>3</v>
      </c>
      <c r="AE560">
        <v>10</v>
      </c>
      <c r="AF560">
        <v>8</v>
      </c>
      <c r="AG560">
        <v>4</v>
      </c>
      <c r="AH560">
        <v>7</v>
      </c>
      <c r="AI560">
        <f>IF(tbl_HRData[[#This Row],[Attrition]] = "Yes",1,0)</f>
        <v>0</v>
      </c>
      <c r="AJ560">
        <f>IF(tbl_HRData[[#This Row],[Attrition]] = "No",1,0)</f>
        <v>1</v>
      </c>
      <c r="AK560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560" s="1" t="str">
        <f>IF(tbl_HRData[[#This Row],[MonthlyIncome]]&lt;5000,"Low",
IF(tbl_HRData[[#This Row],[MonthlyIncome]]&lt;10000,"Medium",
IF(tbl_HRData[[#This Row],[MonthlyIncome]]&lt;15000,"Upper Medium","High")))</f>
        <v>Medium</v>
      </c>
      <c r="AM560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561" spans="1:39" x14ac:dyDescent="0.35">
      <c r="A561" s="1">
        <v>560</v>
      </c>
      <c r="B561">
        <v>38</v>
      </c>
      <c r="C561" s="1" t="s">
        <v>40</v>
      </c>
      <c r="D561" s="1" t="s">
        <v>34</v>
      </c>
      <c r="E561">
        <v>268</v>
      </c>
      <c r="F561" s="1" t="s">
        <v>42</v>
      </c>
      <c r="G561">
        <v>2</v>
      </c>
      <c r="H561">
        <v>5</v>
      </c>
      <c r="I561" s="1" t="s">
        <v>48</v>
      </c>
      <c r="J561">
        <v>773</v>
      </c>
      <c r="K561">
        <v>4</v>
      </c>
      <c r="L561" s="1" t="s">
        <v>43</v>
      </c>
      <c r="M561">
        <v>92</v>
      </c>
      <c r="N561">
        <v>3</v>
      </c>
      <c r="O561">
        <v>1</v>
      </c>
      <c r="P561" s="1" t="s">
        <v>44</v>
      </c>
      <c r="Q561">
        <v>3</v>
      </c>
      <c r="R561" s="1" t="s">
        <v>45</v>
      </c>
      <c r="S561">
        <v>3057</v>
      </c>
      <c r="T561">
        <v>20471</v>
      </c>
      <c r="U561">
        <v>6</v>
      </c>
      <c r="V561" s="1" t="s">
        <v>33</v>
      </c>
      <c r="W561">
        <v>13</v>
      </c>
      <c r="X561">
        <v>3</v>
      </c>
      <c r="Y561">
        <v>2</v>
      </c>
      <c r="Z561">
        <v>80</v>
      </c>
      <c r="AA561">
        <v>1</v>
      </c>
      <c r="AB561">
        <v>6</v>
      </c>
      <c r="AC561">
        <v>0</v>
      </c>
      <c r="AD561">
        <v>1</v>
      </c>
      <c r="AE561">
        <v>1</v>
      </c>
      <c r="AF561">
        <v>0</v>
      </c>
      <c r="AG561">
        <v>0</v>
      </c>
      <c r="AH561">
        <v>1</v>
      </c>
      <c r="AI561">
        <f>IF(tbl_HRData[[#This Row],[Attrition]] = "Yes",1,0)</f>
        <v>0</v>
      </c>
      <c r="AJ561">
        <f>IF(tbl_HRData[[#This Row],[Attrition]] = "No",1,0)</f>
        <v>1</v>
      </c>
      <c r="AK561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561" s="1" t="str">
        <f>IF(tbl_HRData[[#This Row],[MonthlyIncome]]&lt;5000,"Low",
IF(tbl_HRData[[#This Row],[MonthlyIncome]]&lt;10000,"Medium",
IF(tbl_HRData[[#This Row],[MonthlyIncome]]&lt;15000,"Upper Medium","High")))</f>
        <v>Low</v>
      </c>
      <c r="AM561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562" spans="1:39" x14ac:dyDescent="0.35">
      <c r="A562" s="1">
        <v>561</v>
      </c>
      <c r="B562">
        <v>34</v>
      </c>
      <c r="C562" s="1" t="s">
        <v>40</v>
      </c>
      <c r="D562" s="1" t="s">
        <v>34</v>
      </c>
      <c r="E562">
        <v>167</v>
      </c>
      <c r="F562" s="1" t="s">
        <v>42</v>
      </c>
      <c r="G562">
        <v>8</v>
      </c>
      <c r="H562">
        <v>5</v>
      </c>
      <c r="I562" s="1" t="s">
        <v>36</v>
      </c>
      <c r="J562">
        <v>775</v>
      </c>
      <c r="K562">
        <v>2</v>
      </c>
      <c r="L562" s="1" t="s">
        <v>37</v>
      </c>
      <c r="M562">
        <v>32</v>
      </c>
      <c r="N562">
        <v>3</v>
      </c>
      <c r="O562">
        <v>2</v>
      </c>
      <c r="P562" s="1" t="s">
        <v>50</v>
      </c>
      <c r="Q562">
        <v>1</v>
      </c>
      <c r="R562" s="1" t="s">
        <v>49</v>
      </c>
      <c r="S562">
        <v>5121</v>
      </c>
      <c r="T562">
        <v>4187</v>
      </c>
      <c r="U562">
        <v>3</v>
      </c>
      <c r="V562" s="1" t="s">
        <v>40</v>
      </c>
      <c r="W562">
        <v>14</v>
      </c>
      <c r="X562">
        <v>3</v>
      </c>
      <c r="Y562">
        <v>3</v>
      </c>
      <c r="Z562">
        <v>80</v>
      </c>
      <c r="AA562">
        <v>1</v>
      </c>
      <c r="AB562">
        <v>7</v>
      </c>
      <c r="AC562">
        <v>3</v>
      </c>
      <c r="AD562">
        <v>3</v>
      </c>
      <c r="AE562">
        <v>0</v>
      </c>
      <c r="AF562">
        <v>0</v>
      </c>
      <c r="AG562">
        <v>0</v>
      </c>
      <c r="AH562">
        <v>0</v>
      </c>
      <c r="AI562">
        <f>IF(tbl_HRData[[#This Row],[Attrition]] = "Yes",1,0)</f>
        <v>0</v>
      </c>
      <c r="AJ562">
        <f>IF(tbl_HRData[[#This Row],[Attrition]] = "No",1,0)</f>
        <v>1</v>
      </c>
      <c r="AK562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562" s="1" t="str">
        <f>IF(tbl_HRData[[#This Row],[MonthlyIncome]]&lt;5000,"Low",
IF(tbl_HRData[[#This Row],[MonthlyIncome]]&lt;10000,"Medium",
IF(tbl_HRData[[#This Row],[MonthlyIncome]]&lt;15000,"Upper Medium","High")))</f>
        <v>Medium</v>
      </c>
      <c r="AM562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563" spans="1:39" x14ac:dyDescent="0.35">
      <c r="A563" s="1">
        <v>562</v>
      </c>
      <c r="B563">
        <v>52</v>
      </c>
      <c r="C563" s="1" t="s">
        <v>40</v>
      </c>
      <c r="D563" s="1" t="s">
        <v>34</v>
      </c>
      <c r="E563">
        <v>621</v>
      </c>
      <c r="F563" s="1" t="s">
        <v>35</v>
      </c>
      <c r="G563">
        <v>3</v>
      </c>
      <c r="H563">
        <v>4</v>
      </c>
      <c r="I563" s="1" t="s">
        <v>56</v>
      </c>
      <c r="J563">
        <v>776</v>
      </c>
      <c r="K563">
        <v>3</v>
      </c>
      <c r="L563" s="1" t="s">
        <v>43</v>
      </c>
      <c r="M563">
        <v>31</v>
      </c>
      <c r="N563">
        <v>2</v>
      </c>
      <c r="O563">
        <v>4</v>
      </c>
      <c r="P563" s="1" t="s">
        <v>53</v>
      </c>
      <c r="Q563">
        <v>1</v>
      </c>
      <c r="R563" s="1" t="s">
        <v>45</v>
      </c>
      <c r="S563">
        <v>16856</v>
      </c>
      <c r="T563">
        <v>10084</v>
      </c>
      <c r="U563">
        <v>1</v>
      </c>
      <c r="V563" s="1" t="s">
        <v>40</v>
      </c>
      <c r="W563">
        <v>11</v>
      </c>
      <c r="X563">
        <v>3</v>
      </c>
      <c r="Y563">
        <v>1</v>
      </c>
      <c r="Z563">
        <v>80</v>
      </c>
      <c r="AA563">
        <v>0</v>
      </c>
      <c r="AB563">
        <v>34</v>
      </c>
      <c r="AC563">
        <v>3</v>
      </c>
      <c r="AD563">
        <v>4</v>
      </c>
      <c r="AE563">
        <v>34</v>
      </c>
      <c r="AF563">
        <v>6</v>
      </c>
      <c r="AG563">
        <v>1</v>
      </c>
      <c r="AH563">
        <v>16</v>
      </c>
      <c r="AI563">
        <f>IF(tbl_HRData[[#This Row],[Attrition]] = "Yes",1,0)</f>
        <v>0</v>
      </c>
      <c r="AJ563">
        <f>IF(tbl_HRData[[#This Row],[Attrition]] = "No",1,0)</f>
        <v>1</v>
      </c>
      <c r="AK563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563" s="1" t="str">
        <f>IF(tbl_HRData[[#This Row],[MonthlyIncome]]&lt;5000,"Low",
IF(tbl_HRData[[#This Row],[MonthlyIncome]]&lt;10000,"Medium",
IF(tbl_HRData[[#This Row],[MonthlyIncome]]&lt;15000,"Upper Medium","High")))</f>
        <v>High</v>
      </c>
      <c r="AM563" s="1" t="str">
        <f>IF(tbl_HRData[[#This Row],[YearsAtCompany]]&lt;=5,"0-5 Years",
IF(tbl_HRData[[#This Row],[YearsAtCompany]]&lt;=10,"6-10 Years",
IF(tbl_HRData[[#This Row],[YearsAtCompany]]&lt;=20,"11-20 Years","21+ Years")))</f>
        <v>21+ Years</v>
      </c>
    </row>
    <row r="564" spans="1:39" x14ac:dyDescent="0.35">
      <c r="A564" s="1">
        <v>563</v>
      </c>
      <c r="B564">
        <v>33</v>
      </c>
      <c r="C564" s="1" t="s">
        <v>33</v>
      </c>
      <c r="D564" s="1" t="s">
        <v>34</v>
      </c>
      <c r="E564">
        <v>527</v>
      </c>
      <c r="F564" s="1" t="s">
        <v>42</v>
      </c>
      <c r="G564">
        <v>1</v>
      </c>
      <c r="H564">
        <v>4</v>
      </c>
      <c r="I564" s="1" t="s">
        <v>46</v>
      </c>
      <c r="J564">
        <v>780</v>
      </c>
      <c r="K564">
        <v>4</v>
      </c>
      <c r="L564" s="1" t="s">
        <v>43</v>
      </c>
      <c r="M564">
        <v>63</v>
      </c>
      <c r="N564">
        <v>3</v>
      </c>
      <c r="O564">
        <v>1</v>
      </c>
      <c r="P564" s="1" t="s">
        <v>44</v>
      </c>
      <c r="Q564">
        <v>4</v>
      </c>
      <c r="R564" s="1" t="s">
        <v>39</v>
      </c>
      <c r="S564">
        <v>2686</v>
      </c>
      <c r="T564">
        <v>5207</v>
      </c>
      <c r="U564">
        <v>1</v>
      </c>
      <c r="V564" s="1" t="s">
        <v>33</v>
      </c>
      <c r="W564">
        <v>13</v>
      </c>
      <c r="X564">
        <v>3</v>
      </c>
      <c r="Y564">
        <v>3</v>
      </c>
      <c r="Z564">
        <v>80</v>
      </c>
      <c r="AA564">
        <v>0</v>
      </c>
      <c r="AB564">
        <v>10</v>
      </c>
      <c r="AC564">
        <v>2</v>
      </c>
      <c r="AD564">
        <v>2</v>
      </c>
      <c r="AE564">
        <v>10</v>
      </c>
      <c r="AF564">
        <v>9</v>
      </c>
      <c r="AG564">
        <v>7</v>
      </c>
      <c r="AH564">
        <v>8</v>
      </c>
      <c r="AI564">
        <f>IF(tbl_HRData[[#This Row],[Attrition]] = "Yes",1,0)</f>
        <v>1</v>
      </c>
      <c r="AJ564">
        <f>IF(tbl_HRData[[#This Row],[Attrition]] = "No",1,0)</f>
        <v>0</v>
      </c>
      <c r="AK564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564" s="1" t="str">
        <f>IF(tbl_HRData[[#This Row],[MonthlyIncome]]&lt;5000,"Low",
IF(tbl_HRData[[#This Row],[MonthlyIncome]]&lt;10000,"Medium",
IF(tbl_HRData[[#This Row],[MonthlyIncome]]&lt;15000,"Upper Medium","High")))</f>
        <v>Low</v>
      </c>
      <c r="AM564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565" spans="1:39" x14ac:dyDescent="0.35">
      <c r="A565" s="1">
        <v>564</v>
      </c>
      <c r="B565">
        <v>25</v>
      </c>
      <c r="C565" s="1" t="s">
        <v>40</v>
      </c>
      <c r="D565" s="1" t="s">
        <v>34</v>
      </c>
      <c r="E565">
        <v>883</v>
      </c>
      <c r="F565" s="1" t="s">
        <v>35</v>
      </c>
      <c r="G565">
        <v>26</v>
      </c>
      <c r="H565">
        <v>1</v>
      </c>
      <c r="I565" s="1" t="s">
        <v>48</v>
      </c>
      <c r="J565">
        <v>781</v>
      </c>
      <c r="K565">
        <v>3</v>
      </c>
      <c r="L565" s="1" t="s">
        <v>37</v>
      </c>
      <c r="M565">
        <v>32</v>
      </c>
      <c r="N565">
        <v>3</v>
      </c>
      <c r="O565">
        <v>2</v>
      </c>
      <c r="P565" s="1" t="s">
        <v>38</v>
      </c>
      <c r="Q565">
        <v>4</v>
      </c>
      <c r="R565" s="1" t="s">
        <v>39</v>
      </c>
      <c r="S565">
        <v>6180</v>
      </c>
      <c r="T565">
        <v>22807</v>
      </c>
      <c r="U565">
        <v>1</v>
      </c>
      <c r="V565" s="1" t="s">
        <v>40</v>
      </c>
      <c r="W565">
        <v>23</v>
      </c>
      <c r="X565">
        <v>4</v>
      </c>
      <c r="Y565">
        <v>2</v>
      </c>
      <c r="Z565">
        <v>80</v>
      </c>
      <c r="AA565">
        <v>0</v>
      </c>
      <c r="AB565">
        <v>6</v>
      </c>
      <c r="AC565">
        <v>5</v>
      </c>
      <c r="AD565">
        <v>2</v>
      </c>
      <c r="AE565">
        <v>6</v>
      </c>
      <c r="AF565">
        <v>5</v>
      </c>
      <c r="AG565">
        <v>1</v>
      </c>
      <c r="AH565">
        <v>4</v>
      </c>
      <c r="AI565">
        <f>IF(tbl_HRData[[#This Row],[Attrition]] = "Yes",1,0)</f>
        <v>0</v>
      </c>
      <c r="AJ565">
        <f>IF(tbl_HRData[[#This Row],[Attrition]] = "No",1,0)</f>
        <v>1</v>
      </c>
      <c r="AK565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565" s="1" t="str">
        <f>IF(tbl_HRData[[#This Row],[MonthlyIncome]]&lt;5000,"Low",
IF(tbl_HRData[[#This Row],[MonthlyIncome]]&lt;10000,"Medium",
IF(tbl_HRData[[#This Row],[MonthlyIncome]]&lt;15000,"Upper Medium","High")))</f>
        <v>Medium</v>
      </c>
      <c r="AM565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566" spans="1:39" x14ac:dyDescent="0.35">
      <c r="A566" s="1">
        <v>565</v>
      </c>
      <c r="B566">
        <v>45</v>
      </c>
      <c r="C566" s="1" t="s">
        <v>40</v>
      </c>
      <c r="D566" s="1" t="s">
        <v>34</v>
      </c>
      <c r="E566">
        <v>954</v>
      </c>
      <c r="F566" s="1" t="s">
        <v>35</v>
      </c>
      <c r="G566">
        <v>2</v>
      </c>
      <c r="H566">
        <v>2</v>
      </c>
      <c r="I566" s="1" t="s">
        <v>57</v>
      </c>
      <c r="J566">
        <v>783</v>
      </c>
      <c r="K566">
        <v>2</v>
      </c>
      <c r="L566" s="1" t="s">
        <v>43</v>
      </c>
      <c r="M566">
        <v>46</v>
      </c>
      <c r="N566">
        <v>1</v>
      </c>
      <c r="O566">
        <v>2</v>
      </c>
      <c r="P566" s="1" t="s">
        <v>54</v>
      </c>
      <c r="Q566">
        <v>3</v>
      </c>
      <c r="R566" s="1" t="s">
        <v>39</v>
      </c>
      <c r="S566">
        <v>6632</v>
      </c>
      <c r="T566">
        <v>12388</v>
      </c>
      <c r="U566">
        <v>0</v>
      </c>
      <c r="V566" s="1" t="s">
        <v>40</v>
      </c>
      <c r="W566">
        <v>13</v>
      </c>
      <c r="X566">
        <v>3</v>
      </c>
      <c r="Y566">
        <v>1</v>
      </c>
      <c r="Z566">
        <v>80</v>
      </c>
      <c r="AA566">
        <v>0</v>
      </c>
      <c r="AB566">
        <v>9</v>
      </c>
      <c r="AC566">
        <v>3</v>
      </c>
      <c r="AD566">
        <v>3</v>
      </c>
      <c r="AE566">
        <v>8</v>
      </c>
      <c r="AF566">
        <v>7</v>
      </c>
      <c r="AG566">
        <v>3</v>
      </c>
      <c r="AH566">
        <v>1</v>
      </c>
      <c r="AI566">
        <f>IF(tbl_HRData[[#This Row],[Attrition]] = "Yes",1,0)</f>
        <v>0</v>
      </c>
      <c r="AJ566">
        <f>IF(tbl_HRData[[#This Row],[Attrition]] = "No",1,0)</f>
        <v>1</v>
      </c>
      <c r="AK566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566" s="1" t="str">
        <f>IF(tbl_HRData[[#This Row],[MonthlyIncome]]&lt;5000,"Low",
IF(tbl_HRData[[#This Row],[MonthlyIncome]]&lt;10000,"Medium",
IF(tbl_HRData[[#This Row],[MonthlyIncome]]&lt;15000,"Upper Medium","High")))</f>
        <v>Medium</v>
      </c>
      <c r="AM566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567" spans="1:39" x14ac:dyDescent="0.35">
      <c r="A567" s="1">
        <v>566</v>
      </c>
      <c r="B567">
        <v>23</v>
      </c>
      <c r="C567" s="1" t="s">
        <v>40</v>
      </c>
      <c r="D567" s="1" t="s">
        <v>34</v>
      </c>
      <c r="E567">
        <v>310</v>
      </c>
      <c r="F567" s="1" t="s">
        <v>42</v>
      </c>
      <c r="G567">
        <v>10</v>
      </c>
      <c r="H567">
        <v>1</v>
      </c>
      <c r="I567" s="1" t="s">
        <v>48</v>
      </c>
      <c r="J567">
        <v>784</v>
      </c>
      <c r="K567">
        <v>1</v>
      </c>
      <c r="L567" s="1" t="s">
        <v>43</v>
      </c>
      <c r="M567">
        <v>79</v>
      </c>
      <c r="N567">
        <v>4</v>
      </c>
      <c r="O567">
        <v>1</v>
      </c>
      <c r="P567" s="1" t="s">
        <v>44</v>
      </c>
      <c r="Q567">
        <v>3</v>
      </c>
      <c r="R567" s="1" t="s">
        <v>39</v>
      </c>
      <c r="S567">
        <v>3505</v>
      </c>
      <c r="T567">
        <v>19630</v>
      </c>
      <c r="U567">
        <v>1</v>
      </c>
      <c r="V567" s="1" t="s">
        <v>40</v>
      </c>
      <c r="W567">
        <v>18</v>
      </c>
      <c r="X567">
        <v>3</v>
      </c>
      <c r="Y567">
        <v>4</v>
      </c>
      <c r="Z567">
        <v>80</v>
      </c>
      <c r="AA567">
        <v>0</v>
      </c>
      <c r="AB567">
        <v>2</v>
      </c>
      <c r="AC567">
        <v>3</v>
      </c>
      <c r="AD567">
        <v>3</v>
      </c>
      <c r="AE567">
        <v>2</v>
      </c>
      <c r="AF567">
        <v>2</v>
      </c>
      <c r="AG567">
        <v>0</v>
      </c>
      <c r="AH567">
        <v>2</v>
      </c>
      <c r="AI567">
        <f>IF(tbl_HRData[[#This Row],[Attrition]] = "Yes",1,0)</f>
        <v>0</v>
      </c>
      <c r="AJ567">
        <f>IF(tbl_HRData[[#This Row],[Attrition]] = "No",1,0)</f>
        <v>1</v>
      </c>
      <c r="AK567" t="str">
        <f>IF(tbl_HRData[[#This Row],[Age]] &lt; 25, "Under 25", IF(tbl_HRData[[#This Row],[Age]] &lt;= 34, "25-34", IF(tbl_HRData[[#This Row],[Age]] &lt;= 44, "35-44", IF(tbl_HRData[[#This Row],[Age]] &lt;= 54, "45-54", "55+"))))</f>
        <v>Under 25</v>
      </c>
      <c r="AL567" s="1" t="str">
        <f>IF(tbl_HRData[[#This Row],[MonthlyIncome]]&lt;5000,"Low",
IF(tbl_HRData[[#This Row],[MonthlyIncome]]&lt;10000,"Medium",
IF(tbl_HRData[[#This Row],[MonthlyIncome]]&lt;15000,"Upper Medium","High")))</f>
        <v>Low</v>
      </c>
      <c r="AM567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568" spans="1:39" x14ac:dyDescent="0.35">
      <c r="A568" s="1">
        <v>567</v>
      </c>
      <c r="B568">
        <v>47</v>
      </c>
      <c r="C568" s="1" t="s">
        <v>33</v>
      </c>
      <c r="D568" s="1" t="s">
        <v>41</v>
      </c>
      <c r="E568">
        <v>719</v>
      </c>
      <c r="F568" s="1" t="s">
        <v>35</v>
      </c>
      <c r="G568">
        <v>27</v>
      </c>
      <c r="H568">
        <v>2</v>
      </c>
      <c r="I568" s="1" t="s">
        <v>36</v>
      </c>
      <c r="J568">
        <v>785</v>
      </c>
      <c r="K568">
        <v>2</v>
      </c>
      <c r="L568" s="1" t="s">
        <v>37</v>
      </c>
      <c r="M568">
        <v>77</v>
      </c>
      <c r="N568">
        <v>4</v>
      </c>
      <c r="O568">
        <v>2</v>
      </c>
      <c r="P568" s="1" t="s">
        <v>38</v>
      </c>
      <c r="Q568">
        <v>3</v>
      </c>
      <c r="R568" s="1" t="s">
        <v>39</v>
      </c>
      <c r="S568">
        <v>6397</v>
      </c>
      <c r="T568">
        <v>10339</v>
      </c>
      <c r="U568">
        <v>4</v>
      </c>
      <c r="V568" s="1" t="s">
        <v>33</v>
      </c>
      <c r="W568">
        <v>12</v>
      </c>
      <c r="X568">
        <v>3</v>
      </c>
      <c r="Y568">
        <v>4</v>
      </c>
      <c r="Z568">
        <v>80</v>
      </c>
      <c r="AA568">
        <v>0</v>
      </c>
      <c r="AB568">
        <v>8</v>
      </c>
      <c r="AC568">
        <v>2</v>
      </c>
      <c r="AD568">
        <v>3</v>
      </c>
      <c r="AE568">
        <v>5</v>
      </c>
      <c r="AF568">
        <v>4</v>
      </c>
      <c r="AG568">
        <v>1</v>
      </c>
      <c r="AH568">
        <v>3</v>
      </c>
      <c r="AI568">
        <f>IF(tbl_HRData[[#This Row],[Attrition]] = "Yes",1,0)</f>
        <v>1</v>
      </c>
      <c r="AJ568">
        <f>IF(tbl_HRData[[#This Row],[Attrition]] = "No",1,0)</f>
        <v>0</v>
      </c>
      <c r="AK568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568" s="1" t="str">
        <f>IF(tbl_HRData[[#This Row],[MonthlyIncome]]&lt;5000,"Low",
IF(tbl_HRData[[#This Row],[MonthlyIncome]]&lt;10000,"Medium",
IF(tbl_HRData[[#This Row],[MonthlyIncome]]&lt;15000,"Upper Medium","High")))</f>
        <v>Medium</v>
      </c>
      <c r="AM568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569" spans="1:39" x14ac:dyDescent="0.35">
      <c r="A569" s="1">
        <v>568</v>
      </c>
      <c r="B569">
        <v>34</v>
      </c>
      <c r="C569" s="1" t="s">
        <v>40</v>
      </c>
      <c r="D569" s="1" t="s">
        <v>34</v>
      </c>
      <c r="E569">
        <v>304</v>
      </c>
      <c r="F569" s="1" t="s">
        <v>35</v>
      </c>
      <c r="G569">
        <v>2</v>
      </c>
      <c r="H569">
        <v>3</v>
      </c>
      <c r="I569" s="1" t="s">
        <v>46</v>
      </c>
      <c r="J569">
        <v>786</v>
      </c>
      <c r="K569">
        <v>4</v>
      </c>
      <c r="L569" s="1" t="s">
        <v>43</v>
      </c>
      <c r="M569">
        <v>60</v>
      </c>
      <c r="N569">
        <v>3</v>
      </c>
      <c r="O569">
        <v>2</v>
      </c>
      <c r="P569" s="1" t="s">
        <v>38</v>
      </c>
      <c r="Q569">
        <v>4</v>
      </c>
      <c r="R569" s="1" t="s">
        <v>39</v>
      </c>
      <c r="S569">
        <v>6274</v>
      </c>
      <c r="T569">
        <v>18686</v>
      </c>
      <c r="U569">
        <v>1</v>
      </c>
      <c r="V569" s="1" t="s">
        <v>40</v>
      </c>
      <c r="W569">
        <v>22</v>
      </c>
      <c r="X569">
        <v>4</v>
      </c>
      <c r="Y569">
        <v>3</v>
      </c>
      <c r="Z569">
        <v>80</v>
      </c>
      <c r="AA569">
        <v>0</v>
      </c>
      <c r="AB569">
        <v>6</v>
      </c>
      <c r="AC569">
        <v>5</v>
      </c>
      <c r="AD569">
        <v>3</v>
      </c>
      <c r="AE569">
        <v>6</v>
      </c>
      <c r="AF569">
        <v>5</v>
      </c>
      <c r="AG569">
        <v>1</v>
      </c>
      <c r="AH569">
        <v>4</v>
      </c>
      <c r="AI569">
        <f>IF(tbl_HRData[[#This Row],[Attrition]] = "Yes",1,0)</f>
        <v>0</v>
      </c>
      <c r="AJ569">
        <f>IF(tbl_HRData[[#This Row],[Attrition]] = "No",1,0)</f>
        <v>1</v>
      </c>
      <c r="AK569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569" s="1" t="str">
        <f>IF(tbl_HRData[[#This Row],[MonthlyIncome]]&lt;5000,"Low",
IF(tbl_HRData[[#This Row],[MonthlyIncome]]&lt;10000,"Medium",
IF(tbl_HRData[[#This Row],[MonthlyIncome]]&lt;15000,"Upper Medium","High")))</f>
        <v>Medium</v>
      </c>
      <c r="AM569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570" spans="1:39" x14ac:dyDescent="0.35">
      <c r="A570" s="1">
        <v>569</v>
      </c>
      <c r="B570">
        <v>55</v>
      </c>
      <c r="C570" s="1" t="s">
        <v>33</v>
      </c>
      <c r="D570" s="1" t="s">
        <v>34</v>
      </c>
      <c r="E570">
        <v>725</v>
      </c>
      <c r="F570" s="1" t="s">
        <v>42</v>
      </c>
      <c r="G570">
        <v>2</v>
      </c>
      <c r="H570">
        <v>3</v>
      </c>
      <c r="I570" s="1" t="s">
        <v>48</v>
      </c>
      <c r="J570">
        <v>787</v>
      </c>
      <c r="K570">
        <v>4</v>
      </c>
      <c r="L570" s="1" t="s">
        <v>43</v>
      </c>
      <c r="M570">
        <v>78</v>
      </c>
      <c r="N570">
        <v>3</v>
      </c>
      <c r="O570">
        <v>5</v>
      </c>
      <c r="P570" s="1" t="s">
        <v>53</v>
      </c>
      <c r="Q570">
        <v>1</v>
      </c>
      <c r="R570" s="1" t="s">
        <v>45</v>
      </c>
      <c r="S570">
        <v>19859</v>
      </c>
      <c r="T570">
        <v>21199</v>
      </c>
      <c r="U570">
        <v>5</v>
      </c>
      <c r="V570" s="1" t="s">
        <v>33</v>
      </c>
      <c r="W570">
        <v>13</v>
      </c>
      <c r="X570">
        <v>3</v>
      </c>
      <c r="Y570">
        <v>4</v>
      </c>
      <c r="Z570">
        <v>80</v>
      </c>
      <c r="AA570">
        <v>1</v>
      </c>
      <c r="AB570">
        <v>24</v>
      </c>
      <c r="AC570">
        <v>2</v>
      </c>
      <c r="AD570">
        <v>3</v>
      </c>
      <c r="AE570">
        <v>5</v>
      </c>
      <c r="AF570">
        <v>2</v>
      </c>
      <c r="AG570">
        <v>1</v>
      </c>
      <c r="AH570">
        <v>4</v>
      </c>
      <c r="AI570">
        <f>IF(tbl_HRData[[#This Row],[Attrition]] = "Yes",1,0)</f>
        <v>1</v>
      </c>
      <c r="AJ570">
        <f>IF(tbl_HRData[[#This Row],[Attrition]] = "No",1,0)</f>
        <v>0</v>
      </c>
      <c r="AK570" t="str">
        <f>IF(tbl_HRData[[#This Row],[Age]] &lt; 25, "Under 25", IF(tbl_HRData[[#This Row],[Age]] &lt;= 34, "25-34", IF(tbl_HRData[[#This Row],[Age]] &lt;= 44, "35-44", IF(tbl_HRData[[#This Row],[Age]] &lt;= 54, "45-54", "55+"))))</f>
        <v>55+</v>
      </c>
      <c r="AL570" s="1" t="str">
        <f>IF(tbl_HRData[[#This Row],[MonthlyIncome]]&lt;5000,"Low",
IF(tbl_HRData[[#This Row],[MonthlyIncome]]&lt;10000,"Medium",
IF(tbl_HRData[[#This Row],[MonthlyIncome]]&lt;15000,"Upper Medium","High")))</f>
        <v>High</v>
      </c>
      <c r="AM570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571" spans="1:39" x14ac:dyDescent="0.35">
      <c r="A571" s="1">
        <v>570</v>
      </c>
      <c r="B571">
        <v>36</v>
      </c>
      <c r="C571" s="1" t="s">
        <v>40</v>
      </c>
      <c r="D571" s="1" t="s">
        <v>52</v>
      </c>
      <c r="E571">
        <v>1434</v>
      </c>
      <c r="F571" s="1" t="s">
        <v>35</v>
      </c>
      <c r="G571">
        <v>8</v>
      </c>
      <c r="H571">
        <v>4</v>
      </c>
      <c r="I571" s="1" t="s">
        <v>36</v>
      </c>
      <c r="J571">
        <v>789</v>
      </c>
      <c r="K571">
        <v>1</v>
      </c>
      <c r="L571" s="1" t="s">
        <v>43</v>
      </c>
      <c r="M571">
        <v>76</v>
      </c>
      <c r="N571">
        <v>2</v>
      </c>
      <c r="O571">
        <v>3</v>
      </c>
      <c r="P571" s="1" t="s">
        <v>38</v>
      </c>
      <c r="Q571">
        <v>1</v>
      </c>
      <c r="R571" s="1" t="s">
        <v>39</v>
      </c>
      <c r="S571">
        <v>7587</v>
      </c>
      <c r="T571">
        <v>14229</v>
      </c>
      <c r="U571">
        <v>1</v>
      </c>
      <c r="V571" s="1" t="s">
        <v>40</v>
      </c>
      <c r="W571">
        <v>15</v>
      </c>
      <c r="X571">
        <v>3</v>
      </c>
      <c r="Y571">
        <v>2</v>
      </c>
      <c r="Z571">
        <v>80</v>
      </c>
      <c r="AA571">
        <v>0</v>
      </c>
      <c r="AB571">
        <v>10</v>
      </c>
      <c r="AC571">
        <v>1</v>
      </c>
      <c r="AD571">
        <v>3</v>
      </c>
      <c r="AE571">
        <v>10</v>
      </c>
      <c r="AF571">
        <v>7</v>
      </c>
      <c r="AG571">
        <v>0</v>
      </c>
      <c r="AH571">
        <v>9</v>
      </c>
      <c r="AI571">
        <f>IF(tbl_HRData[[#This Row],[Attrition]] = "Yes",1,0)</f>
        <v>0</v>
      </c>
      <c r="AJ571">
        <f>IF(tbl_HRData[[#This Row],[Attrition]] = "No",1,0)</f>
        <v>1</v>
      </c>
      <c r="AK571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571" s="1" t="str">
        <f>IF(tbl_HRData[[#This Row],[MonthlyIncome]]&lt;5000,"Low",
IF(tbl_HRData[[#This Row],[MonthlyIncome]]&lt;10000,"Medium",
IF(tbl_HRData[[#This Row],[MonthlyIncome]]&lt;15000,"Upper Medium","High")))</f>
        <v>Medium</v>
      </c>
      <c r="AM571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572" spans="1:39" x14ac:dyDescent="0.35">
      <c r="A572" s="1">
        <v>571</v>
      </c>
      <c r="B572">
        <v>52</v>
      </c>
      <c r="C572" s="1" t="s">
        <v>40</v>
      </c>
      <c r="D572" s="1" t="s">
        <v>52</v>
      </c>
      <c r="E572">
        <v>715</v>
      </c>
      <c r="F572" s="1" t="s">
        <v>42</v>
      </c>
      <c r="G572">
        <v>19</v>
      </c>
      <c r="H572">
        <v>4</v>
      </c>
      <c r="I572" s="1" t="s">
        <v>48</v>
      </c>
      <c r="J572">
        <v>791</v>
      </c>
      <c r="K572">
        <v>4</v>
      </c>
      <c r="L572" s="1" t="s">
        <v>43</v>
      </c>
      <c r="M572">
        <v>41</v>
      </c>
      <c r="N572">
        <v>3</v>
      </c>
      <c r="O572">
        <v>1</v>
      </c>
      <c r="P572" s="1" t="s">
        <v>44</v>
      </c>
      <c r="Q572">
        <v>4</v>
      </c>
      <c r="R572" s="1" t="s">
        <v>45</v>
      </c>
      <c r="S572">
        <v>4258</v>
      </c>
      <c r="T572">
        <v>26589</v>
      </c>
      <c r="U572">
        <v>0</v>
      </c>
      <c r="V572" s="1" t="s">
        <v>40</v>
      </c>
      <c r="W572">
        <v>18</v>
      </c>
      <c r="X572">
        <v>3</v>
      </c>
      <c r="Y572">
        <v>1</v>
      </c>
      <c r="Z572">
        <v>80</v>
      </c>
      <c r="AA572">
        <v>1</v>
      </c>
      <c r="AB572">
        <v>5</v>
      </c>
      <c r="AC572">
        <v>3</v>
      </c>
      <c r="AD572">
        <v>3</v>
      </c>
      <c r="AE572">
        <v>4</v>
      </c>
      <c r="AF572">
        <v>3</v>
      </c>
      <c r="AG572">
        <v>1</v>
      </c>
      <c r="AH572">
        <v>2</v>
      </c>
      <c r="AI572">
        <f>IF(tbl_HRData[[#This Row],[Attrition]] = "Yes",1,0)</f>
        <v>0</v>
      </c>
      <c r="AJ572">
        <f>IF(tbl_HRData[[#This Row],[Attrition]] = "No",1,0)</f>
        <v>1</v>
      </c>
      <c r="AK572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572" s="1" t="str">
        <f>IF(tbl_HRData[[#This Row],[MonthlyIncome]]&lt;5000,"Low",
IF(tbl_HRData[[#This Row],[MonthlyIncome]]&lt;10000,"Medium",
IF(tbl_HRData[[#This Row],[MonthlyIncome]]&lt;15000,"Upper Medium","High")))</f>
        <v>Low</v>
      </c>
      <c r="AM572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573" spans="1:39" x14ac:dyDescent="0.35">
      <c r="A573" s="1">
        <v>572</v>
      </c>
      <c r="B573">
        <v>26</v>
      </c>
      <c r="C573" s="1" t="s">
        <v>40</v>
      </c>
      <c r="D573" s="1" t="s">
        <v>41</v>
      </c>
      <c r="E573">
        <v>575</v>
      </c>
      <c r="F573" s="1" t="s">
        <v>42</v>
      </c>
      <c r="G573">
        <v>1</v>
      </c>
      <c r="H573">
        <v>2</v>
      </c>
      <c r="I573" s="1" t="s">
        <v>36</v>
      </c>
      <c r="J573">
        <v>792</v>
      </c>
      <c r="K573">
        <v>1</v>
      </c>
      <c r="L573" s="1" t="s">
        <v>37</v>
      </c>
      <c r="M573">
        <v>71</v>
      </c>
      <c r="N573">
        <v>1</v>
      </c>
      <c r="O573">
        <v>1</v>
      </c>
      <c r="P573" s="1" t="s">
        <v>47</v>
      </c>
      <c r="Q573">
        <v>4</v>
      </c>
      <c r="R573" s="1" t="s">
        <v>49</v>
      </c>
      <c r="S573">
        <v>4364</v>
      </c>
      <c r="T573">
        <v>5288</v>
      </c>
      <c r="U573">
        <v>3</v>
      </c>
      <c r="V573" s="1" t="s">
        <v>40</v>
      </c>
      <c r="W573">
        <v>14</v>
      </c>
      <c r="X573">
        <v>3</v>
      </c>
      <c r="Y573">
        <v>1</v>
      </c>
      <c r="Z573">
        <v>80</v>
      </c>
      <c r="AA573">
        <v>1</v>
      </c>
      <c r="AB573">
        <v>5</v>
      </c>
      <c r="AC573">
        <v>2</v>
      </c>
      <c r="AD573">
        <v>3</v>
      </c>
      <c r="AE573">
        <v>2</v>
      </c>
      <c r="AF573">
        <v>2</v>
      </c>
      <c r="AG573">
        <v>2</v>
      </c>
      <c r="AH573">
        <v>0</v>
      </c>
      <c r="AI573">
        <f>IF(tbl_HRData[[#This Row],[Attrition]] = "Yes",1,0)</f>
        <v>0</v>
      </c>
      <c r="AJ573">
        <f>IF(tbl_HRData[[#This Row],[Attrition]] = "No",1,0)</f>
        <v>1</v>
      </c>
      <c r="AK573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573" s="1" t="str">
        <f>IF(tbl_HRData[[#This Row],[MonthlyIncome]]&lt;5000,"Low",
IF(tbl_HRData[[#This Row],[MonthlyIncome]]&lt;10000,"Medium",
IF(tbl_HRData[[#This Row],[MonthlyIncome]]&lt;15000,"Upper Medium","High")))</f>
        <v>Low</v>
      </c>
      <c r="AM573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574" spans="1:39" x14ac:dyDescent="0.35">
      <c r="A574" s="1">
        <v>573</v>
      </c>
      <c r="B574">
        <v>29</v>
      </c>
      <c r="C574" s="1" t="s">
        <v>40</v>
      </c>
      <c r="D574" s="1" t="s">
        <v>34</v>
      </c>
      <c r="E574">
        <v>657</v>
      </c>
      <c r="F574" s="1" t="s">
        <v>42</v>
      </c>
      <c r="G574">
        <v>27</v>
      </c>
      <c r="H574">
        <v>3</v>
      </c>
      <c r="I574" s="1" t="s">
        <v>48</v>
      </c>
      <c r="J574">
        <v>793</v>
      </c>
      <c r="K574">
        <v>2</v>
      </c>
      <c r="L574" s="1" t="s">
        <v>37</v>
      </c>
      <c r="M574">
        <v>66</v>
      </c>
      <c r="N574">
        <v>3</v>
      </c>
      <c r="O574">
        <v>2</v>
      </c>
      <c r="P574" s="1" t="s">
        <v>51</v>
      </c>
      <c r="Q574">
        <v>3</v>
      </c>
      <c r="R574" s="1" t="s">
        <v>45</v>
      </c>
      <c r="S574">
        <v>4335</v>
      </c>
      <c r="T574">
        <v>25549</v>
      </c>
      <c r="U574">
        <v>4</v>
      </c>
      <c r="V574" s="1" t="s">
        <v>40</v>
      </c>
      <c r="W574">
        <v>12</v>
      </c>
      <c r="X574">
        <v>3</v>
      </c>
      <c r="Y574">
        <v>1</v>
      </c>
      <c r="Z574">
        <v>80</v>
      </c>
      <c r="AA574">
        <v>1</v>
      </c>
      <c r="AB574">
        <v>11</v>
      </c>
      <c r="AC574">
        <v>3</v>
      </c>
      <c r="AD574">
        <v>2</v>
      </c>
      <c r="AE574">
        <v>8</v>
      </c>
      <c r="AF574">
        <v>7</v>
      </c>
      <c r="AG574">
        <v>1</v>
      </c>
      <c r="AH574">
        <v>1</v>
      </c>
      <c r="AI574">
        <f>IF(tbl_HRData[[#This Row],[Attrition]] = "Yes",1,0)</f>
        <v>0</v>
      </c>
      <c r="AJ574">
        <f>IF(tbl_HRData[[#This Row],[Attrition]] = "No",1,0)</f>
        <v>1</v>
      </c>
      <c r="AK574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574" s="1" t="str">
        <f>IF(tbl_HRData[[#This Row],[MonthlyIncome]]&lt;5000,"Low",
IF(tbl_HRData[[#This Row],[MonthlyIncome]]&lt;10000,"Medium",
IF(tbl_HRData[[#This Row],[MonthlyIncome]]&lt;15000,"Upper Medium","High")))</f>
        <v>Low</v>
      </c>
      <c r="AM574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575" spans="1:39" x14ac:dyDescent="0.35">
      <c r="A575" s="1">
        <v>574</v>
      </c>
      <c r="B575">
        <v>26</v>
      </c>
      <c r="C575" s="1" t="s">
        <v>33</v>
      </c>
      <c r="D575" s="1" t="s">
        <v>34</v>
      </c>
      <c r="E575">
        <v>1146</v>
      </c>
      <c r="F575" s="1" t="s">
        <v>35</v>
      </c>
      <c r="G575">
        <v>8</v>
      </c>
      <c r="H575">
        <v>3</v>
      </c>
      <c r="I575" s="1" t="s">
        <v>57</v>
      </c>
      <c r="J575">
        <v>796</v>
      </c>
      <c r="K575">
        <v>4</v>
      </c>
      <c r="L575" s="1" t="s">
        <v>43</v>
      </c>
      <c r="M575">
        <v>38</v>
      </c>
      <c r="N575">
        <v>2</v>
      </c>
      <c r="O575">
        <v>2</v>
      </c>
      <c r="P575" s="1" t="s">
        <v>38</v>
      </c>
      <c r="Q575">
        <v>1</v>
      </c>
      <c r="R575" s="1" t="s">
        <v>39</v>
      </c>
      <c r="S575">
        <v>5326</v>
      </c>
      <c r="T575">
        <v>3064</v>
      </c>
      <c r="U575">
        <v>6</v>
      </c>
      <c r="V575" s="1" t="s">
        <v>40</v>
      </c>
      <c r="W575">
        <v>17</v>
      </c>
      <c r="X575">
        <v>3</v>
      </c>
      <c r="Y575">
        <v>3</v>
      </c>
      <c r="Z575">
        <v>80</v>
      </c>
      <c r="AA575">
        <v>0</v>
      </c>
      <c r="AB575">
        <v>6</v>
      </c>
      <c r="AC575">
        <v>2</v>
      </c>
      <c r="AD575">
        <v>2</v>
      </c>
      <c r="AE575">
        <v>4</v>
      </c>
      <c r="AF575">
        <v>3</v>
      </c>
      <c r="AG575">
        <v>1</v>
      </c>
      <c r="AH575">
        <v>2</v>
      </c>
      <c r="AI575">
        <f>IF(tbl_HRData[[#This Row],[Attrition]] = "Yes",1,0)</f>
        <v>1</v>
      </c>
      <c r="AJ575">
        <f>IF(tbl_HRData[[#This Row],[Attrition]] = "No",1,0)</f>
        <v>0</v>
      </c>
      <c r="AK575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575" s="1" t="str">
        <f>IF(tbl_HRData[[#This Row],[MonthlyIncome]]&lt;5000,"Low",
IF(tbl_HRData[[#This Row],[MonthlyIncome]]&lt;10000,"Medium",
IF(tbl_HRData[[#This Row],[MonthlyIncome]]&lt;15000,"Upper Medium","High")))</f>
        <v>Medium</v>
      </c>
      <c r="AM575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576" spans="1:39" x14ac:dyDescent="0.35">
      <c r="A576" s="1">
        <v>575</v>
      </c>
      <c r="B576">
        <v>34</v>
      </c>
      <c r="C576" s="1" t="s">
        <v>40</v>
      </c>
      <c r="D576" s="1" t="s">
        <v>34</v>
      </c>
      <c r="E576">
        <v>182</v>
      </c>
      <c r="F576" s="1" t="s">
        <v>42</v>
      </c>
      <c r="G576">
        <v>1</v>
      </c>
      <c r="H576">
        <v>4</v>
      </c>
      <c r="I576" s="1" t="s">
        <v>36</v>
      </c>
      <c r="J576">
        <v>797</v>
      </c>
      <c r="K576">
        <v>2</v>
      </c>
      <c r="L576" s="1" t="s">
        <v>37</v>
      </c>
      <c r="M576">
        <v>72</v>
      </c>
      <c r="N576">
        <v>4</v>
      </c>
      <c r="O576">
        <v>1</v>
      </c>
      <c r="P576" s="1" t="s">
        <v>44</v>
      </c>
      <c r="Q576">
        <v>4</v>
      </c>
      <c r="R576" s="1" t="s">
        <v>39</v>
      </c>
      <c r="S576">
        <v>3280</v>
      </c>
      <c r="T576">
        <v>13551</v>
      </c>
      <c r="U576">
        <v>2</v>
      </c>
      <c r="V576" s="1" t="s">
        <v>40</v>
      </c>
      <c r="W576">
        <v>16</v>
      </c>
      <c r="X576">
        <v>3</v>
      </c>
      <c r="Y576">
        <v>3</v>
      </c>
      <c r="Z576">
        <v>80</v>
      </c>
      <c r="AA576">
        <v>0</v>
      </c>
      <c r="AB576">
        <v>10</v>
      </c>
      <c r="AC576">
        <v>2</v>
      </c>
      <c r="AD576">
        <v>3</v>
      </c>
      <c r="AE576">
        <v>4</v>
      </c>
      <c r="AF576">
        <v>2</v>
      </c>
      <c r="AG576">
        <v>1</v>
      </c>
      <c r="AH576">
        <v>3</v>
      </c>
      <c r="AI576">
        <f>IF(tbl_HRData[[#This Row],[Attrition]] = "Yes",1,0)</f>
        <v>0</v>
      </c>
      <c r="AJ576">
        <f>IF(tbl_HRData[[#This Row],[Attrition]] = "No",1,0)</f>
        <v>1</v>
      </c>
      <c r="AK576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576" s="1" t="str">
        <f>IF(tbl_HRData[[#This Row],[MonthlyIncome]]&lt;5000,"Low",
IF(tbl_HRData[[#This Row],[MonthlyIncome]]&lt;10000,"Medium",
IF(tbl_HRData[[#This Row],[MonthlyIncome]]&lt;15000,"Upper Medium","High")))</f>
        <v>Low</v>
      </c>
      <c r="AM576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577" spans="1:39" x14ac:dyDescent="0.35">
      <c r="A577" s="1">
        <v>576</v>
      </c>
      <c r="B577">
        <v>54</v>
      </c>
      <c r="C577" s="1" t="s">
        <v>40</v>
      </c>
      <c r="D577" s="1" t="s">
        <v>34</v>
      </c>
      <c r="E577">
        <v>376</v>
      </c>
      <c r="F577" s="1" t="s">
        <v>42</v>
      </c>
      <c r="G577">
        <v>19</v>
      </c>
      <c r="H577">
        <v>4</v>
      </c>
      <c r="I577" s="1" t="s">
        <v>48</v>
      </c>
      <c r="J577">
        <v>799</v>
      </c>
      <c r="K577">
        <v>4</v>
      </c>
      <c r="L577" s="1" t="s">
        <v>37</v>
      </c>
      <c r="M577">
        <v>95</v>
      </c>
      <c r="N577">
        <v>3</v>
      </c>
      <c r="O577">
        <v>2</v>
      </c>
      <c r="P577" s="1" t="s">
        <v>50</v>
      </c>
      <c r="Q577">
        <v>1</v>
      </c>
      <c r="R577" s="1" t="s">
        <v>49</v>
      </c>
      <c r="S577">
        <v>5485</v>
      </c>
      <c r="T577">
        <v>22670</v>
      </c>
      <c r="U577">
        <v>9</v>
      </c>
      <c r="V577" s="1" t="s">
        <v>33</v>
      </c>
      <c r="W577">
        <v>11</v>
      </c>
      <c r="X577">
        <v>3</v>
      </c>
      <c r="Y577">
        <v>2</v>
      </c>
      <c r="Z577">
        <v>80</v>
      </c>
      <c r="AA577">
        <v>2</v>
      </c>
      <c r="AB577">
        <v>9</v>
      </c>
      <c r="AC577">
        <v>4</v>
      </c>
      <c r="AD577">
        <v>3</v>
      </c>
      <c r="AE577">
        <v>5</v>
      </c>
      <c r="AF577">
        <v>3</v>
      </c>
      <c r="AG577">
        <v>1</v>
      </c>
      <c r="AH577">
        <v>4</v>
      </c>
      <c r="AI577">
        <f>IF(tbl_HRData[[#This Row],[Attrition]] = "Yes",1,0)</f>
        <v>0</v>
      </c>
      <c r="AJ577">
        <f>IF(tbl_HRData[[#This Row],[Attrition]] = "No",1,0)</f>
        <v>1</v>
      </c>
      <c r="AK577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577" s="1" t="str">
        <f>IF(tbl_HRData[[#This Row],[MonthlyIncome]]&lt;5000,"Low",
IF(tbl_HRData[[#This Row],[MonthlyIncome]]&lt;10000,"Medium",
IF(tbl_HRData[[#This Row],[MonthlyIncome]]&lt;15000,"Upper Medium","High")))</f>
        <v>Medium</v>
      </c>
      <c r="AM577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578" spans="1:39" x14ac:dyDescent="0.35">
      <c r="A578" s="1">
        <v>577</v>
      </c>
      <c r="B578">
        <v>27</v>
      </c>
      <c r="C578" s="1" t="s">
        <v>40</v>
      </c>
      <c r="D578" s="1" t="s">
        <v>41</v>
      </c>
      <c r="E578">
        <v>829</v>
      </c>
      <c r="F578" s="1" t="s">
        <v>35</v>
      </c>
      <c r="G578">
        <v>8</v>
      </c>
      <c r="H578">
        <v>1</v>
      </c>
      <c r="I578" s="1" t="s">
        <v>56</v>
      </c>
      <c r="J578">
        <v>800</v>
      </c>
      <c r="K578">
        <v>3</v>
      </c>
      <c r="L578" s="1" t="s">
        <v>43</v>
      </c>
      <c r="M578">
        <v>84</v>
      </c>
      <c r="N578">
        <v>3</v>
      </c>
      <c r="O578">
        <v>2</v>
      </c>
      <c r="P578" s="1" t="s">
        <v>38</v>
      </c>
      <c r="Q578">
        <v>4</v>
      </c>
      <c r="R578" s="1" t="s">
        <v>45</v>
      </c>
      <c r="S578">
        <v>4342</v>
      </c>
      <c r="T578">
        <v>24008</v>
      </c>
      <c r="U578">
        <v>0</v>
      </c>
      <c r="V578" s="1" t="s">
        <v>40</v>
      </c>
      <c r="W578">
        <v>19</v>
      </c>
      <c r="X578">
        <v>3</v>
      </c>
      <c r="Y578">
        <v>2</v>
      </c>
      <c r="Z578">
        <v>80</v>
      </c>
      <c r="AA578">
        <v>1</v>
      </c>
      <c r="AB578">
        <v>5</v>
      </c>
      <c r="AC578">
        <v>3</v>
      </c>
      <c r="AD578">
        <v>3</v>
      </c>
      <c r="AE578">
        <v>4</v>
      </c>
      <c r="AF578">
        <v>2</v>
      </c>
      <c r="AG578">
        <v>1</v>
      </c>
      <c r="AH578">
        <v>1</v>
      </c>
      <c r="AI578">
        <f>IF(tbl_HRData[[#This Row],[Attrition]] = "Yes",1,0)</f>
        <v>0</v>
      </c>
      <c r="AJ578">
        <f>IF(tbl_HRData[[#This Row],[Attrition]] = "No",1,0)</f>
        <v>1</v>
      </c>
      <c r="AK578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578" s="1" t="str">
        <f>IF(tbl_HRData[[#This Row],[MonthlyIncome]]&lt;5000,"Low",
IF(tbl_HRData[[#This Row],[MonthlyIncome]]&lt;10000,"Medium",
IF(tbl_HRData[[#This Row],[MonthlyIncome]]&lt;15000,"Upper Medium","High")))</f>
        <v>Low</v>
      </c>
      <c r="AM578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579" spans="1:39" x14ac:dyDescent="0.35">
      <c r="A579" s="1">
        <v>578</v>
      </c>
      <c r="B579">
        <v>37</v>
      </c>
      <c r="C579" s="1" t="s">
        <v>40</v>
      </c>
      <c r="D579" s="1" t="s">
        <v>34</v>
      </c>
      <c r="E579">
        <v>571</v>
      </c>
      <c r="F579" s="1" t="s">
        <v>42</v>
      </c>
      <c r="G579">
        <v>10</v>
      </c>
      <c r="H579">
        <v>1</v>
      </c>
      <c r="I579" s="1" t="s">
        <v>36</v>
      </c>
      <c r="J579">
        <v>802</v>
      </c>
      <c r="K579">
        <v>4</v>
      </c>
      <c r="L579" s="1" t="s">
        <v>37</v>
      </c>
      <c r="M579">
        <v>82</v>
      </c>
      <c r="N579">
        <v>3</v>
      </c>
      <c r="O579">
        <v>1</v>
      </c>
      <c r="P579" s="1" t="s">
        <v>44</v>
      </c>
      <c r="Q579">
        <v>1</v>
      </c>
      <c r="R579" s="1" t="s">
        <v>49</v>
      </c>
      <c r="S579">
        <v>2782</v>
      </c>
      <c r="T579">
        <v>19905</v>
      </c>
      <c r="U579">
        <v>0</v>
      </c>
      <c r="V579" s="1" t="s">
        <v>33</v>
      </c>
      <c r="W579">
        <v>13</v>
      </c>
      <c r="X579">
        <v>3</v>
      </c>
      <c r="Y579">
        <v>2</v>
      </c>
      <c r="Z579">
        <v>80</v>
      </c>
      <c r="AA579">
        <v>2</v>
      </c>
      <c r="AB579">
        <v>6</v>
      </c>
      <c r="AC579">
        <v>3</v>
      </c>
      <c r="AD579">
        <v>2</v>
      </c>
      <c r="AE579">
        <v>5</v>
      </c>
      <c r="AF579">
        <v>3</v>
      </c>
      <c r="AG579">
        <v>4</v>
      </c>
      <c r="AH579">
        <v>3</v>
      </c>
      <c r="AI579">
        <f>IF(tbl_HRData[[#This Row],[Attrition]] = "Yes",1,0)</f>
        <v>0</v>
      </c>
      <c r="AJ579">
        <f>IF(tbl_HRData[[#This Row],[Attrition]] = "No",1,0)</f>
        <v>1</v>
      </c>
      <c r="AK579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579" s="1" t="str">
        <f>IF(tbl_HRData[[#This Row],[MonthlyIncome]]&lt;5000,"Low",
IF(tbl_HRData[[#This Row],[MonthlyIncome]]&lt;10000,"Medium",
IF(tbl_HRData[[#This Row],[MonthlyIncome]]&lt;15000,"Upper Medium","High")))</f>
        <v>Low</v>
      </c>
      <c r="AM579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580" spans="1:39" x14ac:dyDescent="0.35">
      <c r="A580" s="1">
        <v>579</v>
      </c>
      <c r="B580">
        <v>38</v>
      </c>
      <c r="C580" s="1" t="s">
        <v>40</v>
      </c>
      <c r="D580" s="1" t="s">
        <v>41</v>
      </c>
      <c r="E580">
        <v>240</v>
      </c>
      <c r="F580" s="1" t="s">
        <v>42</v>
      </c>
      <c r="G580">
        <v>2</v>
      </c>
      <c r="H580">
        <v>4</v>
      </c>
      <c r="I580" s="1" t="s">
        <v>36</v>
      </c>
      <c r="J580">
        <v>803</v>
      </c>
      <c r="K580">
        <v>1</v>
      </c>
      <c r="L580" s="1" t="s">
        <v>37</v>
      </c>
      <c r="M580">
        <v>75</v>
      </c>
      <c r="N580">
        <v>4</v>
      </c>
      <c r="O580">
        <v>2</v>
      </c>
      <c r="P580" s="1" t="s">
        <v>50</v>
      </c>
      <c r="Q580">
        <v>1</v>
      </c>
      <c r="R580" s="1" t="s">
        <v>39</v>
      </c>
      <c r="S580">
        <v>5980</v>
      </c>
      <c r="T580">
        <v>26085</v>
      </c>
      <c r="U580">
        <v>6</v>
      </c>
      <c r="V580" s="1" t="s">
        <v>33</v>
      </c>
      <c r="W580">
        <v>12</v>
      </c>
      <c r="X580">
        <v>3</v>
      </c>
      <c r="Y580">
        <v>4</v>
      </c>
      <c r="Z580">
        <v>80</v>
      </c>
      <c r="AA580">
        <v>0</v>
      </c>
      <c r="AB580">
        <v>17</v>
      </c>
      <c r="AC580">
        <v>2</v>
      </c>
      <c r="AD580">
        <v>3</v>
      </c>
      <c r="AE580">
        <v>15</v>
      </c>
      <c r="AF580">
        <v>7</v>
      </c>
      <c r="AG580">
        <v>4</v>
      </c>
      <c r="AH580">
        <v>12</v>
      </c>
      <c r="AI580">
        <f>IF(tbl_HRData[[#This Row],[Attrition]] = "Yes",1,0)</f>
        <v>0</v>
      </c>
      <c r="AJ580">
        <f>IF(tbl_HRData[[#This Row],[Attrition]] = "No",1,0)</f>
        <v>1</v>
      </c>
      <c r="AK580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580" s="1" t="str">
        <f>IF(tbl_HRData[[#This Row],[MonthlyIncome]]&lt;5000,"Low",
IF(tbl_HRData[[#This Row],[MonthlyIncome]]&lt;10000,"Medium",
IF(tbl_HRData[[#This Row],[MonthlyIncome]]&lt;15000,"Upper Medium","High")))</f>
        <v>Medium</v>
      </c>
      <c r="AM580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581" spans="1:39" x14ac:dyDescent="0.35">
      <c r="A581" s="1">
        <v>580</v>
      </c>
      <c r="B581">
        <v>34</v>
      </c>
      <c r="C581" s="1" t="s">
        <v>40</v>
      </c>
      <c r="D581" s="1" t="s">
        <v>34</v>
      </c>
      <c r="E581">
        <v>121</v>
      </c>
      <c r="F581" s="1" t="s">
        <v>42</v>
      </c>
      <c r="G581">
        <v>2</v>
      </c>
      <c r="H581">
        <v>4</v>
      </c>
      <c r="I581" s="1" t="s">
        <v>48</v>
      </c>
      <c r="J581">
        <v>804</v>
      </c>
      <c r="K581">
        <v>3</v>
      </c>
      <c r="L581" s="1" t="s">
        <v>37</v>
      </c>
      <c r="M581">
        <v>86</v>
      </c>
      <c r="N581">
        <v>2</v>
      </c>
      <c r="O581">
        <v>1</v>
      </c>
      <c r="P581" s="1" t="s">
        <v>44</v>
      </c>
      <c r="Q581">
        <v>1</v>
      </c>
      <c r="R581" s="1" t="s">
        <v>39</v>
      </c>
      <c r="S581">
        <v>4381</v>
      </c>
      <c r="T581">
        <v>7530</v>
      </c>
      <c r="U581">
        <v>1</v>
      </c>
      <c r="V581" s="1" t="s">
        <v>40</v>
      </c>
      <c r="W581">
        <v>11</v>
      </c>
      <c r="X581">
        <v>3</v>
      </c>
      <c r="Y581">
        <v>3</v>
      </c>
      <c r="Z581">
        <v>80</v>
      </c>
      <c r="AA581">
        <v>0</v>
      </c>
      <c r="AB581">
        <v>6</v>
      </c>
      <c r="AC581">
        <v>3</v>
      </c>
      <c r="AD581">
        <v>3</v>
      </c>
      <c r="AE581">
        <v>6</v>
      </c>
      <c r="AF581">
        <v>5</v>
      </c>
      <c r="AG581">
        <v>1</v>
      </c>
      <c r="AH581">
        <v>3</v>
      </c>
      <c r="AI581">
        <f>IF(tbl_HRData[[#This Row],[Attrition]] = "Yes",1,0)</f>
        <v>0</v>
      </c>
      <c r="AJ581">
        <f>IF(tbl_HRData[[#This Row],[Attrition]] = "No",1,0)</f>
        <v>1</v>
      </c>
      <c r="AK581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581" s="1" t="str">
        <f>IF(tbl_HRData[[#This Row],[MonthlyIncome]]&lt;5000,"Low",
IF(tbl_HRData[[#This Row],[MonthlyIncome]]&lt;10000,"Medium",
IF(tbl_HRData[[#This Row],[MonthlyIncome]]&lt;15000,"Upper Medium","High")))</f>
        <v>Low</v>
      </c>
      <c r="AM581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582" spans="1:39" x14ac:dyDescent="0.35">
      <c r="A582" s="1">
        <v>581</v>
      </c>
      <c r="B582">
        <v>35</v>
      </c>
      <c r="C582" s="1" t="s">
        <v>40</v>
      </c>
      <c r="D582" s="1" t="s">
        <v>34</v>
      </c>
      <c r="E582">
        <v>384</v>
      </c>
      <c r="F582" s="1" t="s">
        <v>35</v>
      </c>
      <c r="G582">
        <v>8</v>
      </c>
      <c r="H582">
        <v>4</v>
      </c>
      <c r="I582" s="1" t="s">
        <v>36</v>
      </c>
      <c r="J582">
        <v>805</v>
      </c>
      <c r="K582">
        <v>1</v>
      </c>
      <c r="L582" s="1" t="s">
        <v>37</v>
      </c>
      <c r="M582">
        <v>72</v>
      </c>
      <c r="N582">
        <v>3</v>
      </c>
      <c r="O582">
        <v>1</v>
      </c>
      <c r="P582" s="1" t="s">
        <v>54</v>
      </c>
      <c r="Q582">
        <v>4</v>
      </c>
      <c r="R582" s="1" t="s">
        <v>45</v>
      </c>
      <c r="S582">
        <v>2572</v>
      </c>
      <c r="T582">
        <v>20317</v>
      </c>
      <c r="U582">
        <v>1</v>
      </c>
      <c r="V582" s="1" t="s">
        <v>40</v>
      </c>
      <c r="W582">
        <v>16</v>
      </c>
      <c r="X582">
        <v>3</v>
      </c>
      <c r="Y582">
        <v>2</v>
      </c>
      <c r="Z582">
        <v>80</v>
      </c>
      <c r="AA582">
        <v>1</v>
      </c>
      <c r="AB582">
        <v>3</v>
      </c>
      <c r="AC582">
        <v>1</v>
      </c>
      <c r="AD582">
        <v>2</v>
      </c>
      <c r="AE582">
        <v>3</v>
      </c>
      <c r="AF582">
        <v>2</v>
      </c>
      <c r="AG582">
        <v>0</v>
      </c>
      <c r="AH582">
        <v>2</v>
      </c>
      <c r="AI582">
        <f>IF(tbl_HRData[[#This Row],[Attrition]] = "Yes",1,0)</f>
        <v>0</v>
      </c>
      <c r="AJ582">
        <f>IF(tbl_HRData[[#This Row],[Attrition]] = "No",1,0)</f>
        <v>1</v>
      </c>
      <c r="AK582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582" s="1" t="str">
        <f>IF(tbl_HRData[[#This Row],[MonthlyIncome]]&lt;5000,"Low",
IF(tbl_HRData[[#This Row],[MonthlyIncome]]&lt;10000,"Medium",
IF(tbl_HRData[[#This Row],[MonthlyIncome]]&lt;15000,"Upper Medium","High")))</f>
        <v>Low</v>
      </c>
      <c r="AM582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583" spans="1:39" x14ac:dyDescent="0.35">
      <c r="A583" s="1">
        <v>582</v>
      </c>
      <c r="B583">
        <v>30</v>
      </c>
      <c r="C583" s="1" t="s">
        <v>40</v>
      </c>
      <c r="D583" s="1" t="s">
        <v>34</v>
      </c>
      <c r="E583">
        <v>921</v>
      </c>
      <c r="F583" s="1" t="s">
        <v>42</v>
      </c>
      <c r="G583">
        <v>1</v>
      </c>
      <c r="H583">
        <v>3</v>
      </c>
      <c r="I583" s="1" t="s">
        <v>36</v>
      </c>
      <c r="J583">
        <v>806</v>
      </c>
      <c r="K583">
        <v>4</v>
      </c>
      <c r="L583" s="1" t="s">
        <v>43</v>
      </c>
      <c r="M583">
        <v>38</v>
      </c>
      <c r="N583">
        <v>1</v>
      </c>
      <c r="O583">
        <v>1</v>
      </c>
      <c r="P583" s="1" t="s">
        <v>47</v>
      </c>
      <c r="Q583">
        <v>3</v>
      </c>
      <c r="R583" s="1" t="s">
        <v>45</v>
      </c>
      <c r="S583">
        <v>3833</v>
      </c>
      <c r="T583">
        <v>24375</v>
      </c>
      <c r="U583">
        <v>3</v>
      </c>
      <c r="V583" s="1" t="s">
        <v>40</v>
      </c>
      <c r="W583">
        <v>21</v>
      </c>
      <c r="X583">
        <v>4</v>
      </c>
      <c r="Y583">
        <v>3</v>
      </c>
      <c r="Z583">
        <v>80</v>
      </c>
      <c r="AA583">
        <v>2</v>
      </c>
      <c r="AB583">
        <v>7</v>
      </c>
      <c r="AC583">
        <v>2</v>
      </c>
      <c r="AD583">
        <v>3</v>
      </c>
      <c r="AE583">
        <v>2</v>
      </c>
      <c r="AF583">
        <v>2</v>
      </c>
      <c r="AG583">
        <v>0</v>
      </c>
      <c r="AH583">
        <v>2</v>
      </c>
      <c r="AI583">
        <f>IF(tbl_HRData[[#This Row],[Attrition]] = "Yes",1,0)</f>
        <v>0</v>
      </c>
      <c r="AJ583">
        <f>IF(tbl_HRData[[#This Row],[Attrition]] = "No",1,0)</f>
        <v>1</v>
      </c>
      <c r="AK583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583" s="1" t="str">
        <f>IF(tbl_HRData[[#This Row],[MonthlyIncome]]&lt;5000,"Low",
IF(tbl_HRData[[#This Row],[MonthlyIncome]]&lt;10000,"Medium",
IF(tbl_HRData[[#This Row],[MonthlyIncome]]&lt;15000,"Upper Medium","High")))</f>
        <v>Low</v>
      </c>
      <c r="AM583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584" spans="1:39" x14ac:dyDescent="0.35">
      <c r="A584" s="1">
        <v>583</v>
      </c>
      <c r="B584">
        <v>40</v>
      </c>
      <c r="C584" s="1" t="s">
        <v>40</v>
      </c>
      <c r="D584" s="1" t="s">
        <v>41</v>
      </c>
      <c r="E584">
        <v>791</v>
      </c>
      <c r="F584" s="1" t="s">
        <v>42</v>
      </c>
      <c r="G584">
        <v>2</v>
      </c>
      <c r="H584">
        <v>2</v>
      </c>
      <c r="I584" s="1" t="s">
        <v>48</v>
      </c>
      <c r="J584">
        <v>807</v>
      </c>
      <c r="K584">
        <v>3</v>
      </c>
      <c r="L584" s="1" t="s">
        <v>37</v>
      </c>
      <c r="M584">
        <v>38</v>
      </c>
      <c r="N584">
        <v>4</v>
      </c>
      <c r="O584">
        <v>2</v>
      </c>
      <c r="P584" s="1" t="s">
        <v>51</v>
      </c>
      <c r="Q584">
        <v>2</v>
      </c>
      <c r="R584" s="1" t="s">
        <v>45</v>
      </c>
      <c r="S584">
        <v>4244</v>
      </c>
      <c r="T584">
        <v>9931</v>
      </c>
      <c r="U584">
        <v>1</v>
      </c>
      <c r="V584" s="1" t="s">
        <v>40</v>
      </c>
      <c r="W584">
        <v>24</v>
      </c>
      <c r="X584">
        <v>4</v>
      </c>
      <c r="Y584">
        <v>4</v>
      </c>
      <c r="Z584">
        <v>80</v>
      </c>
      <c r="AA584">
        <v>1</v>
      </c>
      <c r="AB584">
        <v>8</v>
      </c>
      <c r="AC584">
        <v>2</v>
      </c>
      <c r="AD584">
        <v>3</v>
      </c>
      <c r="AE584">
        <v>8</v>
      </c>
      <c r="AF584">
        <v>7</v>
      </c>
      <c r="AG584">
        <v>3</v>
      </c>
      <c r="AH584">
        <v>7</v>
      </c>
      <c r="AI584">
        <f>IF(tbl_HRData[[#This Row],[Attrition]] = "Yes",1,0)</f>
        <v>0</v>
      </c>
      <c r="AJ584">
        <f>IF(tbl_HRData[[#This Row],[Attrition]] = "No",1,0)</f>
        <v>1</v>
      </c>
      <c r="AK584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584" s="1" t="str">
        <f>IF(tbl_HRData[[#This Row],[MonthlyIncome]]&lt;5000,"Low",
IF(tbl_HRData[[#This Row],[MonthlyIncome]]&lt;10000,"Medium",
IF(tbl_HRData[[#This Row],[MonthlyIncome]]&lt;15000,"Upper Medium","High")))</f>
        <v>Low</v>
      </c>
      <c r="AM584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585" spans="1:39" x14ac:dyDescent="0.35">
      <c r="A585" s="1">
        <v>584</v>
      </c>
      <c r="B585">
        <v>34</v>
      </c>
      <c r="C585" s="1" t="s">
        <v>40</v>
      </c>
      <c r="D585" s="1" t="s">
        <v>34</v>
      </c>
      <c r="E585">
        <v>1111</v>
      </c>
      <c r="F585" s="1" t="s">
        <v>35</v>
      </c>
      <c r="G585">
        <v>8</v>
      </c>
      <c r="H585">
        <v>2</v>
      </c>
      <c r="I585" s="1" t="s">
        <v>36</v>
      </c>
      <c r="J585">
        <v>808</v>
      </c>
      <c r="K585">
        <v>3</v>
      </c>
      <c r="L585" s="1" t="s">
        <v>37</v>
      </c>
      <c r="M585">
        <v>93</v>
      </c>
      <c r="N585">
        <v>3</v>
      </c>
      <c r="O585">
        <v>2</v>
      </c>
      <c r="P585" s="1" t="s">
        <v>38</v>
      </c>
      <c r="Q585">
        <v>1</v>
      </c>
      <c r="R585" s="1" t="s">
        <v>45</v>
      </c>
      <c r="S585">
        <v>6500</v>
      </c>
      <c r="T585">
        <v>13305</v>
      </c>
      <c r="U585">
        <v>5</v>
      </c>
      <c r="V585" s="1" t="s">
        <v>40</v>
      </c>
      <c r="W585">
        <v>17</v>
      </c>
      <c r="X585">
        <v>3</v>
      </c>
      <c r="Y585">
        <v>2</v>
      </c>
      <c r="Z585">
        <v>80</v>
      </c>
      <c r="AA585">
        <v>1</v>
      </c>
      <c r="AB585">
        <v>6</v>
      </c>
      <c r="AC585">
        <v>1</v>
      </c>
      <c r="AD585">
        <v>3</v>
      </c>
      <c r="AE585">
        <v>3</v>
      </c>
      <c r="AF585">
        <v>2</v>
      </c>
      <c r="AG585">
        <v>1</v>
      </c>
      <c r="AH585">
        <v>2</v>
      </c>
      <c r="AI585">
        <f>IF(tbl_HRData[[#This Row],[Attrition]] = "Yes",1,0)</f>
        <v>0</v>
      </c>
      <c r="AJ585">
        <f>IF(tbl_HRData[[#This Row],[Attrition]] = "No",1,0)</f>
        <v>1</v>
      </c>
      <c r="AK585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585" s="1" t="str">
        <f>IF(tbl_HRData[[#This Row],[MonthlyIncome]]&lt;5000,"Low",
IF(tbl_HRData[[#This Row],[MonthlyIncome]]&lt;10000,"Medium",
IF(tbl_HRData[[#This Row],[MonthlyIncome]]&lt;15000,"Upper Medium","High")))</f>
        <v>Medium</v>
      </c>
      <c r="AM585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586" spans="1:39" x14ac:dyDescent="0.35">
      <c r="A586" s="1">
        <v>585</v>
      </c>
      <c r="B586">
        <v>42</v>
      </c>
      <c r="C586" s="1" t="s">
        <v>40</v>
      </c>
      <c r="D586" s="1" t="s">
        <v>41</v>
      </c>
      <c r="E586">
        <v>570</v>
      </c>
      <c r="F586" s="1" t="s">
        <v>42</v>
      </c>
      <c r="G586">
        <v>8</v>
      </c>
      <c r="H586">
        <v>3</v>
      </c>
      <c r="I586" s="1" t="s">
        <v>36</v>
      </c>
      <c r="J586">
        <v>809</v>
      </c>
      <c r="K586">
        <v>2</v>
      </c>
      <c r="L586" s="1" t="s">
        <v>43</v>
      </c>
      <c r="M586">
        <v>66</v>
      </c>
      <c r="N586">
        <v>3</v>
      </c>
      <c r="O586">
        <v>5</v>
      </c>
      <c r="P586" s="1" t="s">
        <v>53</v>
      </c>
      <c r="Q586">
        <v>4</v>
      </c>
      <c r="R586" s="1" t="s">
        <v>49</v>
      </c>
      <c r="S586">
        <v>18430</v>
      </c>
      <c r="T586">
        <v>16225</v>
      </c>
      <c r="U586">
        <v>1</v>
      </c>
      <c r="V586" s="1" t="s">
        <v>40</v>
      </c>
      <c r="W586">
        <v>13</v>
      </c>
      <c r="X586">
        <v>3</v>
      </c>
      <c r="Y586">
        <v>2</v>
      </c>
      <c r="Z586">
        <v>80</v>
      </c>
      <c r="AA586">
        <v>1</v>
      </c>
      <c r="AB586">
        <v>24</v>
      </c>
      <c r="AC586">
        <v>4</v>
      </c>
      <c r="AD586">
        <v>2</v>
      </c>
      <c r="AE586">
        <v>24</v>
      </c>
      <c r="AF586">
        <v>7</v>
      </c>
      <c r="AG586">
        <v>14</v>
      </c>
      <c r="AH586">
        <v>9</v>
      </c>
      <c r="AI586">
        <f>IF(tbl_HRData[[#This Row],[Attrition]] = "Yes",1,0)</f>
        <v>0</v>
      </c>
      <c r="AJ586">
        <f>IF(tbl_HRData[[#This Row],[Attrition]] = "No",1,0)</f>
        <v>1</v>
      </c>
      <c r="AK586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586" s="1" t="str">
        <f>IF(tbl_HRData[[#This Row],[MonthlyIncome]]&lt;5000,"Low",
IF(tbl_HRData[[#This Row],[MonthlyIncome]]&lt;10000,"Medium",
IF(tbl_HRData[[#This Row],[MonthlyIncome]]&lt;15000,"Upper Medium","High")))</f>
        <v>High</v>
      </c>
      <c r="AM586" s="1" t="str">
        <f>IF(tbl_HRData[[#This Row],[YearsAtCompany]]&lt;=5,"0-5 Years",
IF(tbl_HRData[[#This Row],[YearsAtCompany]]&lt;=10,"6-10 Years",
IF(tbl_HRData[[#This Row],[YearsAtCompany]]&lt;=20,"11-20 Years","21+ Years")))</f>
        <v>21+ Years</v>
      </c>
    </row>
    <row r="587" spans="1:39" x14ac:dyDescent="0.35">
      <c r="A587" s="1">
        <v>586</v>
      </c>
      <c r="B587">
        <v>23</v>
      </c>
      <c r="C587" s="1" t="s">
        <v>33</v>
      </c>
      <c r="D587" s="1" t="s">
        <v>34</v>
      </c>
      <c r="E587">
        <v>1243</v>
      </c>
      <c r="F587" s="1" t="s">
        <v>42</v>
      </c>
      <c r="G587">
        <v>6</v>
      </c>
      <c r="H587">
        <v>3</v>
      </c>
      <c r="I587" s="1" t="s">
        <v>36</v>
      </c>
      <c r="J587">
        <v>811</v>
      </c>
      <c r="K587">
        <v>3</v>
      </c>
      <c r="L587" s="1" t="s">
        <v>43</v>
      </c>
      <c r="M587">
        <v>63</v>
      </c>
      <c r="N587">
        <v>4</v>
      </c>
      <c r="O587">
        <v>1</v>
      </c>
      <c r="P587" s="1" t="s">
        <v>47</v>
      </c>
      <c r="Q587">
        <v>1</v>
      </c>
      <c r="R587" s="1" t="s">
        <v>45</v>
      </c>
      <c r="S587">
        <v>1601</v>
      </c>
      <c r="T587">
        <v>3445</v>
      </c>
      <c r="U587">
        <v>1</v>
      </c>
      <c r="V587" s="1" t="s">
        <v>33</v>
      </c>
      <c r="W587">
        <v>21</v>
      </c>
      <c r="X587">
        <v>4</v>
      </c>
      <c r="Y587">
        <v>3</v>
      </c>
      <c r="Z587">
        <v>80</v>
      </c>
      <c r="AA587">
        <v>2</v>
      </c>
      <c r="AB587">
        <v>1</v>
      </c>
      <c r="AC587">
        <v>2</v>
      </c>
      <c r="AD587">
        <v>3</v>
      </c>
      <c r="AE587">
        <v>0</v>
      </c>
      <c r="AF587">
        <v>0</v>
      </c>
      <c r="AG587">
        <v>0</v>
      </c>
      <c r="AH587">
        <v>0</v>
      </c>
      <c r="AI587">
        <f>IF(tbl_HRData[[#This Row],[Attrition]] = "Yes",1,0)</f>
        <v>1</v>
      </c>
      <c r="AJ587">
        <f>IF(tbl_HRData[[#This Row],[Attrition]] = "No",1,0)</f>
        <v>0</v>
      </c>
      <c r="AK587" t="str">
        <f>IF(tbl_HRData[[#This Row],[Age]] &lt; 25, "Under 25", IF(tbl_HRData[[#This Row],[Age]] &lt;= 34, "25-34", IF(tbl_HRData[[#This Row],[Age]] &lt;= 44, "35-44", IF(tbl_HRData[[#This Row],[Age]] &lt;= 54, "45-54", "55+"))))</f>
        <v>Under 25</v>
      </c>
      <c r="AL587" s="1" t="str">
        <f>IF(tbl_HRData[[#This Row],[MonthlyIncome]]&lt;5000,"Low",
IF(tbl_HRData[[#This Row],[MonthlyIncome]]&lt;10000,"Medium",
IF(tbl_HRData[[#This Row],[MonthlyIncome]]&lt;15000,"Upper Medium","High")))</f>
        <v>Low</v>
      </c>
      <c r="AM587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588" spans="1:39" x14ac:dyDescent="0.35">
      <c r="A588" s="1">
        <v>587</v>
      </c>
      <c r="B588">
        <v>24</v>
      </c>
      <c r="C588" s="1" t="s">
        <v>40</v>
      </c>
      <c r="D588" s="1" t="s">
        <v>52</v>
      </c>
      <c r="E588">
        <v>1092</v>
      </c>
      <c r="F588" s="1" t="s">
        <v>42</v>
      </c>
      <c r="G588">
        <v>9</v>
      </c>
      <c r="H588">
        <v>3</v>
      </c>
      <c r="I588" s="1" t="s">
        <v>36</v>
      </c>
      <c r="J588">
        <v>812</v>
      </c>
      <c r="K588">
        <v>3</v>
      </c>
      <c r="L588" s="1" t="s">
        <v>43</v>
      </c>
      <c r="M588">
        <v>60</v>
      </c>
      <c r="N588">
        <v>2</v>
      </c>
      <c r="O588">
        <v>1</v>
      </c>
      <c r="P588" s="1" t="s">
        <v>47</v>
      </c>
      <c r="Q588">
        <v>2</v>
      </c>
      <c r="R588" s="1" t="s">
        <v>49</v>
      </c>
      <c r="S588">
        <v>2694</v>
      </c>
      <c r="T588">
        <v>26551</v>
      </c>
      <c r="U588">
        <v>1</v>
      </c>
      <c r="V588" s="1" t="s">
        <v>40</v>
      </c>
      <c r="W588">
        <v>11</v>
      </c>
      <c r="X588">
        <v>3</v>
      </c>
      <c r="Y588">
        <v>3</v>
      </c>
      <c r="Z588">
        <v>80</v>
      </c>
      <c r="AA588">
        <v>3</v>
      </c>
      <c r="AB588">
        <v>1</v>
      </c>
      <c r="AC588">
        <v>4</v>
      </c>
      <c r="AD588">
        <v>3</v>
      </c>
      <c r="AE588">
        <v>1</v>
      </c>
      <c r="AF588">
        <v>0</v>
      </c>
      <c r="AG588">
        <v>0</v>
      </c>
      <c r="AH588">
        <v>0</v>
      </c>
      <c r="AI588">
        <f>IF(tbl_HRData[[#This Row],[Attrition]] = "Yes",1,0)</f>
        <v>0</v>
      </c>
      <c r="AJ588">
        <f>IF(tbl_HRData[[#This Row],[Attrition]] = "No",1,0)</f>
        <v>1</v>
      </c>
      <c r="AK588" t="str">
        <f>IF(tbl_HRData[[#This Row],[Age]] &lt; 25, "Under 25", IF(tbl_HRData[[#This Row],[Age]] &lt;= 34, "25-34", IF(tbl_HRData[[#This Row],[Age]] &lt;= 44, "35-44", IF(tbl_HRData[[#This Row],[Age]] &lt;= 54, "45-54", "55+"))))</f>
        <v>Under 25</v>
      </c>
      <c r="AL588" s="1" t="str">
        <f>IF(tbl_HRData[[#This Row],[MonthlyIncome]]&lt;5000,"Low",
IF(tbl_HRData[[#This Row],[MonthlyIncome]]&lt;10000,"Medium",
IF(tbl_HRData[[#This Row],[MonthlyIncome]]&lt;15000,"Upper Medium","High")))</f>
        <v>Low</v>
      </c>
      <c r="AM588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589" spans="1:39" x14ac:dyDescent="0.35">
      <c r="A589" s="1">
        <v>588</v>
      </c>
      <c r="B589">
        <v>52</v>
      </c>
      <c r="C589" s="1" t="s">
        <v>40</v>
      </c>
      <c r="D589" s="1" t="s">
        <v>34</v>
      </c>
      <c r="E589">
        <v>1325</v>
      </c>
      <c r="F589" s="1" t="s">
        <v>42</v>
      </c>
      <c r="G589">
        <v>11</v>
      </c>
      <c r="H589">
        <v>4</v>
      </c>
      <c r="I589" s="1" t="s">
        <v>36</v>
      </c>
      <c r="J589">
        <v>813</v>
      </c>
      <c r="K589">
        <v>4</v>
      </c>
      <c r="L589" s="1" t="s">
        <v>37</v>
      </c>
      <c r="M589">
        <v>82</v>
      </c>
      <c r="N589">
        <v>3</v>
      </c>
      <c r="O589">
        <v>2</v>
      </c>
      <c r="P589" s="1" t="s">
        <v>47</v>
      </c>
      <c r="Q589">
        <v>3</v>
      </c>
      <c r="R589" s="1" t="s">
        <v>45</v>
      </c>
      <c r="S589">
        <v>3149</v>
      </c>
      <c r="T589">
        <v>21821</v>
      </c>
      <c r="U589">
        <v>8</v>
      </c>
      <c r="V589" s="1" t="s">
        <v>40</v>
      </c>
      <c r="W589">
        <v>20</v>
      </c>
      <c r="X589">
        <v>4</v>
      </c>
      <c r="Y589">
        <v>2</v>
      </c>
      <c r="Z589">
        <v>80</v>
      </c>
      <c r="AA589">
        <v>1</v>
      </c>
      <c r="AB589">
        <v>9</v>
      </c>
      <c r="AC589">
        <v>3</v>
      </c>
      <c r="AD589">
        <v>3</v>
      </c>
      <c r="AE589">
        <v>5</v>
      </c>
      <c r="AF589">
        <v>2</v>
      </c>
      <c r="AG589">
        <v>1</v>
      </c>
      <c r="AH589">
        <v>4</v>
      </c>
      <c r="AI589">
        <f>IF(tbl_HRData[[#This Row],[Attrition]] = "Yes",1,0)</f>
        <v>0</v>
      </c>
      <c r="AJ589">
        <f>IF(tbl_HRData[[#This Row],[Attrition]] = "No",1,0)</f>
        <v>1</v>
      </c>
      <c r="AK589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589" s="1" t="str">
        <f>IF(tbl_HRData[[#This Row],[MonthlyIncome]]&lt;5000,"Low",
IF(tbl_HRData[[#This Row],[MonthlyIncome]]&lt;10000,"Medium",
IF(tbl_HRData[[#This Row],[MonthlyIncome]]&lt;15000,"Upper Medium","High")))</f>
        <v>Low</v>
      </c>
      <c r="AM589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590" spans="1:39" x14ac:dyDescent="0.35">
      <c r="A590" s="1">
        <v>589</v>
      </c>
      <c r="B590">
        <v>50</v>
      </c>
      <c r="C590" s="1" t="s">
        <v>40</v>
      </c>
      <c r="D590" s="1" t="s">
        <v>34</v>
      </c>
      <c r="E590">
        <v>691</v>
      </c>
      <c r="F590" s="1" t="s">
        <v>42</v>
      </c>
      <c r="G590">
        <v>2</v>
      </c>
      <c r="H590">
        <v>3</v>
      </c>
      <c r="I590" s="1" t="s">
        <v>48</v>
      </c>
      <c r="J590">
        <v>815</v>
      </c>
      <c r="K590">
        <v>3</v>
      </c>
      <c r="L590" s="1" t="s">
        <v>43</v>
      </c>
      <c r="M590">
        <v>64</v>
      </c>
      <c r="N590">
        <v>3</v>
      </c>
      <c r="O590">
        <v>4</v>
      </c>
      <c r="P590" s="1" t="s">
        <v>55</v>
      </c>
      <c r="Q590">
        <v>3</v>
      </c>
      <c r="R590" s="1" t="s">
        <v>45</v>
      </c>
      <c r="S590">
        <v>17639</v>
      </c>
      <c r="T590">
        <v>6881</v>
      </c>
      <c r="U590">
        <v>5</v>
      </c>
      <c r="V590" s="1" t="s">
        <v>40</v>
      </c>
      <c r="W590">
        <v>16</v>
      </c>
      <c r="X590">
        <v>3</v>
      </c>
      <c r="Y590">
        <v>4</v>
      </c>
      <c r="Z590">
        <v>80</v>
      </c>
      <c r="AA590">
        <v>0</v>
      </c>
      <c r="AB590">
        <v>30</v>
      </c>
      <c r="AC590">
        <v>3</v>
      </c>
      <c r="AD590">
        <v>3</v>
      </c>
      <c r="AE590">
        <v>4</v>
      </c>
      <c r="AF590">
        <v>3</v>
      </c>
      <c r="AG590">
        <v>0</v>
      </c>
      <c r="AH590">
        <v>3</v>
      </c>
      <c r="AI590">
        <f>IF(tbl_HRData[[#This Row],[Attrition]] = "Yes",1,0)</f>
        <v>0</v>
      </c>
      <c r="AJ590">
        <f>IF(tbl_HRData[[#This Row],[Attrition]] = "No",1,0)</f>
        <v>1</v>
      </c>
      <c r="AK590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590" s="1" t="str">
        <f>IF(tbl_HRData[[#This Row],[MonthlyIncome]]&lt;5000,"Low",
IF(tbl_HRData[[#This Row],[MonthlyIncome]]&lt;10000,"Medium",
IF(tbl_HRData[[#This Row],[MonthlyIncome]]&lt;15000,"Upper Medium","High")))</f>
        <v>High</v>
      </c>
      <c r="AM590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591" spans="1:39" x14ac:dyDescent="0.35">
      <c r="A591" s="1">
        <v>590</v>
      </c>
      <c r="B591">
        <v>29</v>
      </c>
      <c r="C591" s="1" t="s">
        <v>33</v>
      </c>
      <c r="D591" s="1" t="s">
        <v>34</v>
      </c>
      <c r="E591">
        <v>805</v>
      </c>
      <c r="F591" s="1" t="s">
        <v>42</v>
      </c>
      <c r="G591">
        <v>1</v>
      </c>
      <c r="H591">
        <v>2</v>
      </c>
      <c r="I591" s="1" t="s">
        <v>36</v>
      </c>
      <c r="J591">
        <v>816</v>
      </c>
      <c r="K591">
        <v>2</v>
      </c>
      <c r="L591" s="1" t="s">
        <v>37</v>
      </c>
      <c r="M591">
        <v>36</v>
      </c>
      <c r="N591">
        <v>2</v>
      </c>
      <c r="O591">
        <v>1</v>
      </c>
      <c r="P591" s="1" t="s">
        <v>47</v>
      </c>
      <c r="Q591">
        <v>1</v>
      </c>
      <c r="R591" s="1" t="s">
        <v>45</v>
      </c>
      <c r="S591">
        <v>2319</v>
      </c>
      <c r="T591">
        <v>6689</v>
      </c>
      <c r="U591">
        <v>1</v>
      </c>
      <c r="V591" s="1" t="s">
        <v>33</v>
      </c>
      <c r="W591">
        <v>11</v>
      </c>
      <c r="X591">
        <v>3</v>
      </c>
      <c r="Y591">
        <v>4</v>
      </c>
      <c r="Z591">
        <v>80</v>
      </c>
      <c r="AA591">
        <v>1</v>
      </c>
      <c r="AB591">
        <v>1</v>
      </c>
      <c r="AC591">
        <v>1</v>
      </c>
      <c r="AD591">
        <v>3</v>
      </c>
      <c r="AE591">
        <v>1</v>
      </c>
      <c r="AF591">
        <v>0</v>
      </c>
      <c r="AG591">
        <v>0</v>
      </c>
      <c r="AH591">
        <v>0</v>
      </c>
      <c r="AI591">
        <f>IF(tbl_HRData[[#This Row],[Attrition]] = "Yes",1,0)</f>
        <v>1</v>
      </c>
      <c r="AJ591">
        <f>IF(tbl_HRData[[#This Row],[Attrition]] = "No",1,0)</f>
        <v>0</v>
      </c>
      <c r="AK591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591" s="1" t="str">
        <f>IF(tbl_HRData[[#This Row],[MonthlyIncome]]&lt;5000,"Low",
IF(tbl_HRData[[#This Row],[MonthlyIncome]]&lt;10000,"Medium",
IF(tbl_HRData[[#This Row],[MonthlyIncome]]&lt;15000,"Upper Medium","High")))</f>
        <v>Low</v>
      </c>
      <c r="AM591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592" spans="1:39" x14ac:dyDescent="0.35">
      <c r="A592" s="1">
        <v>591</v>
      </c>
      <c r="B592">
        <v>33</v>
      </c>
      <c r="C592" s="1" t="s">
        <v>40</v>
      </c>
      <c r="D592" s="1" t="s">
        <v>34</v>
      </c>
      <c r="E592">
        <v>213</v>
      </c>
      <c r="F592" s="1" t="s">
        <v>42</v>
      </c>
      <c r="G592">
        <v>7</v>
      </c>
      <c r="H592">
        <v>3</v>
      </c>
      <c r="I592" s="1" t="s">
        <v>48</v>
      </c>
      <c r="J592">
        <v>817</v>
      </c>
      <c r="K592">
        <v>3</v>
      </c>
      <c r="L592" s="1" t="s">
        <v>43</v>
      </c>
      <c r="M592">
        <v>49</v>
      </c>
      <c r="N592">
        <v>3</v>
      </c>
      <c r="O592">
        <v>3</v>
      </c>
      <c r="P592" s="1" t="s">
        <v>55</v>
      </c>
      <c r="Q592">
        <v>3</v>
      </c>
      <c r="R592" s="1" t="s">
        <v>45</v>
      </c>
      <c r="S592">
        <v>11691</v>
      </c>
      <c r="T592">
        <v>25995</v>
      </c>
      <c r="U592">
        <v>0</v>
      </c>
      <c r="V592" s="1" t="s">
        <v>40</v>
      </c>
      <c r="W592">
        <v>11</v>
      </c>
      <c r="X592">
        <v>3</v>
      </c>
      <c r="Y592">
        <v>4</v>
      </c>
      <c r="Z592">
        <v>80</v>
      </c>
      <c r="AA592">
        <v>0</v>
      </c>
      <c r="AB592">
        <v>14</v>
      </c>
      <c r="AC592">
        <v>3</v>
      </c>
      <c r="AD592">
        <v>4</v>
      </c>
      <c r="AE592">
        <v>13</v>
      </c>
      <c r="AF592">
        <v>9</v>
      </c>
      <c r="AG592">
        <v>3</v>
      </c>
      <c r="AH592">
        <v>7</v>
      </c>
      <c r="AI592">
        <f>IF(tbl_HRData[[#This Row],[Attrition]] = "Yes",1,0)</f>
        <v>0</v>
      </c>
      <c r="AJ592">
        <f>IF(tbl_HRData[[#This Row],[Attrition]] = "No",1,0)</f>
        <v>1</v>
      </c>
      <c r="AK592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592" s="1" t="str">
        <f>IF(tbl_HRData[[#This Row],[MonthlyIncome]]&lt;5000,"Low",
IF(tbl_HRData[[#This Row],[MonthlyIncome]]&lt;10000,"Medium",
IF(tbl_HRData[[#This Row],[MonthlyIncome]]&lt;15000,"Upper Medium","High")))</f>
        <v>Upper Medium</v>
      </c>
      <c r="AM592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593" spans="1:39" x14ac:dyDescent="0.35">
      <c r="A593" s="1">
        <v>592</v>
      </c>
      <c r="B593">
        <v>33</v>
      </c>
      <c r="C593" s="1" t="s">
        <v>33</v>
      </c>
      <c r="D593" s="1" t="s">
        <v>34</v>
      </c>
      <c r="E593">
        <v>118</v>
      </c>
      <c r="F593" s="1" t="s">
        <v>35</v>
      </c>
      <c r="G593">
        <v>16</v>
      </c>
      <c r="H593">
        <v>3</v>
      </c>
      <c r="I593" s="1" t="s">
        <v>56</v>
      </c>
      <c r="J593">
        <v>819</v>
      </c>
      <c r="K593">
        <v>1</v>
      </c>
      <c r="L593" s="1" t="s">
        <v>37</v>
      </c>
      <c r="M593">
        <v>69</v>
      </c>
      <c r="N593">
        <v>3</v>
      </c>
      <c r="O593">
        <v>2</v>
      </c>
      <c r="P593" s="1" t="s">
        <v>38</v>
      </c>
      <c r="Q593">
        <v>1</v>
      </c>
      <c r="R593" s="1" t="s">
        <v>39</v>
      </c>
      <c r="S593">
        <v>5324</v>
      </c>
      <c r="T593">
        <v>26507</v>
      </c>
      <c r="U593">
        <v>5</v>
      </c>
      <c r="V593" s="1" t="s">
        <v>40</v>
      </c>
      <c r="W593">
        <v>15</v>
      </c>
      <c r="X593">
        <v>3</v>
      </c>
      <c r="Y593">
        <v>3</v>
      </c>
      <c r="Z593">
        <v>80</v>
      </c>
      <c r="AA593">
        <v>0</v>
      </c>
      <c r="AB593">
        <v>6</v>
      </c>
      <c r="AC593">
        <v>3</v>
      </c>
      <c r="AD593">
        <v>3</v>
      </c>
      <c r="AE593">
        <v>3</v>
      </c>
      <c r="AF593">
        <v>2</v>
      </c>
      <c r="AG593">
        <v>0</v>
      </c>
      <c r="AH593">
        <v>2</v>
      </c>
      <c r="AI593">
        <f>IF(tbl_HRData[[#This Row],[Attrition]] = "Yes",1,0)</f>
        <v>1</v>
      </c>
      <c r="AJ593">
        <f>IF(tbl_HRData[[#This Row],[Attrition]] = "No",1,0)</f>
        <v>0</v>
      </c>
      <c r="AK593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593" s="1" t="str">
        <f>IF(tbl_HRData[[#This Row],[MonthlyIncome]]&lt;5000,"Low",
IF(tbl_HRData[[#This Row],[MonthlyIncome]]&lt;10000,"Medium",
IF(tbl_HRData[[#This Row],[MonthlyIncome]]&lt;15000,"Upper Medium","High")))</f>
        <v>Medium</v>
      </c>
      <c r="AM593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594" spans="1:39" x14ac:dyDescent="0.35">
      <c r="A594" s="1">
        <v>593</v>
      </c>
      <c r="B594">
        <v>47</v>
      </c>
      <c r="C594" s="1" t="s">
        <v>40</v>
      </c>
      <c r="D594" s="1" t="s">
        <v>34</v>
      </c>
      <c r="E594">
        <v>202</v>
      </c>
      <c r="F594" s="1" t="s">
        <v>42</v>
      </c>
      <c r="G594">
        <v>2</v>
      </c>
      <c r="H594">
        <v>2</v>
      </c>
      <c r="I594" s="1" t="s">
        <v>46</v>
      </c>
      <c r="J594">
        <v>820</v>
      </c>
      <c r="K594">
        <v>3</v>
      </c>
      <c r="L594" s="1" t="s">
        <v>37</v>
      </c>
      <c r="M594">
        <v>33</v>
      </c>
      <c r="N594">
        <v>3</v>
      </c>
      <c r="O594">
        <v>4</v>
      </c>
      <c r="P594" s="1" t="s">
        <v>53</v>
      </c>
      <c r="Q594">
        <v>4</v>
      </c>
      <c r="R594" s="1" t="s">
        <v>45</v>
      </c>
      <c r="S594">
        <v>16752</v>
      </c>
      <c r="T594">
        <v>12982</v>
      </c>
      <c r="U594">
        <v>1</v>
      </c>
      <c r="V594" s="1" t="s">
        <v>33</v>
      </c>
      <c r="W594">
        <v>11</v>
      </c>
      <c r="X594">
        <v>3</v>
      </c>
      <c r="Y594">
        <v>3</v>
      </c>
      <c r="Z594">
        <v>80</v>
      </c>
      <c r="AA594">
        <v>1</v>
      </c>
      <c r="AB594">
        <v>26</v>
      </c>
      <c r="AC594">
        <v>3</v>
      </c>
      <c r="AD594">
        <v>2</v>
      </c>
      <c r="AE594">
        <v>26</v>
      </c>
      <c r="AF594">
        <v>14</v>
      </c>
      <c r="AG594">
        <v>3</v>
      </c>
      <c r="AH594">
        <v>0</v>
      </c>
      <c r="AI594">
        <f>IF(tbl_HRData[[#This Row],[Attrition]] = "Yes",1,0)</f>
        <v>0</v>
      </c>
      <c r="AJ594">
        <f>IF(tbl_HRData[[#This Row],[Attrition]] = "No",1,0)</f>
        <v>1</v>
      </c>
      <c r="AK594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594" s="1" t="str">
        <f>IF(tbl_HRData[[#This Row],[MonthlyIncome]]&lt;5000,"Low",
IF(tbl_HRData[[#This Row],[MonthlyIncome]]&lt;10000,"Medium",
IF(tbl_HRData[[#This Row],[MonthlyIncome]]&lt;15000,"Upper Medium","High")))</f>
        <v>High</v>
      </c>
      <c r="AM594" s="1" t="str">
        <f>IF(tbl_HRData[[#This Row],[YearsAtCompany]]&lt;=5,"0-5 Years",
IF(tbl_HRData[[#This Row],[YearsAtCompany]]&lt;=10,"6-10 Years",
IF(tbl_HRData[[#This Row],[YearsAtCompany]]&lt;=20,"11-20 Years","21+ Years")))</f>
        <v>21+ Years</v>
      </c>
    </row>
    <row r="595" spans="1:39" x14ac:dyDescent="0.35">
      <c r="A595" s="1">
        <v>594</v>
      </c>
      <c r="B595">
        <v>36</v>
      </c>
      <c r="C595" s="1" t="s">
        <v>40</v>
      </c>
      <c r="D595" s="1" t="s">
        <v>34</v>
      </c>
      <c r="E595">
        <v>676</v>
      </c>
      <c r="F595" s="1" t="s">
        <v>42</v>
      </c>
      <c r="G595">
        <v>1</v>
      </c>
      <c r="H595">
        <v>3</v>
      </c>
      <c r="I595" s="1" t="s">
        <v>46</v>
      </c>
      <c r="J595">
        <v>823</v>
      </c>
      <c r="K595">
        <v>3</v>
      </c>
      <c r="L595" s="1" t="s">
        <v>37</v>
      </c>
      <c r="M595">
        <v>35</v>
      </c>
      <c r="N595">
        <v>3</v>
      </c>
      <c r="O595">
        <v>2</v>
      </c>
      <c r="P595" s="1" t="s">
        <v>50</v>
      </c>
      <c r="Q595">
        <v>2</v>
      </c>
      <c r="R595" s="1" t="s">
        <v>45</v>
      </c>
      <c r="S595">
        <v>5228</v>
      </c>
      <c r="T595">
        <v>23361</v>
      </c>
      <c r="U595">
        <v>0</v>
      </c>
      <c r="V595" s="1" t="s">
        <v>40</v>
      </c>
      <c r="W595">
        <v>15</v>
      </c>
      <c r="X595">
        <v>3</v>
      </c>
      <c r="Y595">
        <v>1</v>
      </c>
      <c r="Z595">
        <v>80</v>
      </c>
      <c r="AA595">
        <v>1</v>
      </c>
      <c r="AB595">
        <v>10</v>
      </c>
      <c r="AC595">
        <v>2</v>
      </c>
      <c r="AD595">
        <v>3</v>
      </c>
      <c r="AE595">
        <v>9</v>
      </c>
      <c r="AF595">
        <v>7</v>
      </c>
      <c r="AG595">
        <v>0</v>
      </c>
      <c r="AH595">
        <v>5</v>
      </c>
      <c r="AI595">
        <f>IF(tbl_HRData[[#This Row],[Attrition]] = "Yes",1,0)</f>
        <v>0</v>
      </c>
      <c r="AJ595">
        <f>IF(tbl_HRData[[#This Row],[Attrition]] = "No",1,0)</f>
        <v>1</v>
      </c>
      <c r="AK595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595" s="1" t="str">
        <f>IF(tbl_HRData[[#This Row],[MonthlyIncome]]&lt;5000,"Low",
IF(tbl_HRData[[#This Row],[MonthlyIncome]]&lt;10000,"Medium",
IF(tbl_HRData[[#This Row],[MonthlyIncome]]&lt;15000,"Upper Medium","High")))</f>
        <v>Medium</v>
      </c>
      <c r="AM595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596" spans="1:39" x14ac:dyDescent="0.35">
      <c r="A596" s="1">
        <v>595</v>
      </c>
      <c r="B596">
        <v>29</v>
      </c>
      <c r="C596" s="1" t="s">
        <v>40</v>
      </c>
      <c r="D596" s="1" t="s">
        <v>34</v>
      </c>
      <c r="E596">
        <v>1252</v>
      </c>
      <c r="F596" s="1" t="s">
        <v>42</v>
      </c>
      <c r="G596">
        <v>23</v>
      </c>
      <c r="H596">
        <v>2</v>
      </c>
      <c r="I596" s="1" t="s">
        <v>36</v>
      </c>
      <c r="J596">
        <v>824</v>
      </c>
      <c r="K596">
        <v>3</v>
      </c>
      <c r="L596" s="1" t="s">
        <v>43</v>
      </c>
      <c r="M596">
        <v>81</v>
      </c>
      <c r="N596">
        <v>4</v>
      </c>
      <c r="O596">
        <v>1</v>
      </c>
      <c r="P596" s="1" t="s">
        <v>44</v>
      </c>
      <c r="Q596">
        <v>3</v>
      </c>
      <c r="R596" s="1" t="s">
        <v>45</v>
      </c>
      <c r="S596">
        <v>2700</v>
      </c>
      <c r="T596">
        <v>23779</v>
      </c>
      <c r="U596">
        <v>1</v>
      </c>
      <c r="V596" s="1" t="s">
        <v>40</v>
      </c>
      <c r="W596">
        <v>24</v>
      </c>
      <c r="X596">
        <v>4</v>
      </c>
      <c r="Y596">
        <v>3</v>
      </c>
      <c r="Z596">
        <v>80</v>
      </c>
      <c r="AA596">
        <v>1</v>
      </c>
      <c r="AB596">
        <v>10</v>
      </c>
      <c r="AC596">
        <v>3</v>
      </c>
      <c r="AD596">
        <v>3</v>
      </c>
      <c r="AE596">
        <v>10</v>
      </c>
      <c r="AF596">
        <v>7</v>
      </c>
      <c r="AG596">
        <v>0</v>
      </c>
      <c r="AH596">
        <v>7</v>
      </c>
      <c r="AI596">
        <f>IF(tbl_HRData[[#This Row],[Attrition]] = "Yes",1,0)</f>
        <v>0</v>
      </c>
      <c r="AJ596">
        <f>IF(tbl_HRData[[#This Row],[Attrition]] = "No",1,0)</f>
        <v>1</v>
      </c>
      <c r="AK596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596" s="1" t="str">
        <f>IF(tbl_HRData[[#This Row],[MonthlyIncome]]&lt;5000,"Low",
IF(tbl_HRData[[#This Row],[MonthlyIncome]]&lt;10000,"Medium",
IF(tbl_HRData[[#This Row],[MonthlyIncome]]&lt;15000,"Upper Medium","High")))</f>
        <v>Low</v>
      </c>
      <c r="AM596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597" spans="1:39" x14ac:dyDescent="0.35">
      <c r="A597" s="1">
        <v>596</v>
      </c>
      <c r="B597">
        <v>58</v>
      </c>
      <c r="C597" s="1" t="s">
        <v>33</v>
      </c>
      <c r="D597" s="1" t="s">
        <v>34</v>
      </c>
      <c r="E597">
        <v>286</v>
      </c>
      <c r="F597" s="1" t="s">
        <v>42</v>
      </c>
      <c r="G597">
        <v>2</v>
      </c>
      <c r="H597">
        <v>4</v>
      </c>
      <c r="I597" s="1" t="s">
        <v>36</v>
      </c>
      <c r="J597">
        <v>825</v>
      </c>
      <c r="K597">
        <v>4</v>
      </c>
      <c r="L597" s="1" t="s">
        <v>43</v>
      </c>
      <c r="M597">
        <v>31</v>
      </c>
      <c r="N597">
        <v>3</v>
      </c>
      <c r="O597">
        <v>5</v>
      </c>
      <c r="P597" s="1" t="s">
        <v>55</v>
      </c>
      <c r="Q597">
        <v>2</v>
      </c>
      <c r="R597" s="1" t="s">
        <v>39</v>
      </c>
      <c r="S597">
        <v>19246</v>
      </c>
      <c r="T597">
        <v>25761</v>
      </c>
      <c r="U597">
        <v>7</v>
      </c>
      <c r="V597" s="1" t="s">
        <v>33</v>
      </c>
      <c r="W597">
        <v>12</v>
      </c>
      <c r="X597">
        <v>3</v>
      </c>
      <c r="Y597">
        <v>4</v>
      </c>
      <c r="Z597">
        <v>80</v>
      </c>
      <c r="AA597">
        <v>0</v>
      </c>
      <c r="AB597">
        <v>40</v>
      </c>
      <c r="AC597">
        <v>2</v>
      </c>
      <c r="AD597">
        <v>3</v>
      </c>
      <c r="AE597">
        <v>31</v>
      </c>
      <c r="AF597">
        <v>15</v>
      </c>
      <c r="AG597">
        <v>13</v>
      </c>
      <c r="AH597">
        <v>8</v>
      </c>
      <c r="AI597">
        <f>IF(tbl_HRData[[#This Row],[Attrition]] = "Yes",1,0)</f>
        <v>1</v>
      </c>
      <c r="AJ597">
        <f>IF(tbl_HRData[[#This Row],[Attrition]] = "No",1,0)</f>
        <v>0</v>
      </c>
      <c r="AK597" t="str">
        <f>IF(tbl_HRData[[#This Row],[Age]] &lt; 25, "Under 25", IF(tbl_HRData[[#This Row],[Age]] &lt;= 34, "25-34", IF(tbl_HRData[[#This Row],[Age]] &lt;= 44, "35-44", IF(tbl_HRData[[#This Row],[Age]] &lt;= 54, "45-54", "55+"))))</f>
        <v>55+</v>
      </c>
      <c r="AL597" s="1" t="str">
        <f>IF(tbl_HRData[[#This Row],[MonthlyIncome]]&lt;5000,"Low",
IF(tbl_HRData[[#This Row],[MonthlyIncome]]&lt;10000,"Medium",
IF(tbl_HRData[[#This Row],[MonthlyIncome]]&lt;15000,"Upper Medium","High")))</f>
        <v>High</v>
      </c>
      <c r="AM597" s="1" t="str">
        <f>IF(tbl_HRData[[#This Row],[YearsAtCompany]]&lt;=5,"0-5 Years",
IF(tbl_HRData[[#This Row],[YearsAtCompany]]&lt;=10,"6-10 Years",
IF(tbl_HRData[[#This Row],[YearsAtCompany]]&lt;=20,"11-20 Years","21+ Years")))</f>
        <v>21+ Years</v>
      </c>
    </row>
    <row r="598" spans="1:39" x14ac:dyDescent="0.35">
      <c r="A598" s="1">
        <v>597</v>
      </c>
      <c r="B598">
        <v>35</v>
      </c>
      <c r="C598" s="1" t="s">
        <v>40</v>
      </c>
      <c r="D598" s="1" t="s">
        <v>34</v>
      </c>
      <c r="E598">
        <v>1258</v>
      </c>
      <c r="F598" s="1" t="s">
        <v>42</v>
      </c>
      <c r="G598">
        <v>1</v>
      </c>
      <c r="H598">
        <v>4</v>
      </c>
      <c r="I598" s="1" t="s">
        <v>36</v>
      </c>
      <c r="J598">
        <v>826</v>
      </c>
      <c r="K598">
        <v>4</v>
      </c>
      <c r="L598" s="1" t="s">
        <v>37</v>
      </c>
      <c r="M598">
        <v>40</v>
      </c>
      <c r="N598">
        <v>4</v>
      </c>
      <c r="O598">
        <v>1</v>
      </c>
      <c r="P598" s="1" t="s">
        <v>44</v>
      </c>
      <c r="Q598">
        <v>3</v>
      </c>
      <c r="R598" s="1" t="s">
        <v>39</v>
      </c>
      <c r="S598">
        <v>2506</v>
      </c>
      <c r="T598">
        <v>13301</v>
      </c>
      <c r="U598">
        <v>3</v>
      </c>
      <c r="V598" s="1" t="s">
        <v>40</v>
      </c>
      <c r="W598">
        <v>13</v>
      </c>
      <c r="X598">
        <v>3</v>
      </c>
      <c r="Y598">
        <v>3</v>
      </c>
      <c r="Z598">
        <v>80</v>
      </c>
      <c r="AA598">
        <v>0</v>
      </c>
      <c r="AB598">
        <v>7</v>
      </c>
      <c r="AC598">
        <v>0</v>
      </c>
      <c r="AD598">
        <v>3</v>
      </c>
      <c r="AE598">
        <v>2</v>
      </c>
      <c r="AF598">
        <v>2</v>
      </c>
      <c r="AG598">
        <v>2</v>
      </c>
      <c r="AH598">
        <v>2</v>
      </c>
      <c r="AI598">
        <f>IF(tbl_HRData[[#This Row],[Attrition]] = "Yes",1,0)</f>
        <v>0</v>
      </c>
      <c r="AJ598">
        <f>IF(tbl_HRData[[#This Row],[Attrition]] = "No",1,0)</f>
        <v>1</v>
      </c>
      <c r="AK598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598" s="1" t="str">
        <f>IF(tbl_HRData[[#This Row],[MonthlyIncome]]&lt;5000,"Low",
IF(tbl_HRData[[#This Row],[MonthlyIncome]]&lt;10000,"Medium",
IF(tbl_HRData[[#This Row],[MonthlyIncome]]&lt;15000,"Upper Medium","High")))</f>
        <v>Low</v>
      </c>
      <c r="AM598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599" spans="1:39" x14ac:dyDescent="0.35">
      <c r="A599" s="1">
        <v>598</v>
      </c>
      <c r="B599">
        <v>42</v>
      </c>
      <c r="C599" s="1" t="s">
        <v>40</v>
      </c>
      <c r="D599" s="1" t="s">
        <v>34</v>
      </c>
      <c r="E599">
        <v>932</v>
      </c>
      <c r="F599" s="1" t="s">
        <v>42</v>
      </c>
      <c r="G599">
        <v>1</v>
      </c>
      <c r="H599">
        <v>2</v>
      </c>
      <c r="I599" s="1" t="s">
        <v>36</v>
      </c>
      <c r="J599">
        <v>827</v>
      </c>
      <c r="K599">
        <v>4</v>
      </c>
      <c r="L599" s="1" t="s">
        <v>37</v>
      </c>
      <c r="M599">
        <v>43</v>
      </c>
      <c r="N599">
        <v>2</v>
      </c>
      <c r="O599">
        <v>2</v>
      </c>
      <c r="P599" s="1" t="s">
        <v>50</v>
      </c>
      <c r="Q599">
        <v>4</v>
      </c>
      <c r="R599" s="1" t="s">
        <v>45</v>
      </c>
      <c r="S599">
        <v>6062</v>
      </c>
      <c r="T599">
        <v>4051</v>
      </c>
      <c r="U599">
        <v>9</v>
      </c>
      <c r="V599" s="1" t="s">
        <v>33</v>
      </c>
      <c r="W599">
        <v>13</v>
      </c>
      <c r="X599">
        <v>3</v>
      </c>
      <c r="Y599">
        <v>4</v>
      </c>
      <c r="Z599">
        <v>80</v>
      </c>
      <c r="AA599">
        <v>1</v>
      </c>
      <c r="AB599">
        <v>8</v>
      </c>
      <c r="AC599">
        <v>4</v>
      </c>
      <c r="AD599">
        <v>3</v>
      </c>
      <c r="AE599">
        <v>4</v>
      </c>
      <c r="AF599">
        <v>3</v>
      </c>
      <c r="AG599">
        <v>0</v>
      </c>
      <c r="AH599">
        <v>2</v>
      </c>
      <c r="AI599">
        <f>IF(tbl_HRData[[#This Row],[Attrition]] = "Yes",1,0)</f>
        <v>0</v>
      </c>
      <c r="AJ599">
        <f>IF(tbl_HRData[[#This Row],[Attrition]] = "No",1,0)</f>
        <v>1</v>
      </c>
      <c r="AK599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599" s="1" t="str">
        <f>IF(tbl_HRData[[#This Row],[MonthlyIncome]]&lt;5000,"Low",
IF(tbl_HRData[[#This Row],[MonthlyIncome]]&lt;10000,"Medium",
IF(tbl_HRData[[#This Row],[MonthlyIncome]]&lt;15000,"Upper Medium","High")))</f>
        <v>Medium</v>
      </c>
      <c r="AM599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600" spans="1:39" x14ac:dyDescent="0.35">
      <c r="A600" s="1">
        <v>599</v>
      </c>
      <c r="B600">
        <v>28</v>
      </c>
      <c r="C600" s="1" t="s">
        <v>33</v>
      </c>
      <c r="D600" s="1" t="s">
        <v>34</v>
      </c>
      <c r="E600">
        <v>890</v>
      </c>
      <c r="F600" s="1" t="s">
        <v>42</v>
      </c>
      <c r="G600">
        <v>2</v>
      </c>
      <c r="H600">
        <v>4</v>
      </c>
      <c r="I600" s="1" t="s">
        <v>48</v>
      </c>
      <c r="J600">
        <v>828</v>
      </c>
      <c r="K600">
        <v>3</v>
      </c>
      <c r="L600" s="1" t="s">
        <v>43</v>
      </c>
      <c r="M600">
        <v>46</v>
      </c>
      <c r="N600">
        <v>3</v>
      </c>
      <c r="O600">
        <v>1</v>
      </c>
      <c r="P600" s="1" t="s">
        <v>44</v>
      </c>
      <c r="Q600">
        <v>3</v>
      </c>
      <c r="R600" s="1" t="s">
        <v>39</v>
      </c>
      <c r="S600">
        <v>4382</v>
      </c>
      <c r="T600">
        <v>16374</v>
      </c>
      <c r="U600">
        <v>6</v>
      </c>
      <c r="V600" s="1" t="s">
        <v>40</v>
      </c>
      <c r="W600">
        <v>17</v>
      </c>
      <c r="X600">
        <v>3</v>
      </c>
      <c r="Y600">
        <v>4</v>
      </c>
      <c r="Z600">
        <v>80</v>
      </c>
      <c r="AA600">
        <v>0</v>
      </c>
      <c r="AB600">
        <v>5</v>
      </c>
      <c r="AC600">
        <v>3</v>
      </c>
      <c r="AD600">
        <v>2</v>
      </c>
      <c r="AE600">
        <v>2</v>
      </c>
      <c r="AF600">
        <v>2</v>
      </c>
      <c r="AG600">
        <v>2</v>
      </c>
      <c r="AH600">
        <v>1</v>
      </c>
      <c r="AI600">
        <f>IF(tbl_HRData[[#This Row],[Attrition]] = "Yes",1,0)</f>
        <v>1</v>
      </c>
      <c r="AJ600">
        <f>IF(tbl_HRData[[#This Row],[Attrition]] = "No",1,0)</f>
        <v>0</v>
      </c>
      <c r="AK600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600" s="1" t="str">
        <f>IF(tbl_HRData[[#This Row],[MonthlyIncome]]&lt;5000,"Low",
IF(tbl_HRData[[#This Row],[MonthlyIncome]]&lt;10000,"Medium",
IF(tbl_HRData[[#This Row],[MonthlyIncome]]&lt;15000,"Upper Medium","High")))</f>
        <v>Low</v>
      </c>
      <c r="AM600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601" spans="1:39" x14ac:dyDescent="0.35">
      <c r="A601" s="1">
        <v>600</v>
      </c>
      <c r="B601">
        <v>36</v>
      </c>
      <c r="C601" s="1" t="s">
        <v>40</v>
      </c>
      <c r="D601" s="1" t="s">
        <v>34</v>
      </c>
      <c r="E601">
        <v>1041</v>
      </c>
      <c r="F601" s="1" t="s">
        <v>58</v>
      </c>
      <c r="G601">
        <v>13</v>
      </c>
      <c r="H601">
        <v>3</v>
      </c>
      <c r="I601" s="1" t="s">
        <v>58</v>
      </c>
      <c r="J601">
        <v>829</v>
      </c>
      <c r="K601">
        <v>3</v>
      </c>
      <c r="L601" s="1" t="s">
        <v>43</v>
      </c>
      <c r="M601">
        <v>36</v>
      </c>
      <c r="N601">
        <v>3</v>
      </c>
      <c r="O601">
        <v>1</v>
      </c>
      <c r="P601" s="1" t="s">
        <v>58</v>
      </c>
      <c r="Q601">
        <v>2</v>
      </c>
      <c r="R601" s="1" t="s">
        <v>45</v>
      </c>
      <c r="S601">
        <v>2143</v>
      </c>
      <c r="T601">
        <v>25527</v>
      </c>
      <c r="U601">
        <v>4</v>
      </c>
      <c r="V601" s="1" t="s">
        <v>40</v>
      </c>
      <c r="W601">
        <v>13</v>
      </c>
      <c r="X601">
        <v>3</v>
      </c>
      <c r="Y601">
        <v>2</v>
      </c>
      <c r="Z601">
        <v>80</v>
      </c>
      <c r="AA601">
        <v>1</v>
      </c>
      <c r="AB601">
        <v>8</v>
      </c>
      <c r="AC601">
        <v>2</v>
      </c>
      <c r="AD601">
        <v>3</v>
      </c>
      <c r="AE601">
        <v>5</v>
      </c>
      <c r="AF601">
        <v>2</v>
      </c>
      <c r="AG601">
        <v>0</v>
      </c>
      <c r="AH601">
        <v>4</v>
      </c>
      <c r="AI601">
        <f>IF(tbl_HRData[[#This Row],[Attrition]] = "Yes",1,0)</f>
        <v>0</v>
      </c>
      <c r="AJ601">
        <f>IF(tbl_HRData[[#This Row],[Attrition]] = "No",1,0)</f>
        <v>1</v>
      </c>
      <c r="AK601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601" s="1" t="str">
        <f>IF(tbl_HRData[[#This Row],[MonthlyIncome]]&lt;5000,"Low",
IF(tbl_HRData[[#This Row],[MonthlyIncome]]&lt;10000,"Medium",
IF(tbl_HRData[[#This Row],[MonthlyIncome]]&lt;15000,"Upper Medium","High")))</f>
        <v>Low</v>
      </c>
      <c r="AM601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602" spans="1:39" x14ac:dyDescent="0.35">
      <c r="A602" s="1">
        <v>601</v>
      </c>
      <c r="B602">
        <v>32</v>
      </c>
      <c r="C602" s="1" t="s">
        <v>40</v>
      </c>
      <c r="D602" s="1" t="s">
        <v>34</v>
      </c>
      <c r="E602">
        <v>859</v>
      </c>
      <c r="F602" s="1" t="s">
        <v>42</v>
      </c>
      <c r="G602">
        <v>4</v>
      </c>
      <c r="H602">
        <v>3</v>
      </c>
      <c r="I602" s="1" t="s">
        <v>36</v>
      </c>
      <c r="J602">
        <v>830</v>
      </c>
      <c r="K602">
        <v>3</v>
      </c>
      <c r="L602" s="1" t="s">
        <v>37</v>
      </c>
      <c r="M602">
        <v>98</v>
      </c>
      <c r="N602">
        <v>2</v>
      </c>
      <c r="O602">
        <v>2</v>
      </c>
      <c r="P602" s="1" t="s">
        <v>50</v>
      </c>
      <c r="Q602">
        <v>3</v>
      </c>
      <c r="R602" s="1" t="s">
        <v>45</v>
      </c>
      <c r="S602">
        <v>6162</v>
      </c>
      <c r="T602">
        <v>19124</v>
      </c>
      <c r="U602">
        <v>1</v>
      </c>
      <c r="V602" s="1" t="s">
        <v>40</v>
      </c>
      <c r="W602">
        <v>12</v>
      </c>
      <c r="X602">
        <v>3</v>
      </c>
      <c r="Y602">
        <v>3</v>
      </c>
      <c r="Z602">
        <v>80</v>
      </c>
      <c r="AA602">
        <v>1</v>
      </c>
      <c r="AB602">
        <v>14</v>
      </c>
      <c r="AC602">
        <v>3</v>
      </c>
      <c r="AD602">
        <v>3</v>
      </c>
      <c r="AE602">
        <v>14</v>
      </c>
      <c r="AF602">
        <v>13</v>
      </c>
      <c r="AG602">
        <v>6</v>
      </c>
      <c r="AH602">
        <v>8</v>
      </c>
      <c r="AI602">
        <f>IF(tbl_HRData[[#This Row],[Attrition]] = "Yes",1,0)</f>
        <v>0</v>
      </c>
      <c r="AJ602">
        <f>IF(tbl_HRData[[#This Row],[Attrition]] = "No",1,0)</f>
        <v>1</v>
      </c>
      <c r="AK602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602" s="1" t="str">
        <f>IF(tbl_HRData[[#This Row],[MonthlyIncome]]&lt;5000,"Low",
IF(tbl_HRData[[#This Row],[MonthlyIncome]]&lt;10000,"Medium",
IF(tbl_HRData[[#This Row],[MonthlyIncome]]&lt;15000,"Upper Medium","High")))</f>
        <v>Medium</v>
      </c>
      <c r="AM602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603" spans="1:39" x14ac:dyDescent="0.35">
      <c r="A603" s="1">
        <v>602</v>
      </c>
      <c r="B603">
        <v>40</v>
      </c>
      <c r="C603" s="1" t="s">
        <v>40</v>
      </c>
      <c r="D603" s="1" t="s">
        <v>41</v>
      </c>
      <c r="E603">
        <v>720</v>
      </c>
      <c r="F603" s="1" t="s">
        <v>42</v>
      </c>
      <c r="G603">
        <v>16</v>
      </c>
      <c r="H603">
        <v>4</v>
      </c>
      <c r="I603" s="1" t="s">
        <v>48</v>
      </c>
      <c r="J603">
        <v>832</v>
      </c>
      <c r="K603">
        <v>1</v>
      </c>
      <c r="L603" s="1" t="s">
        <v>43</v>
      </c>
      <c r="M603">
        <v>51</v>
      </c>
      <c r="N603">
        <v>2</v>
      </c>
      <c r="O603">
        <v>2</v>
      </c>
      <c r="P603" s="1" t="s">
        <v>47</v>
      </c>
      <c r="Q603">
        <v>3</v>
      </c>
      <c r="R603" s="1" t="s">
        <v>39</v>
      </c>
      <c r="S603">
        <v>5094</v>
      </c>
      <c r="T603">
        <v>11983</v>
      </c>
      <c r="U603">
        <v>6</v>
      </c>
      <c r="V603" s="1" t="s">
        <v>40</v>
      </c>
      <c r="W603">
        <v>14</v>
      </c>
      <c r="X603">
        <v>3</v>
      </c>
      <c r="Y603">
        <v>4</v>
      </c>
      <c r="Z603">
        <v>80</v>
      </c>
      <c r="AA603">
        <v>0</v>
      </c>
      <c r="AB603">
        <v>10</v>
      </c>
      <c r="AC603">
        <v>6</v>
      </c>
      <c r="AD603">
        <v>3</v>
      </c>
      <c r="AE603">
        <v>1</v>
      </c>
      <c r="AF603">
        <v>0</v>
      </c>
      <c r="AG603">
        <v>0</v>
      </c>
      <c r="AH603">
        <v>0</v>
      </c>
      <c r="AI603">
        <f>IF(tbl_HRData[[#This Row],[Attrition]] = "Yes",1,0)</f>
        <v>0</v>
      </c>
      <c r="AJ603">
        <f>IF(tbl_HRData[[#This Row],[Attrition]] = "No",1,0)</f>
        <v>1</v>
      </c>
      <c r="AK603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603" s="1" t="str">
        <f>IF(tbl_HRData[[#This Row],[MonthlyIncome]]&lt;5000,"Low",
IF(tbl_HRData[[#This Row],[MonthlyIncome]]&lt;10000,"Medium",
IF(tbl_HRData[[#This Row],[MonthlyIncome]]&lt;15000,"Upper Medium","High")))</f>
        <v>Medium</v>
      </c>
      <c r="AM603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604" spans="1:39" x14ac:dyDescent="0.35">
      <c r="A604" s="1">
        <v>603</v>
      </c>
      <c r="B604">
        <v>30</v>
      </c>
      <c r="C604" s="1" t="s">
        <v>40</v>
      </c>
      <c r="D604" s="1" t="s">
        <v>34</v>
      </c>
      <c r="E604">
        <v>946</v>
      </c>
      <c r="F604" s="1" t="s">
        <v>42</v>
      </c>
      <c r="G604">
        <v>2</v>
      </c>
      <c r="H604">
        <v>3</v>
      </c>
      <c r="I604" s="1" t="s">
        <v>48</v>
      </c>
      <c r="J604">
        <v>833</v>
      </c>
      <c r="K604">
        <v>3</v>
      </c>
      <c r="L604" s="1" t="s">
        <v>37</v>
      </c>
      <c r="M604">
        <v>52</v>
      </c>
      <c r="N604">
        <v>2</v>
      </c>
      <c r="O604">
        <v>2</v>
      </c>
      <c r="P604" s="1" t="s">
        <v>50</v>
      </c>
      <c r="Q604">
        <v>4</v>
      </c>
      <c r="R604" s="1" t="s">
        <v>39</v>
      </c>
      <c r="S604">
        <v>6877</v>
      </c>
      <c r="T604">
        <v>20234</v>
      </c>
      <c r="U604">
        <v>5</v>
      </c>
      <c r="V604" s="1" t="s">
        <v>33</v>
      </c>
      <c r="W604">
        <v>24</v>
      </c>
      <c r="X604">
        <v>4</v>
      </c>
      <c r="Y604">
        <v>2</v>
      </c>
      <c r="Z604">
        <v>80</v>
      </c>
      <c r="AA604">
        <v>0</v>
      </c>
      <c r="AB604">
        <v>12</v>
      </c>
      <c r="AC604">
        <v>4</v>
      </c>
      <c r="AD604">
        <v>2</v>
      </c>
      <c r="AE604">
        <v>0</v>
      </c>
      <c r="AF604">
        <v>0</v>
      </c>
      <c r="AG604">
        <v>0</v>
      </c>
      <c r="AH604">
        <v>0</v>
      </c>
      <c r="AI604">
        <f>IF(tbl_HRData[[#This Row],[Attrition]] = "Yes",1,0)</f>
        <v>0</v>
      </c>
      <c r="AJ604">
        <f>IF(tbl_HRData[[#This Row],[Attrition]] = "No",1,0)</f>
        <v>1</v>
      </c>
      <c r="AK604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604" s="1" t="str">
        <f>IF(tbl_HRData[[#This Row],[MonthlyIncome]]&lt;5000,"Low",
IF(tbl_HRData[[#This Row],[MonthlyIncome]]&lt;10000,"Medium",
IF(tbl_HRData[[#This Row],[MonthlyIncome]]&lt;15000,"Upper Medium","High")))</f>
        <v>Medium</v>
      </c>
      <c r="AM604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605" spans="1:39" x14ac:dyDescent="0.35">
      <c r="A605" s="1">
        <v>604</v>
      </c>
      <c r="B605">
        <v>45</v>
      </c>
      <c r="C605" s="1" t="s">
        <v>40</v>
      </c>
      <c r="D605" s="1" t="s">
        <v>34</v>
      </c>
      <c r="E605">
        <v>252</v>
      </c>
      <c r="F605" s="1" t="s">
        <v>42</v>
      </c>
      <c r="G605">
        <v>2</v>
      </c>
      <c r="H605">
        <v>3</v>
      </c>
      <c r="I605" s="1" t="s">
        <v>36</v>
      </c>
      <c r="J605">
        <v>834</v>
      </c>
      <c r="K605">
        <v>2</v>
      </c>
      <c r="L605" s="1" t="s">
        <v>37</v>
      </c>
      <c r="M605">
        <v>95</v>
      </c>
      <c r="N605">
        <v>2</v>
      </c>
      <c r="O605">
        <v>1</v>
      </c>
      <c r="P605" s="1" t="s">
        <v>44</v>
      </c>
      <c r="Q605">
        <v>3</v>
      </c>
      <c r="R605" s="1" t="s">
        <v>39</v>
      </c>
      <c r="S605">
        <v>2274</v>
      </c>
      <c r="T605">
        <v>6153</v>
      </c>
      <c r="U605">
        <v>1</v>
      </c>
      <c r="V605" s="1" t="s">
        <v>40</v>
      </c>
      <c r="W605">
        <v>14</v>
      </c>
      <c r="X605">
        <v>3</v>
      </c>
      <c r="Y605">
        <v>4</v>
      </c>
      <c r="Z605">
        <v>80</v>
      </c>
      <c r="AA605">
        <v>0</v>
      </c>
      <c r="AB605">
        <v>1</v>
      </c>
      <c r="AC605">
        <v>3</v>
      </c>
      <c r="AD605">
        <v>3</v>
      </c>
      <c r="AE605">
        <v>1</v>
      </c>
      <c r="AF605">
        <v>0</v>
      </c>
      <c r="AG605">
        <v>0</v>
      </c>
      <c r="AH605">
        <v>0</v>
      </c>
      <c r="AI605">
        <f>IF(tbl_HRData[[#This Row],[Attrition]] = "Yes",1,0)</f>
        <v>0</v>
      </c>
      <c r="AJ605">
        <f>IF(tbl_HRData[[#This Row],[Attrition]] = "No",1,0)</f>
        <v>1</v>
      </c>
      <c r="AK605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605" s="1" t="str">
        <f>IF(tbl_HRData[[#This Row],[MonthlyIncome]]&lt;5000,"Low",
IF(tbl_HRData[[#This Row],[MonthlyIncome]]&lt;10000,"Medium",
IF(tbl_HRData[[#This Row],[MonthlyIncome]]&lt;15000,"Upper Medium","High")))</f>
        <v>Low</v>
      </c>
      <c r="AM605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606" spans="1:39" x14ac:dyDescent="0.35">
      <c r="A606" s="1">
        <v>605</v>
      </c>
      <c r="B606">
        <v>42</v>
      </c>
      <c r="C606" s="1" t="s">
        <v>40</v>
      </c>
      <c r="D606" s="1" t="s">
        <v>34</v>
      </c>
      <c r="E606">
        <v>933</v>
      </c>
      <c r="F606" s="1" t="s">
        <v>42</v>
      </c>
      <c r="G606">
        <v>29</v>
      </c>
      <c r="H606">
        <v>3</v>
      </c>
      <c r="I606" s="1" t="s">
        <v>36</v>
      </c>
      <c r="J606">
        <v>836</v>
      </c>
      <c r="K606">
        <v>2</v>
      </c>
      <c r="L606" s="1" t="s">
        <v>43</v>
      </c>
      <c r="M606">
        <v>98</v>
      </c>
      <c r="N606">
        <v>3</v>
      </c>
      <c r="O606">
        <v>2</v>
      </c>
      <c r="P606" s="1" t="s">
        <v>50</v>
      </c>
      <c r="Q606">
        <v>2</v>
      </c>
      <c r="R606" s="1" t="s">
        <v>45</v>
      </c>
      <c r="S606">
        <v>4434</v>
      </c>
      <c r="T606">
        <v>11806</v>
      </c>
      <c r="U606">
        <v>1</v>
      </c>
      <c r="V606" s="1" t="s">
        <v>40</v>
      </c>
      <c r="W606">
        <v>13</v>
      </c>
      <c r="X606">
        <v>3</v>
      </c>
      <c r="Y606">
        <v>4</v>
      </c>
      <c r="Z606">
        <v>80</v>
      </c>
      <c r="AA606">
        <v>1</v>
      </c>
      <c r="AB606">
        <v>10</v>
      </c>
      <c r="AC606">
        <v>3</v>
      </c>
      <c r="AD606">
        <v>2</v>
      </c>
      <c r="AE606">
        <v>9</v>
      </c>
      <c r="AF606">
        <v>8</v>
      </c>
      <c r="AG606">
        <v>7</v>
      </c>
      <c r="AH606">
        <v>8</v>
      </c>
      <c r="AI606">
        <f>IF(tbl_HRData[[#This Row],[Attrition]] = "Yes",1,0)</f>
        <v>0</v>
      </c>
      <c r="AJ606">
        <f>IF(tbl_HRData[[#This Row],[Attrition]] = "No",1,0)</f>
        <v>1</v>
      </c>
      <c r="AK606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606" s="1" t="str">
        <f>IF(tbl_HRData[[#This Row],[MonthlyIncome]]&lt;5000,"Low",
IF(tbl_HRData[[#This Row],[MonthlyIncome]]&lt;10000,"Medium",
IF(tbl_HRData[[#This Row],[MonthlyIncome]]&lt;15000,"Upper Medium","High")))</f>
        <v>Low</v>
      </c>
      <c r="AM606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607" spans="1:39" x14ac:dyDescent="0.35">
      <c r="A607" s="1">
        <v>606</v>
      </c>
      <c r="B607">
        <v>38</v>
      </c>
      <c r="C607" s="1" t="s">
        <v>40</v>
      </c>
      <c r="D607" s="1" t="s">
        <v>41</v>
      </c>
      <c r="E607">
        <v>471</v>
      </c>
      <c r="F607" s="1" t="s">
        <v>42</v>
      </c>
      <c r="G607">
        <v>12</v>
      </c>
      <c r="H607">
        <v>3</v>
      </c>
      <c r="I607" s="1" t="s">
        <v>36</v>
      </c>
      <c r="J607">
        <v>837</v>
      </c>
      <c r="K607">
        <v>1</v>
      </c>
      <c r="L607" s="1" t="s">
        <v>43</v>
      </c>
      <c r="M607">
        <v>45</v>
      </c>
      <c r="N607">
        <v>2</v>
      </c>
      <c r="O607">
        <v>2</v>
      </c>
      <c r="P607" s="1" t="s">
        <v>51</v>
      </c>
      <c r="Q607">
        <v>1</v>
      </c>
      <c r="R607" s="1" t="s">
        <v>49</v>
      </c>
      <c r="S607">
        <v>6288</v>
      </c>
      <c r="T607">
        <v>4284</v>
      </c>
      <c r="U607">
        <v>2</v>
      </c>
      <c r="V607" s="1" t="s">
        <v>40</v>
      </c>
      <c r="W607">
        <v>15</v>
      </c>
      <c r="X607">
        <v>3</v>
      </c>
      <c r="Y607">
        <v>3</v>
      </c>
      <c r="Z607">
        <v>80</v>
      </c>
      <c r="AA607">
        <v>1</v>
      </c>
      <c r="AB607">
        <v>13</v>
      </c>
      <c r="AC607">
        <v>3</v>
      </c>
      <c r="AD607">
        <v>2</v>
      </c>
      <c r="AE607">
        <v>4</v>
      </c>
      <c r="AF607">
        <v>3</v>
      </c>
      <c r="AG607">
        <v>1</v>
      </c>
      <c r="AH607">
        <v>2</v>
      </c>
      <c r="AI607">
        <f>IF(tbl_HRData[[#This Row],[Attrition]] = "Yes",1,0)</f>
        <v>0</v>
      </c>
      <c r="AJ607">
        <f>IF(tbl_HRData[[#This Row],[Attrition]] = "No",1,0)</f>
        <v>1</v>
      </c>
      <c r="AK607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607" s="1" t="str">
        <f>IF(tbl_HRData[[#This Row],[MonthlyIncome]]&lt;5000,"Low",
IF(tbl_HRData[[#This Row],[MonthlyIncome]]&lt;10000,"Medium",
IF(tbl_HRData[[#This Row],[MonthlyIncome]]&lt;15000,"Upper Medium","High")))</f>
        <v>Medium</v>
      </c>
      <c r="AM607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608" spans="1:39" x14ac:dyDescent="0.35">
      <c r="A608" s="1">
        <v>607</v>
      </c>
      <c r="B608">
        <v>34</v>
      </c>
      <c r="C608" s="1" t="s">
        <v>40</v>
      </c>
      <c r="D608" s="1" t="s">
        <v>41</v>
      </c>
      <c r="E608">
        <v>702</v>
      </c>
      <c r="F608" s="1" t="s">
        <v>42</v>
      </c>
      <c r="G608">
        <v>16</v>
      </c>
      <c r="H608">
        <v>4</v>
      </c>
      <c r="I608" s="1" t="s">
        <v>36</v>
      </c>
      <c r="J608">
        <v>838</v>
      </c>
      <c r="K608">
        <v>3</v>
      </c>
      <c r="L608" s="1" t="s">
        <v>37</v>
      </c>
      <c r="M608">
        <v>100</v>
      </c>
      <c r="N608">
        <v>2</v>
      </c>
      <c r="O608">
        <v>1</v>
      </c>
      <c r="P608" s="1" t="s">
        <v>44</v>
      </c>
      <c r="Q608">
        <v>4</v>
      </c>
      <c r="R608" s="1" t="s">
        <v>39</v>
      </c>
      <c r="S608">
        <v>2553</v>
      </c>
      <c r="T608">
        <v>8306</v>
      </c>
      <c r="U608">
        <v>1</v>
      </c>
      <c r="V608" s="1" t="s">
        <v>40</v>
      </c>
      <c r="W608">
        <v>16</v>
      </c>
      <c r="X608">
        <v>3</v>
      </c>
      <c r="Y608">
        <v>3</v>
      </c>
      <c r="Z608">
        <v>80</v>
      </c>
      <c r="AA608">
        <v>0</v>
      </c>
      <c r="AB608">
        <v>6</v>
      </c>
      <c r="AC608">
        <v>3</v>
      </c>
      <c r="AD608">
        <v>3</v>
      </c>
      <c r="AE608">
        <v>5</v>
      </c>
      <c r="AF608">
        <v>2</v>
      </c>
      <c r="AG608">
        <v>1</v>
      </c>
      <c r="AH608">
        <v>3</v>
      </c>
      <c r="AI608">
        <f>IF(tbl_HRData[[#This Row],[Attrition]] = "Yes",1,0)</f>
        <v>0</v>
      </c>
      <c r="AJ608">
        <f>IF(tbl_HRData[[#This Row],[Attrition]] = "No",1,0)</f>
        <v>1</v>
      </c>
      <c r="AK608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608" s="1" t="str">
        <f>IF(tbl_HRData[[#This Row],[MonthlyIncome]]&lt;5000,"Low",
IF(tbl_HRData[[#This Row],[MonthlyIncome]]&lt;10000,"Medium",
IF(tbl_HRData[[#This Row],[MonthlyIncome]]&lt;15000,"Upper Medium","High")))</f>
        <v>Low</v>
      </c>
      <c r="AM608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609" spans="1:39" x14ac:dyDescent="0.35">
      <c r="A609" s="1">
        <v>608</v>
      </c>
      <c r="B609">
        <v>49</v>
      </c>
      <c r="C609" s="1" t="s">
        <v>33</v>
      </c>
      <c r="D609" s="1" t="s">
        <v>34</v>
      </c>
      <c r="E609">
        <v>1184</v>
      </c>
      <c r="F609" s="1" t="s">
        <v>35</v>
      </c>
      <c r="G609">
        <v>11</v>
      </c>
      <c r="H609">
        <v>3</v>
      </c>
      <c r="I609" s="1" t="s">
        <v>56</v>
      </c>
      <c r="J609">
        <v>840</v>
      </c>
      <c r="K609">
        <v>3</v>
      </c>
      <c r="L609" s="1" t="s">
        <v>37</v>
      </c>
      <c r="M609">
        <v>43</v>
      </c>
      <c r="N609">
        <v>3</v>
      </c>
      <c r="O609">
        <v>3</v>
      </c>
      <c r="P609" s="1" t="s">
        <v>38</v>
      </c>
      <c r="Q609">
        <v>4</v>
      </c>
      <c r="R609" s="1" t="s">
        <v>45</v>
      </c>
      <c r="S609">
        <v>7654</v>
      </c>
      <c r="T609">
        <v>5860</v>
      </c>
      <c r="U609">
        <v>1</v>
      </c>
      <c r="V609" s="1" t="s">
        <v>40</v>
      </c>
      <c r="W609">
        <v>18</v>
      </c>
      <c r="X609">
        <v>3</v>
      </c>
      <c r="Y609">
        <v>1</v>
      </c>
      <c r="Z609">
        <v>80</v>
      </c>
      <c r="AA609">
        <v>2</v>
      </c>
      <c r="AB609">
        <v>9</v>
      </c>
      <c r="AC609">
        <v>3</v>
      </c>
      <c r="AD609">
        <v>4</v>
      </c>
      <c r="AE609">
        <v>9</v>
      </c>
      <c r="AF609">
        <v>8</v>
      </c>
      <c r="AG609">
        <v>7</v>
      </c>
      <c r="AH609">
        <v>7</v>
      </c>
      <c r="AI609">
        <f>IF(tbl_HRData[[#This Row],[Attrition]] = "Yes",1,0)</f>
        <v>1</v>
      </c>
      <c r="AJ609">
        <f>IF(tbl_HRData[[#This Row],[Attrition]] = "No",1,0)</f>
        <v>0</v>
      </c>
      <c r="AK609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609" s="1" t="str">
        <f>IF(tbl_HRData[[#This Row],[MonthlyIncome]]&lt;5000,"Low",
IF(tbl_HRData[[#This Row],[MonthlyIncome]]&lt;10000,"Medium",
IF(tbl_HRData[[#This Row],[MonthlyIncome]]&lt;15000,"Upper Medium","High")))</f>
        <v>Medium</v>
      </c>
      <c r="AM609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610" spans="1:39" x14ac:dyDescent="0.35">
      <c r="A610" s="1">
        <v>609</v>
      </c>
      <c r="B610">
        <v>55</v>
      </c>
      <c r="C610" s="1" t="s">
        <v>33</v>
      </c>
      <c r="D610" s="1" t="s">
        <v>34</v>
      </c>
      <c r="E610">
        <v>436</v>
      </c>
      <c r="F610" s="1" t="s">
        <v>35</v>
      </c>
      <c r="G610">
        <v>2</v>
      </c>
      <c r="H610">
        <v>1</v>
      </c>
      <c r="I610" s="1" t="s">
        <v>48</v>
      </c>
      <c r="J610">
        <v>842</v>
      </c>
      <c r="K610">
        <v>3</v>
      </c>
      <c r="L610" s="1" t="s">
        <v>43</v>
      </c>
      <c r="M610">
        <v>37</v>
      </c>
      <c r="N610">
        <v>3</v>
      </c>
      <c r="O610">
        <v>2</v>
      </c>
      <c r="P610" s="1" t="s">
        <v>38</v>
      </c>
      <c r="Q610">
        <v>4</v>
      </c>
      <c r="R610" s="1" t="s">
        <v>39</v>
      </c>
      <c r="S610">
        <v>5160</v>
      </c>
      <c r="T610">
        <v>21519</v>
      </c>
      <c r="U610">
        <v>4</v>
      </c>
      <c r="V610" s="1" t="s">
        <v>40</v>
      </c>
      <c r="W610">
        <v>16</v>
      </c>
      <c r="X610">
        <v>3</v>
      </c>
      <c r="Y610">
        <v>3</v>
      </c>
      <c r="Z610">
        <v>80</v>
      </c>
      <c r="AA610">
        <v>0</v>
      </c>
      <c r="AB610">
        <v>12</v>
      </c>
      <c r="AC610">
        <v>3</v>
      </c>
      <c r="AD610">
        <v>2</v>
      </c>
      <c r="AE610">
        <v>9</v>
      </c>
      <c r="AF610">
        <v>7</v>
      </c>
      <c r="AG610">
        <v>7</v>
      </c>
      <c r="AH610">
        <v>3</v>
      </c>
      <c r="AI610">
        <f>IF(tbl_HRData[[#This Row],[Attrition]] = "Yes",1,0)</f>
        <v>1</v>
      </c>
      <c r="AJ610">
        <f>IF(tbl_HRData[[#This Row],[Attrition]] = "No",1,0)</f>
        <v>0</v>
      </c>
      <c r="AK610" t="str">
        <f>IF(tbl_HRData[[#This Row],[Age]] &lt; 25, "Under 25", IF(tbl_HRData[[#This Row],[Age]] &lt;= 34, "25-34", IF(tbl_HRData[[#This Row],[Age]] &lt;= 44, "35-44", IF(tbl_HRData[[#This Row],[Age]] &lt;= 54, "45-54", "55+"))))</f>
        <v>55+</v>
      </c>
      <c r="AL610" s="1" t="str">
        <f>IF(tbl_HRData[[#This Row],[MonthlyIncome]]&lt;5000,"Low",
IF(tbl_HRData[[#This Row],[MonthlyIncome]]&lt;10000,"Medium",
IF(tbl_HRData[[#This Row],[MonthlyIncome]]&lt;15000,"Upper Medium","High")))</f>
        <v>Medium</v>
      </c>
      <c r="AM610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611" spans="1:39" x14ac:dyDescent="0.35">
      <c r="A611" s="1">
        <v>610</v>
      </c>
      <c r="B611">
        <v>43</v>
      </c>
      <c r="C611" s="1" t="s">
        <v>40</v>
      </c>
      <c r="D611" s="1" t="s">
        <v>34</v>
      </c>
      <c r="E611">
        <v>589</v>
      </c>
      <c r="F611" s="1" t="s">
        <v>42</v>
      </c>
      <c r="G611">
        <v>14</v>
      </c>
      <c r="H611">
        <v>2</v>
      </c>
      <c r="I611" s="1" t="s">
        <v>36</v>
      </c>
      <c r="J611">
        <v>843</v>
      </c>
      <c r="K611">
        <v>2</v>
      </c>
      <c r="L611" s="1" t="s">
        <v>43</v>
      </c>
      <c r="M611">
        <v>94</v>
      </c>
      <c r="N611">
        <v>3</v>
      </c>
      <c r="O611">
        <v>4</v>
      </c>
      <c r="P611" s="1" t="s">
        <v>55</v>
      </c>
      <c r="Q611">
        <v>1</v>
      </c>
      <c r="R611" s="1" t="s">
        <v>45</v>
      </c>
      <c r="S611">
        <v>17159</v>
      </c>
      <c r="T611">
        <v>5200</v>
      </c>
      <c r="U611">
        <v>6</v>
      </c>
      <c r="V611" s="1" t="s">
        <v>40</v>
      </c>
      <c r="W611">
        <v>24</v>
      </c>
      <c r="X611">
        <v>4</v>
      </c>
      <c r="Y611">
        <v>3</v>
      </c>
      <c r="Z611">
        <v>80</v>
      </c>
      <c r="AA611">
        <v>1</v>
      </c>
      <c r="AB611">
        <v>22</v>
      </c>
      <c r="AC611">
        <v>3</v>
      </c>
      <c r="AD611">
        <v>3</v>
      </c>
      <c r="AE611">
        <v>4</v>
      </c>
      <c r="AF611">
        <v>1</v>
      </c>
      <c r="AG611">
        <v>1</v>
      </c>
      <c r="AH611">
        <v>0</v>
      </c>
      <c r="AI611">
        <f>IF(tbl_HRData[[#This Row],[Attrition]] = "Yes",1,0)</f>
        <v>0</v>
      </c>
      <c r="AJ611">
        <f>IF(tbl_HRData[[#This Row],[Attrition]] = "No",1,0)</f>
        <v>1</v>
      </c>
      <c r="AK611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611" s="1" t="str">
        <f>IF(tbl_HRData[[#This Row],[MonthlyIncome]]&lt;5000,"Low",
IF(tbl_HRData[[#This Row],[MonthlyIncome]]&lt;10000,"Medium",
IF(tbl_HRData[[#This Row],[MonthlyIncome]]&lt;15000,"Upper Medium","High")))</f>
        <v>High</v>
      </c>
      <c r="AM611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612" spans="1:39" x14ac:dyDescent="0.35">
      <c r="A612" s="1">
        <v>611</v>
      </c>
      <c r="B612">
        <v>27</v>
      </c>
      <c r="C612" s="1" t="s">
        <v>40</v>
      </c>
      <c r="D612" s="1" t="s">
        <v>34</v>
      </c>
      <c r="E612">
        <v>269</v>
      </c>
      <c r="F612" s="1" t="s">
        <v>42</v>
      </c>
      <c r="G612">
        <v>5</v>
      </c>
      <c r="H612">
        <v>1</v>
      </c>
      <c r="I612" s="1" t="s">
        <v>57</v>
      </c>
      <c r="J612">
        <v>844</v>
      </c>
      <c r="K612">
        <v>3</v>
      </c>
      <c r="L612" s="1" t="s">
        <v>43</v>
      </c>
      <c r="M612">
        <v>42</v>
      </c>
      <c r="N612">
        <v>2</v>
      </c>
      <c r="O612">
        <v>3</v>
      </c>
      <c r="P612" s="1" t="s">
        <v>55</v>
      </c>
      <c r="Q612">
        <v>4</v>
      </c>
      <c r="R612" s="1" t="s">
        <v>49</v>
      </c>
      <c r="S612">
        <v>12808</v>
      </c>
      <c r="T612">
        <v>8842</v>
      </c>
      <c r="U612">
        <v>1</v>
      </c>
      <c r="V612" s="1" t="s">
        <v>33</v>
      </c>
      <c r="W612">
        <v>16</v>
      </c>
      <c r="X612">
        <v>3</v>
      </c>
      <c r="Y612">
        <v>2</v>
      </c>
      <c r="Z612">
        <v>80</v>
      </c>
      <c r="AA612">
        <v>1</v>
      </c>
      <c r="AB612">
        <v>9</v>
      </c>
      <c r="AC612">
        <v>3</v>
      </c>
      <c r="AD612">
        <v>3</v>
      </c>
      <c r="AE612">
        <v>9</v>
      </c>
      <c r="AF612">
        <v>8</v>
      </c>
      <c r="AG612">
        <v>0</v>
      </c>
      <c r="AH612">
        <v>8</v>
      </c>
      <c r="AI612">
        <f>IF(tbl_HRData[[#This Row],[Attrition]] = "Yes",1,0)</f>
        <v>0</v>
      </c>
      <c r="AJ612">
        <f>IF(tbl_HRData[[#This Row],[Attrition]] = "No",1,0)</f>
        <v>1</v>
      </c>
      <c r="AK612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612" s="1" t="str">
        <f>IF(tbl_HRData[[#This Row],[MonthlyIncome]]&lt;5000,"Low",
IF(tbl_HRData[[#This Row],[MonthlyIncome]]&lt;10000,"Medium",
IF(tbl_HRData[[#This Row],[MonthlyIncome]]&lt;15000,"Upper Medium","High")))</f>
        <v>Upper Medium</v>
      </c>
      <c r="AM612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613" spans="1:39" x14ac:dyDescent="0.35">
      <c r="A613" s="1">
        <v>612</v>
      </c>
      <c r="B613">
        <v>35</v>
      </c>
      <c r="C613" s="1" t="s">
        <v>40</v>
      </c>
      <c r="D613" s="1" t="s">
        <v>34</v>
      </c>
      <c r="E613">
        <v>950</v>
      </c>
      <c r="F613" s="1" t="s">
        <v>42</v>
      </c>
      <c r="G613">
        <v>7</v>
      </c>
      <c r="H613">
        <v>3</v>
      </c>
      <c r="I613" s="1" t="s">
        <v>46</v>
      </c>
      <c r="J613">
        <v>845</v>
      </c>
      <c r="K613">
        <v>3</v>
      </c>
      <c r="L613" s="1" t="s">
        <v>43</v>
      </c>
      <c r="M613">
        <v>59</v>
      </c>
      <c r="N613">
        <v>3</v>
      </c>
      <c r="O613">
        <v>3</v>
      </c>
      <c r="P613" s="1" t="s">
        <v>50</v>
      </c>
      <c r="Q613">
        <v>3</v>
      </c>
      <c r="R613" s="1" t="s">
        <v>39</v>
      </c>
      <c r="S613">
        <v>10221</v>
      </c>
      <c r="T613">
        <v>18869</v>
      </c>
      <c r="U613">
        <v>3</v>
      </c>
      <c r="V613" s="1" t="s">
        <v>40</v>
      </c>
      <c r="W613">
        <v>21</v>
      </c>
      <c r="X613">
        <v>4</v>
      </c>
      <c r="Y613">
        <v>2</v>
      </c>
      <c r="Z613">
        <v>80</v>
      </c>
      <c r="AA613">
        <v>0</v>
      </c>
      <c r="AB613">
        <v>17</v>
      </c>
      <c r="AC613">
        <v>3</v>
      </c>
      <c r="AD613">
        <v>4</v>
      </c>
      <c r="AE613">
        <v>8</v>
      </c>
      <c r="AF613">
        <v>5</v>
      </c>
      <c r="AG613">
        <v>1</v>
      </c>
      <c r="AH613">
        <v>6</v>
      </c>
      <c r="AI613">
        <f>IF(tbl_HRData[[#This Row],[Attrition]] = "Yes",1,0)</f>
        <v>0</v>
      </c>
      <c r="AJ613">
        <f>IF(tbl_HRData[[#This Row],[Attrition]] = "No",1,0)</f>
        <v>1</v>
      </c>
      <c r="AK613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613" s="1" t="str">
        <f>IF(tbl_HRData[[#This Row],[MonthlyIncome]]&lt;5000,"Low",
IF(tbl_HRData[[#This Row],[MonthlyIncome]]&lt;10000,"Medium",
IF(tbl_HRData[[#This Row],[MonthlyIncome]]&lt;15000,"Upper Medium","High")))</f>
        <v>Upper Medium</v>
      </c>
      <c r="AM613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614" spans="1:39" x14ac:dyDescent="0.35">
      <c r="A614" s="1">
        <v>613</v>
      </c>
      <c r="B614">
        <v>28</v>
      </c>
      <c r="C614" s="1" t="s">
        <v>40</v>
      </c>
      <c r="D614" s="1" t="s">
        <v>34</v>
      </c>
      <c r="E614">
        <v>760</v>
      </c>
      <c r="F614" s="1" t="s">
        <v>35</v>
      </c>
      <c r="G614">
        <v>2</v>
      </c>
      <c r="H614">
        <v>4</v>
      </c>
      <c r="I614" s="1" t="s">
        <v>56</v>
      </c>
      <c r="J614">
        <v>846</v>
      </c>
      <c r="K614">
        <v>2</v>
      </c>
      <c r="L614" s="1" t="s">
        <v>37</v>
      </c>
      <c r="M614">
        <v>81</v>
      </c>
      <c r="N614">
        <v>3</v>
      </c>
      <c r="O614">
        <v>2</v>
      </c>
      <c r="P614" s="1" t="s">
        <v>38</v>
      </c>
      <c r="Q614">
        <v>2</v>
      </c>
      <c r="R614" s="1" t="s">
        <v>45</v>
      </c>
      <c r="S614">
        <v>4779</v>
      </c>
      <c r="T614">
        <v>3698</v>
      </c>
      <c r="U614">
        <v>1</v>
      </c>
      <c r="V614" s="1" t="s">
        <v>33</v>
      </c>
      <c r="W614">
        <v>20</v>
      </c>
      <c r="X614">
        <v>4</v>
      </c>
      <c r="Y614">
        <v>1</v>
      </c>
      <c r="Z614">
        <v>80</v>
      </c>
      <c r="AA614">
        <v>0</v>
      </c>
      <c r="AB614">
        <v>8</v>
      </c>
      <c r="AC614">
        <v>2</v>
      </c>
      <c r="AD614">
        <v>3</v>
      </c>
      <c r="AE614">
        <v>8</v>
      </c>
      <c r="AF614">
        <v>7</v>
      </c>
      <c r="AG614">
        <v>7</v>
      </c>
      <c r="AH614">
        <v>5</v>
      </c>
      <c r="AI614">
        <f>IF(tbl_HRData[[#This Row],[Attrition]] = "Yes",1,0)</f>
        <v>0</v>
      </c>
      <c r="AJ614">
        <f>IF(tbl_HRData[[#This Row],[Attrition]] = "No",1,0)</f>
        <v>1</v>
      </c>
      <c r="AK614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614" s="1" t="str">
        <f>IF(tbl_HRData[[#This Row],[MonthlyIncome]]&lt;5000,"Low",
IF(tbl_HRData[[#This Row],[MonthlyIncome]]&lt;10000,"Medium",
IF(tbl_HRData[[#This Row],[MonthlyIncome]]&lt;15000,"Upper Medium","High")))</f>
        <v>Low</v>
      </c>
      <c r="AM614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615" spans="1:39" x14ac:dyDescent="0.35">
      <c r="A615" s="1">
        <v>614</v>
      </c>
      <c r="B615">
        <v>34</v>
      </c>
      <c r="C615" s="1" t="s">
        <v>40</v>
      </c>
      <c r="D615" s="1" t="s">
        <v>34</v>
      </c>
      <c r="E615">
        <v>829</v>
      </c>
      <c r="F615" s="1" t="s">
        <v>58</v>
      </c>
      <c r="G615">
        <v>3</v>
      </c>
      <c r="H615">
        <v>2</v>
      </c>
      <c r="I615" s="1" t="s">
        <v>58</v>
      </c>
      <c r="J615">
        <v>847</v>
      </c>
      <c r="K615">
        <v>3</v>
      </c>
      <c r="L615" s="1" t="s">
        <v>43</v>
      </c>
      <c r="M615">
        <v>88</v>
      </c>
      <c r="N615">
        <v>3</v>
      </c>
      <c r="O615">
        <v>1</v>
      </c>
      <c r="P615" s="1" t="s">
        <v>58</v>
      </c>
      <c r="Q615">
        <v>4</v>
      </c>
      <c r="R615" s="1" t="s">
        <v>45</v>
      </c>
      <c r="S615">
        <v>3737</v>
      </c>
      <c r="T615">
        <v>2243</v>
      </c>
      <c r="U615">
        <v>0</v>
      </c>
      <c r="V615" s="1" t="s">
        <v>40</v>
      </c>
      <c r="W615">
        <v>19</v>
      </c>
      <c r="X615">
        <v>3</v>
      </c>
      <c r="Y615">
        <v>3</v>
      </c>
      <c r="Z615">
        <v>80</v>
      </c>
      <c r="AA615">
        <v>1</v>
      </c>
      <c r="AB615">
        <v>4</v>
      </c>
      <c r="AC615">
        <v>1</v>
      </c>
      <c r="AD615">
        <v>1</v>
      </c>
      <c r="AE615">
        <v>3</v>
      </c>
      <c r="AF615">
        <v>2</v>
      </c>
      <c r="AG615">
        <v>0</v>
      </c>
      <c r="AH615">
        <v>2</v>
      </c>
      <c r="AI615">
        <f>IF(tbl_HRData[[#This Row],[Attrition]] = "Yes",1,0)</f>
        <v>0</v>
      </c>
      <c r="AJ615">
        <f>IF(tbl_HRData[[#This Row],[Attrition]] = "No",1,0)</f>
        <v>1</v>
      </c>
      <c r="AK615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615" s="1" t="str">
        <f>IF(tbl_HRData[[#This Row],[MonthlyIncome]]&lt;5000,"Low",
IF(tbl_HRData[[#This Row],[MonthlyIncome]]&lt;10000,"Medium",
IF(tbl_HRData[[#This Row],[MonthlyIncome]]&lt;15000,"Upper Medium","High")))</f>
        <v>Low</v>
      </c>
      <c r="AM615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616" spans="1:39" x14ac:dyDescent="0.35">
      <c r="A616" s="1">
        <v>615</v>
      </c>
      <c r="B616">
        <v>26</v>
      </c>
      <c r="C616" s="1" t="s">
        <v>33</v>
      </c>
      <c r="D616" s="1" t="s">
        <v>41</v>
      </c>
      <c r="E616">
        <v>887</v>
      </c>
      <c r="F616" s="1" t="s">
        <v>42</v>
      </c>
      <c r="G616">
        <v>5</v>
      </c>
      <c r="H616">
        <v>2</v>
      </c>
      <c r="I616" s="1" t="s">
        <v>48</v>
      </c>
      <c r="J616">
        <v>848</v>
      </c>
      <c r="K616">
        <v>3</v>
      </c>
      <c r="L616" s="1" t="s">
        <v>37</v>
      </c>
      <c r="M616">
        <v>88</v>
      </c>
      <c r="N616">
        <v>2</v>
      </c>
      <c r="O616">
        <v>1</v>
      </c>
      <c r="P616" s="1" t="s">
        <v>44</v>
      </c>
      <c r="Q616">
        <v>3</v>
      </c>
      <c r="R616" s="1" t="s">
        <v>45</v>
      </c>
      <c r="S616">
        <v>2366</v>
      </c>
      <c r="T616">
        <v>20898</v>
      </c>
      <c r="U616">
        <v>1</v>
      </c>
      <c r="V616" s="1" t="s">
        <v>33</v>
      </c>
      <c r="W616">
        <v>14</v>
      </c>
      <c r="X616">
        <v>3</v>
      </c>
      <c r="Y616">
        <v>1</v>
      </c>
      <c r="Z616">
        <v>80</v>
      </c>
      <c r="AA616">
        <v>1</v>
      </c>
      <c r="AB616">
        <v>8</v>
      </c>
      <c r="AC616">
        <v>2</v>
      </c>
      <c r="AD616">
        <v>3</v>
      </c>
      <c r="AE616">
        <v>8</v>
      </c>
      <c r="AF616">
        <v>7</v>
      </c>
      <c r="AG616">
        <v>1</v>
      </c>
      <c r="AH616">
        <v>7</v>
      </c>
      <c r="AI616">
        <f>IF(tbl_HRData[[#This Row],[Attrition]] = "Yes",1,0)</f>
        <v>1</v>
      </c>
      <c r="AJ616">
        <f>IF(tbl_HRData[[#This Row],[Attrition]] = "No",1,0)</f>
        <v>0</v>
      </c>
      <c r="AK616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616" s="1" t="str">
        <f>IF(tbl_HRData[[#This Row],[MonthlyIncome]]&lt;5000,"Low",
IF(tbl_HRData[[#This Row],[MonthlyIncome]]&lt;10000,"Medium",
IF(tbl_HRData[[#This Row],[MonthlyIncome]]&lt;15000,"Upper Medium","High")))</f>
        <v>Low</v>
      </c>
      <c r="AM616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617" spans="1:39" x14ac:dyDescent="0.35">
      <c r="A617" s="1">
        <v>616</v>
      </c>
      <c r="B617">
        <v>27</v>
      </c>
      <c r="C617" s="1" t="s">
        <v>40</v>
      </c>
      <c r="D617" s="1" t="s">
        <v>52</v>
      </c>
      <c r="E617">
        <v>443</v>
      </c>
      <c r="F617" s="1" t="s">
        <v>42</v>
      </c>
      <c r="G617">
        <v>3</v>
      </c>
      <c r="H617">
        <v>3</v>
      </c>
      <c r="I617" s="1" t="s">
        <v>48</v>
      </c>
      <c r="J617">
        <v>850</v>
      </c>
      <c r="K617">
        <v>4</v>
      </c>
      <c r="L617" s="1" t="s">
        <v>43</v>
      </c>
      <c r="M617">
        <v>50</v>
      </c>
      <c r="N617">
        <v>3</v>
      </c>
      <c r="O617">
        <v>1</v>
      </c>
      <c r="P617" s="1" t="s">
        <v>44</v>
      </c>
      <c r="Q617">
        <v>4</v>
      </c>
      <c r="R617" s="1" t="s">
        <v>45</v>
      </c>
      <c r="S617">
        <v>1706</v>
      </c>
      <c r="T617">
        <v>16571</v>
      </c>
      <c r="U617">
        <v>1</v>
      </c>
      <c r="V617" s="1" t="s">
        <v>40</v>
      </c>
      <c r="W617">
        <v>11</v>
      </c>
      <c r="X617">
        <v>3</v>
      </c>
      <c r="Y617">
        <v>3</v>
      </c>
      <c r="Z617">
        <v>80</v>
      </c>
      <c r="AA617">
        <v>3</v>
      </c>
      <c r="AB617">
        <v>0</v>
      </c>
      <c r="AC617">
        <v>6</v>
      </c>
      <c r="AD617">
        <v>2</v>
      </c>
      <c r="AE617">
        <v>0</v>
      </c>
      <c r="AF617">
        <v>0</v>
      </c>
      <c r="AG617">
        <v>0</v>
      </c>
      <c r="AH617">
        <v>0</v>
      </c>
      <c r="AI617">
        <f>IF(tbl_HRData[[#This Row],[Attrition]] = "Yes",1,0)</f>
        <v>0</v>
      </c>
      <c r="AJ617">
        <f>IF(tbl_HRData[[#This Row],[Attrition]] = "No",1,0)</f>
        <v>1</v>
      </c>
      <c r="AK617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617" s="1" t="str">
        <f>IF(tbl_HRData[[#This Row],[MonthlyIncome]]&lt;5000,"Low",
IF(tbl_HRData[[#This Row],[MonthlyIncome]]&lt;10000,"Medium",
IF(tbl_HRData[[#This Row],[MonthlyIncome]]&lt;15000,"Upper Medium","High")))</f>
        <v>Low</v>
      </c>
      <c r="AM617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618" spans="1:39" x14ac:dyDescent="0.35">
      <c r="A618" s="1">
        <v>617</v>
      </c>
      <c r="B618">
        <v>51</v>
      </c>
      <c r="C618" s="1" t="s">
        <v>40</v>
      </c>
      <c r="D618" s="1" t="s">
        <v>34</v>
      </c>
      <c r="E618">
        <v>1318</v>
      </c>
      <c r="F618" s="1" t="s">
        <v>35</v>
      </c>
      <c r="G618">
        <v>26</v>
      </c>
      <c r="H618">
        <v>4</v>
      </c>
      <c r="I618" s="1" t="s">
        <v>56</v>
      </c>
      <c r="J618">
        <v>851</v>
      </c>
      <c r="K618">
        <v>1</v>
      </c>
      <c r="L618" s="1" t="s">
        <v>37</v>
      </c>
      <c r="M618">
        <v>66</v>
      </c>
      <c r="N618">
        <v>3</v>
      </c>
      <c r="O618">
        <v>4</v>
      </c>
      <c r="P618" s="1" t="s">
        <v>53</v>
      </c>
      <c r="Q618">
        <v>3</v>
      </c>
      <c r="R618" s="1" t="s">
        <v>45</v>
      </c>
      <c r="S618">
        <v>16307</v>
      </c>
      <c r="T618">
        <v>5594</v>
      </c>
      <c r="U618">
        <v>2</v>
      </c>
      <c r="V618" s="1" t="s">
        <v>40</v>
      </c>
      <c r="W618">
        <v>14</v>
      </c>
      <c r="X618">
        <v>3</v>
      </c>
      <c r="Y618">
        <v>3</v>
      </c>
      <c r="Z618">
        <v>80</v>
      </c>
      <c r="AA618">
        <v>1</v>
      </c>
      <c r="AB618">
        <v>29</v>
      </c>
      <c r="AC618">
        <v>2</v>
      </c>
      <c r="AD618">
        <v>2</v>
      </c>
      <c r="AE618">
        <v>20</v>
      </c>
      <c r="AF618">
        <v>6</v>
      </c>
      <c r="AG618">
        <v>4</v>
      </c>
      <c r="AH618">
        <v>17</v>
      </c>
      <c r="AI618">
        <f>IF(tbl_HRData[[#This Row],[Attrition]] = "Yes",1,0)</f>
        <v>0</v>
      </c>
      <c r="AJ618">
        <f>IF(tbl_HRData[[#This Row],[Attrition]] = "No",1,0)</f>
        <v>1</v>
      </c>
      <c r="AK618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618" s="1" t="str">
        <f>IF(tbl_HRData[[#This Row],[MonthlyIncome]]&lt;5000,"Low",
IF(tbl_HRData[[#This Row],[MonthlyIncome]]&lt;10000,"Medium",
IF(tbl_HRData[[#This Row],[MonthlyIncome]]&lt;15000,"Upper Medium","High")))</f>
        <v>High</v>
      </c>
      <c r="AM618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619" spans="1:39" x14ac:dyDescent="0.35">
      <c r="A619" s="1">
        <v>618</v>
      </c>
      <c r="B619">
        <v>44</v>
      </c>
      <c r="C619" s="1" t="s">
        <v>40</v>
      </c>
      <c r="D619" s="1" t="s">
        <v>34</v>
      </c>
      <c r="E619">
        <v>625</v>
      </c>
      <c r="F619" s="1" t="s">
        <v>42</v>
      </c>
      <c r="G619">
        <v>4</v>
      </c>
      <c r="H619">
        <v>3</v>
      </c>
      <c r="I619" s="1" t="s">
        <v>48</v>
      </c>
      <c r="J619">
        <v>852</v>
      </c>
      <c r="K619">
        <v>4</v>
      </c>
      <c r="L619" s="1" t="s">
        <v>43</v>
      </c>
      <c r="M619">
        <v>50</v>
      </c>
      <c r="N619">
        <v>3</v>
      </c>
      <c r="O619">
        <v>2</v>
      </c>
      <c r="P619" s="1" t="s">
        <v>51</v>
      </c>
      <c r="Q619">
        <v>2</v>
      </c>
      <c r="R619" s="1" t="s">
        <v>39</v>
      </c>
      <c r="S619">
        <v>5933</v>
      </c>
      <c r="T619">
        <v>5197</v>
      </c>
      <c r="U619">
        <v>9</v>
      </c>
      <c r="V619" s="1" t="s">
        <v>40</v>
      </c>
      <c r="W619">
        <v>12</v>
      </c>
      <c r="X619">
        <v>3</v>
      </c>
      <c r="Y619">
        <v>4</v>
      </c>
      <c r="Z619">
        <v>80</v>
      </c>
      <c r="AA619">
        <v>0</v>
      </c>
      <c r="AB619">
        <v>10</v>
      </c>
      <c r="AC619">
        <v>2</v>
      </c>
      <c r="AD619">
        <v>2</v>
      </c>
      <c r="AE619">
        <v>5</v>
      </c>
      <c r="AF619">
        <v>2</v>
      </c>
      <c r="AG619">
        <v>2</v>
      </c>
      <c r="AH619">
        <v>3</v>
      </c>
      <c r="AI619">
        <f>IF(tbl_HRData[[#This Row],[Attrition]] = "Yes",1,0)</f>
        <v>0</v>
      </c>
      <c r="AJ619">
        <f>IF(tbl_HRData[[#This Row],[Attrition]] = "No",1,0)</f>
        <v>1</v>
      </c>
      <c r="AK619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619" s="1" t="str">
        <f>IF(tbl_HRData[[#This Row],[MonthlyIncome]]&lt;5000,"Low",
IF(tbl_HRData[[#This Row],[MonthlyIncome]]&lt;10000,"Medium",
IF(tbl_HRData[[#This Row],[MonthlyIncome]]&lt;15000,"Upper Medium","High")))</f>
        <v>Medium</v>
      </c>
      <c r="AM619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620" spans="1:39" x14ac:dyDescent="0.35">
      <c r="A620" s="1">
        <v>619</v>
      </c>
      <c r="B620">
        <v>25</v>
      </c>
      <c r="C620" s="1" t="s">
        <v>40</v>
      </c>
      <c r="D620" s="1" t="s">
        <v>34</v>
      </c>
      <c r="E620">
        <v>180</v>
      </c>
      <c r="F620" s="1" t="s">
        <v>42</v>
      </c>
      <c r="G620">
        <v>2</v>
      </c>
      <c r="H620">
        <v>1</v>
      </c>
      <c r="I620" s="1" t="s">
        <v>48</v>
      </c>
      <c r="J620">
        <v>854</v>
      </c>
      <c r="K620">
        <v>1</v>
      </c>
      <c r="L620" s="1" t="s">
        <v>43</v>
      </c>
      <c r="M620">
        <v>65</v>
      </c>
      <c r="N620">
        <v>4</v>
      </c>
      <c r="O620">
        <v>1</v>
      </c>
      <c r="P620" s="1" t="s">
        <v>44</v>
      </c>
      <c r="Q620">
        <v>1</v>
      </c>
      <c r="R620" s="1" t="s">
        <v>39</v>
      </c>
      <c r="S620">
        <v>3424</v>
      </c>
      <c r="T620">
        <v>21632</v>
      </c>
      <c r="U620">
        <v>7</v>
      </c>
      <c r="V620" s="1" t="s">
        <v>40</v>
      </c>
      <c r="W620">
        <v>13</v>
      </c>
      <c r="X620">
        <v>3</v>
      </c>
      <c r="Y620">
        <v>3</v>
      </c>
      <c r="Z620">
        <v>80</v>
      </c>
      <c r="AA620">
        <v>0</v>
      </c>
      <c r="AB620">
        <v>6</v>
      </c>
      <c r="AC620">
        <v>3</v>
      </c>
      <c r="AD620">
        <v>2</v>
      </c>
      <c r="AE620">
        <v>4</v>
      </c>
      <c r="AF620">
        <v>3</v>
      </c>
      <c r="AG620">
        <v>0</v>
      </c>
      <c r="AH620">
        <v>1</v>
      </c>
      <c r="AI620">
        <f>IF(tbl_HRData[[#This Row],[Attrition]] = "Yes",1,0)</f>
        <v>0</v>
      </c>
      <c r="AJ620">
        <f>IF(tbl_HRData[[#This Row],[Attrition]] = "No",1,0)</f>
        <v>1</v>
      </c>
      <c r="AK620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620" s="1" t="str">
        <f>IF(tbl_HRData[[#This Row],[MonthlyIncome]]&lt;5000,"Low",
IF(tbl_HRData[[#This Row],[MonthlyIncome]]&lt;10000,"Medium",
IF(tbl_HRData[[#This Row],[MonthlyIncome]]&lt;15000,"Upper Medium","High")))</f>
        <v>Low</v>
      </c>
      <c r="AM620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621" spans="1:39" x14ac:dyDescent="0.35">
      <c r="A621" s="1">
        <v>620</v>
      </c>
      <c r="B621">
        <v>33</v>
      </c>
      <c r="C621" s="1" t="s">
        <v>40</v>
      </c>
      <c r="D621" s="1" t="s">
        <v>34</v>
      </c>
      <c r="E621">
        <v>586</v>
      </c>
      <c r="F621" s="1" t="s">
        <v>35</v>
      </c>
      <c r="G621">
        <v>1</v>
      </c>
      <c r="H621">
        <v>3</v>
      </c>
      <c r="I621" s="1" t="s">
        <v>48</v>
      </c>
      <c r="J621">
        <v>855</v>
      </c>
      <c r="K621">
        <v>1</v>
      </c>
      <c r="L621" s="1" t="s">
        <v>43</v>
      </c>
      <c r="M621">
        <v>48</v>
      </c>
      <c r="N621">
        <v>4</v>
      </c>
      <c r="O621">
        <v>2</v>
      </c>
      <c r="P621" s="1" t="s">
        <v>38</v>
      </c>
      <c r="Q621">
        <v>1</v>
      </c>
      <c r="R621" s="1" t="s">
        <v>49</v>
      </c>
      <c r="S621">
        <v>4037</v>
      </c>
      <c r="T621">
        <v>21816</v>
      </c>
      <c r="U621">
        <v>1</v>
      </c>
      <c r="V621" s="1" t="s">
        <v>40</v>
      </c>
      <c r="W621">
        <v>22</v>
      </c>
      <c r="X621">
        <v>4</v>
      </c>
      <c r="Y621">
        <v>1</v>
      </c>
      <c r="Z621">
        <v>80</v>
      </c>
      <c r="AA621">
        <v>1</v>
      </c>
      <c r="AB621">
        <v>9</v>
      </c>
      <c r="AC621">
        <v>5</v>
      </c>
      <c r="AD621">
        <v>3</v>
      </c>
      <c r="AE621">
        <v>9</v>
      </c>
      <c r="AF621">
        <v>8</v>
      </c>
      <c r="AG621">
        <v>0</v>
      </c>
      <c r="AH621">
        <v>8</v>
      </c>
      <c r="AI621">
        <f>IF(tbl_HRData[[#This Row],[Attrition]] = "Yes",1,0)</f>
        <v>0</v>
      </c>
      <c r="AJ621">
        <f>IF(tbl_HRData[[#This Row],[Attrition]] = "No",1,0)</f>
        <v>1</v>
      </c>
      <c r="AK621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621" s="1" t="str">
        <f>IF(tbl_HRData[[#This Row],[MonthlyIncome]]&lt;5000,"Low",
IF(tbl_HRData[[#This Row],[MonthlyIncome]]&lt;10000,"Medium",
IF(tbl_HRData[[#This Row],[MonthlyIncome]]&lt;15000,"Upper Medium","High")))</f>
        <v>Low</v>
      </c>
      <c r="AM621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622" spans="1:39" x14ac:dyDescent="0.35">
      <c r="A622" s="1">
        <v>621</v>
      </c>
      <c r="B622">
        <v>35</v>
      </c>
      <c r="C622" s="1" t="s">
        <v>40</v>
      </c>
      <c r="D622" s="1" t="s">
        <v>34</v>
      </c>
      <c r="E622">
        <v>1343</v>
      </c>
      <c r="F622" s="1" t="s">
        <v>42</v>
      </c>
      <c r="G622">
        <v>27</v>
      </c>
      <c r="H622">
        <v>1</v>
      </c>
      <c r="I622" s="1" t="s">
        <v>48</v>
      </c>
      <c r="J622">
        <v>856</v>
      </c>
      <c r="K622">
        <v>3</v>
      </c>
      <c r="L622" s="1" t="s">
        <v>37</v>
      </c>
      <c r="M622">
        <v>53</v>
      </c>
      <c r="N622">
        <v>2</v>
      </c>
      <c r="O622">
        <v>1</v>
      </c>
      <c r="P622" s="1" t="s">
        <v>44</v>
      </c>
      <c r="Q622">
        <v>1</v>
      </c>
      <c r="R622" s="1" t="s">
        <v>39</v>
      </c>
      <c r="S622">
        <v>2559</v>
      </c>
      <c r="T622">
        <v>17852</v>
      </c>
      <c r="U622">
        <v>1</v>
      </c>
      <c r="V622" s="1" t="s">
        <v>40</v>
      </c>
      <c r="W622">
        <v>11</v>
      </c>
      <c r="X622">
        <v>3</v>
      </c>
      <c r="Y622">
        <v>4</v>
      </c>
      <c r="Z622">
        <v>80</v>
      </c>
      <c r="AA622">
        <v>0</v>
      </c>
      <c r="AB622">
        <v>6</v>
      </c>
      <c r="AC622">
        <v>3</v>
      </c>
      <c r="AD622">
        <v>2</v>
      </c>
      <c r="AE622">
        <v>6</v>
      </c>
      <c r="AF622">
        <v>5</v>
      </c>
      <c r="AG622">
        <v>1</v>
      </c>
      <c r="AH622">
        <v>1</v>
      </c>
      <c r="AI622">
        <f>IF(tbl_HRData[[#This Row],[Attrition]] = "Yes",1,0)</f>
        <v>0</v>
      </c>
      <c r="AJ622">
        <f>IF(tbl_HRData[[#This Row],[Attrition]] = "No",1,0)</f>
        <v>1</v>
      </c>
      <c r="AK622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622" s="1" t="str">
        <f>IF(tbl_HRData[[#This Row],[MonthlyIncome]]&lt;5000,"Low",
IF(tbl_HRData[[#This Row],[MonthlyIncome]]&lt;10000,"Medium",
IF(tbl_HRData[[#This Row],[MonthlyIncome]]&lt;15000,"Upper Medium","High")))</f>
        <v>Low</v>
      </c>
      <c r="AM622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623" spans="1:39" x14ac:dyDescent="0.35">
      <c r="A623" s="1">
        <v>622</v>
      </c>
      <c r="B623">
        <v>36</v>
      </c>
      <c r="C623" s="1" t="s">
        <v>40</v>
      </c>
      <c r="D623" s="1" t="s">
        <v>34</v>
      </c>
      <c r="E623">
        <v>928</v>
      </c>
      <c r="F623" s="1" t="s">
        <v>35</v>
      </c>
      <c r="G623">
        <v>1</v>
      </c>
      <c r="H623">
        <v>2</v>
      </c>
      <c r="I623" s="1" t="s">
        <v>36</v>
      </c>
      <c r="J623">
        <v>857</v>
      </c>
      <c r="K623">
        <v>2</v>
      </c>
      <c r="L623" s="1" t="s">
        <v>43</v>
      </c>
      <c r="M623">
        <v>56</v>
      </c>
      <c r="N623">
        <v>3</v>
      </c>
      <c r="O623">
        <v>2</v>
      </c>
      <c r="P623" s="1" t="s">
        <v>38</v>
      </c>
      <c r="Q623">
        <v>4</v>
      </c>
      <c r="R623" s="1" t="s">
        <v>45</v>
      </c>
      <c r="S623">
        <v>6201</v>
      </c>
      <c r="T623">
        <v>2823</v>
      </c>
      <c r="U623">
        <v>1</v>
      </c>
      <c r="V623" s="1" t="s">
        <v>33</v>
      </c>
      <c r="W623">
        <v>14</v>
      </c>
      <c r="X623">
        <v>3</v>
      </c>
      <c r="Y623">
        <v>4</v>
      </c>
      <c r="Z623">
        <v>80</v>
      </c>
      <c r="AA623">
        <v>1</v>
      </c>
      <c r="AB623">
        <v>18</v>
      </c>
      <c r="AC623">
        <v>1</v>
      </c>
      <c r="AD623">
        <v>2</v>
      </c>
      <c r="AE623">
        <v>18</v>
      </c>
      <c r="AF623">
        <v>14</v>
      </c>
      <c r="AG623">
        <v>4</v>
      </c>
      <c r="AH623">
        <v>11</v>
      </c>
      <c r="AI623">
        <f>IF(tbl_HRData[[#This Row],[Attrition]] = "Yes",1,0)</f>
        <v>0</v>
      </c>
      <c r="AJ623">
        <f>IF(tbl_HRData[[#This Row],[Attrition]] = "No",1,0)</f>
        <v>1</v>
      </c>
      <c r="AK623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623" s="1" t="str">
        <f>IF(tbl_HRData[[#This Row],[MonthlyIncome]]&lt;5000,"Low",
IF(tbl_HRData[[#This Row],[MonthlyIncome]]&lt;10000,"Medium",
IF(tbl_HRData[[#This Row],[MonthlyIncome]]&lt;15000,"Upper Medium","High")))</f>
        <v>Medium</v>
      </c>
      <c r="AM623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624" spans="1:39" x14ac:dyDescent="0.35">
      <c r="A624" s="1">
        <v>623</v>
      </c>
      <c r="B624">
        <v>32</v>
      </c>
      <c r="C624" s="1" t="s">
        <v>40</v>
      </c>
      <c r="D624" s="1" t="s">
        <v>34</v>
      </c>
      <c r="E624">
        <v>117</v>
      </c>
      <c r="F624" s="1" t="s">
        <v>35</v>
      </c>
      <c r="G624">
        <v>13</v>
      </c>
      <c r="H624">
        <v>4</v>
      </c>
      <c r="I624" s="1" t="s">
        <v>36</v>
      </c>
      <c r="J624">
        <v>859</v>
      </c>
      <c r="K624">
        <v>2</v>
      </c>
      <c r="L624" s="1" t="s">
        <v>43</v>
      </c>
      <c r="M624">
        <v>73</v>
      </c>
      <c r="N624">
        <v>3</v>
      </c>
      <c r="O624">
        <v>2</v>
      </c>
      <c r="P624" s="1" t="s">
        <v>38</v>
      </c>
      <c r="Q624">
        <v>4</v>
      </c>
      <c r="R624" s="1" t="s">
        <v>49</v>
      </c>
      <c r="S624">
        <v>4403</v>
      </c>
      <c r="T624">
        <v>9250</v>
      </c>
      <c r="U624">
        <v>2</v>
      </c>
      <c r="V624" s="1" t="s">
        <v>40</v>
      </c>
      <c r="W624">
        <v>11</v>
      </c>
      <c r="X624">
        <v>3</v>
      </c>
      <c r="Y624">
        <v>3</v>
      </c>
      <c r="Z624">
        <v>80</v>
      </c>
      <c r="AA624">
        <v>1</v>
      </c>
      <c r="AB624">
        <v>8</v>
      </c>
      <c r="AC624">
        <v>3</v>
      </c>
      <c r="AD624">
        <v>2</v>
      </c>
      <c r="AE624">
        <v>5</v>
      </c>
      <c r="AF624">
        <v>2</v>
      </c>
      <c r="AG624">
        <v>0</v>
      </c>
      <c r="AH624">
        <v>3</v>
      </c>
      <c r="AI624">
        <f>IF(tbl_HRData[[#This Row],[Attrition]] = "Yes",1,0)</f>
        <v>0</v>
      </c>
      <c r="AJ624">
        <f>IF(tbl_HRData[[#This Row],[Attrition]] = "No",1,0)</f>
        <v>1</v>
      </c>
      <c r="AK624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624" s="1" t="str">
        <f>IF(tbl_HRData[[#This Row],[MonthlyIncome]]&lt;5000,"Low",
IF(tbl_HRData[[#This Row],[MonthlyIncome]]&lt;10000,"Medium",
IF(tbl_HRData[[#This Row],[MonthlyIncome]]&lt;15000,"Upper Medium","High")))</f>
        <v>Low</v>
      </c>
      <c r="AM624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625" spans="1:39" x14ac:dyDescent="0.35">
      <c r="A625" s="1">
        <v>624</v>
      </c>
      <c r="B625">
        <v>30</v>
      </c>
      <c r="C625" s="1" t="s">
        <v>40</v>
      </c>
      <c r="D625" s="1" t="s">
        <v>41</v>
      </c>
      <c r="E625">
        <v>1012</v>
      </c>
      <c r="F625" s="1" t="s">
        <v>42</v>
      </c>
      <c r="G625">
        <v>5</v>
      </c>
      <c r="H625">
        <v>4</v>
      </c>
      <c r="I625" s="1" t="s">
        <v>36</v>
      </c>
      <c r="J625">
        <v>861</v>
      </c>
      <c r="K625">
        <v>2</v>
      </c>
      <c r="L625" s="1" t="s">
        <v>43</v>
      </c>
      <c r="M625">
        <v>75</v>
      </c>
      <c r="N625">
        <v>2</v>
      </c>
      <c r="O625">
        <v>1</v>
      </c>
      <c r="P625" s="1" t="s">
        <v>44</v>
      </c>
      <c r="Q625">
        <v>4</v>
      </c>
      <c r="R625" s="1" t="s">
        <v>49</v>
      </c>
      <c r="S625">
        <v>3761</v>
      </c>
      <c r="T625">
        <v>2373</v>
      </c>
      <c r="U625">
        <v>9</v>
      </c>
      <c r="V625" s="1" t="s">
        <v>40</v>
      </c>
      <c r="W625">
        <v>12</v>
      </c>
      <c r="X625">
        <v>3</v>
      </c>
      <c r="Y625">
        <v>2</v>
      </c>
      <c r="Z625">
        <v>80</v>
      </c>
      <c r="AA625">
        <v>1</v>
      </c>
      <c r="AB625">
        <v>10</v>
      </c>
      <c r="AC625">
        <v>3</v>
      </c>
      <c r="AD625">
        <v>2</v>
      </c>
      <c r="AE625">
        <v>5</v>
      </c>
      <c r="AF625">
        <v>4</v>
      </c>
      <c r="AG625">
        <v>0</v>
      </c>
      <c r="AH625">
        <v>3</v>
      </c>
      <c r="AI625">
        <f>IF(tbl_HRData[[#This Row],[Attrition]] = "Yes",1,0)</f>
        <v>0</v>
      </c>
      <c r="AJ625">
        <f>IF(tbl_HRData[[#This Row],[Attrition]] = "No",1,0)</f>
        <v>1</v>
      </c>
      <c r="AK625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625" s="1" t="str">
        <f>IF(tbl_HRData[[#This Row],[MonthlyIncome]]&lt;5000,"Low",
IF(tbl_HRData[[#This Row],[MonthlyIncome]]&lt;10000,"Medium",
IF(tbl_HRData[[#This Row],[MonthlyIncome]]&lt;15000,"Upper Medium","High")))</f>
        <v>Low</v>
      </c>
      <c r="AM625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626" spans="1:39" x14ac:dyDescent="0.35">
      <c r="A626" s="1">
        <v>625</v>
      </c>
      <c r="B626">
        <v>53</v>
      </c>
      <c r="C626" s="1" t="s">
        <v>40</v>
      </c>
      <c r="D626" s="1" t="s">
        <v>34</v>
      </c>
      <c r="E626">
        <v>661</v>
      </c>
      <c r="F626" s="1" t="s">
        <v>35</v>
      </c>
      <c r="G626">
        <v>7</v>
      </c>
      <c r="H626">
        <v>2</v>
      </c>
      <c r="I626" s="1" t="s">
        <v>56</v>
      </c>
      <c r="J626">
        <v>862</v>
      </c>
      <c r="K626">
        <v>1</v>
      </c>
      <c r="L626" s="1" t="s">
        <v>37</v>
      </c>
      <c r="M626">
        <v>78</v>
      </c>
      <c r="N626">
        <v>2</v>
      </c>
      <c r="O626">
        <v>3</v>
      </c>
      <c r="P626" s="1" t="s">
        <v>38</v>
      </c>
      <c r="Q626">
        <v>4</v>
      </c>
      <c r="R626" s="1" t="s">
        <v>45</v>
      </c>
      <c r="S626">
        <v>10934</v>
      </c>
      <c r="T626">
        <v>20715</v>
      </c>
      <c r="U626">
        <v>7</v>
      </c>
      <c r="V626" s="1" t="s">
        <v>33</v>
      </c>
      <c r="W626">
        <v>18</v>
      </c>
      <c r="X626">
        <v>3</v>
      </c>
      <c r="Y626">
        <v>4</v>
      </c>
      <c r="Z626">
        <v>80</v>
      </c>
      <c r="AA626">
        <v>1</v>
      </c>
      <c r="AB626">
        <v>35</v>
      </c>
      <c r="AC626">
        <v>3</v>
      </c>
      <c r="AD626">
        <v>3</v>
      </c>
      <c r="AE626">
        <v>5</v>
      </c>
      <c r="AF626">
        <v>2</v>
      </c>
      <c r="AG626">
        <v>0</v>
      </c>
      <c r="AH626">
        <v>4</v>
      </c>
      <c r="AI626">
        <f>IF(tbl_HRData[[#This Row],[Attrition]] = "Yes",1,0)</f>
        <v>0</v>
      </c>
      <c r="AJ626">
        <f>IF(tbl_HRData[[#This Row],[Attrition]] = "No",1,0)</f>
        <v>1</v>
      </c>
      <c r="AK626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626" s="1" t="str">
        <f>IF(tbl_HRData[[#This Row],[MonthlyIncome]]&lt;5000,"Low",
IF(tbl_HRData[[#This Row],[MonthlyIncome]]&lt;10000,"Medium",
IF(tbl_HRData[[#This Row],[MonthlyIncome]]&lt;15000,"Upper Medium","High")))</f>
        <v>Upper Medium</v>
      </c>
      <c r="AM626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627" spans="1:39" x14ac:dyDescent="0.35">
      <c r="A627" s="1">
        <v>626</v>
      </c>
      <c r="B627">
        <v>45</v>
      </c>
      <c r="C627" s="1" t="s">
        <v>40</v>
      </c>
      <c r="D627" s="1" t="s">
        <v>34</v>
      </c>
      <c r="E627">
        <v>930</v>
      </c>
      <c r="F627" s="1" t="s">
        <v>35</v>
      </c>
      <c r="G627">
        <v>9</v>
      </c>
      <c r="H627">
        <v>3</v>
      </c>
      <c r="I627" s="1" t="s">
        <v>56</v>
      </c>
      <c r="J627">
        <v>864</v>
      </c>
      <c r="K627">
        <v>4</v>
      </c>
      <c r="L627" s="1" t="s">
        <v>43</v>
      </c>
      <c r="M627">
        <v>74</v>
      </c>
      <c r="N627">
        <v>3</v>
      </c>
      <c r="O627">
        <v>3</v>
      </c>
      <c r="P627" s="1" t="s">
        <v>38</v>
      </c>
      <c r="Q627">
        <v>1</v>
      </c>
      <c r="R627" s="1" t="s">
        <v>49</v>
      </c>
      <c r="S627">
        <v>10761</v>
      </c>
      <c r="T627">
        <v>19239</v>
      </c>
      <c r="U627">
        <v>4</v>
      </c>
      <c r="V627" s="1" t="s">
        <v>33</v>
      </c>
      <c r="W627">
        <v>12</v>
      </c>
      <c r="X627">
        <v>3</v>
      </c>
      <c r="Y627">
        <v>3</v>
      </c>
      <c r="Z627">
        <v>80</v>
      </c>
      <c r="AA627">
        <v>1</v>
      </c>
      <c r="AB627">
        <v>18</v>
      </c>
      <c r="AC627">
        <v>2</v>
      </c>
      <c r="AD627">
        <v>3</v>
      </c>
      <c r="AE627">
        <v>5</v>
      </c>
      <c r="AF627">
        <v>4</v>
      </c>
      <c r="AG627">
        <v>0</v>
      </c>
      <c r="AH627">
        <v>2</v>
      </c>
      <c r="AI627">
        <f>IF(tbl_HRData[[#This Row],[Attrition]] = "Yes",1,0)</f>
        <v>0</v>
      </c>
      <c r="AJ627">
        <f>IF(tbl_HRData[[#This Row],[Attrition]] = "No",1,0)</f>
        <v>1</v>
      </c>
      <c r="AK627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627" s="1" t="str">
        <f>IF(tbl_HRData[[#This Row],[MonthlyIncome]]&lt;5000,"Low",
IF(tbl_HRData[[#This Row],[MonthlyIncome]]&lt;10000,"Medium",
IF(tbl_HRData[[#This Row],[MonthlyIncome]]&lt;15000,"Upper Medium","High")))</f>
        <v>Upper Medium</v>
      </c>
      <c r="AM627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628" spans="1:39" x14ac:dyDescent="0.35">
      <c r="A628" s="1">
        <v>627</v>
      </c>
      <c r="B628">
        <v>32</v>
      </c>
      <c r="C628" s="1" t="s">
        <v>40</v>
      </c>
      <c r="D628" s="1" t="s">
        <v>34</v>
      </c>
      <c r="E628">
        <v>638</v>
      </c>
      <c r="F628" s="1" t="s">
        <v>42</v>
      </c>
      <c r="G628">
        <v>8</v>
      </c>
      <c r="H628">
        <v>2</v>
      </c>
      <c r="I628" s="1" t="s">
        <v>48</v>
      </c>
      <c r="J628">
        <v>865</v>
      </c>
      <c r="K628">
        <v>3</v>
      </c>
      <c r="L628" s="1" t="s">
        <v>37</v>
      </c>
      <c r="M628">
        <v>91</v>
      </c>
      <c r="N628">
        <v>4</v>
      </c>
      <c r="O628">
        <v>2</v>
      </c>
      <c r="P628" s="1" t="s">
        <v>44</v>
      </c>
      <c r="Q628">
        <v>3</v>
      </c>
      <c r="R628" s="1" t="s">
        <v>45</v>
      </c>
      <c r="S628">
        <v>5175</v>
      </c>
      <c r="T628">
        <v>22162</v>
      </c>
      <c r="U628">
        <v>5</v>
      </c>
      <c r="V628" s="1" t="s">
        <v>40</v>
      </c>
      <c r="W628">
        <v>12</v>
      </c>
      <c r="X628">
        <v>3</v>
      </c>
      <c r="Y628">
        <v>3</v>
      </c>
      <c r="Z628">
        <v>80</v>
      </c>
      <c r="AA628">
        <v>1</v>
      </c>
      <c r="AB628">
        <v>9</v>
      </c>
      <c r="AC628">
        <v>3</v>
      </c>
      <c r="AD628">
        <v>2</v>
      </c>
      <c r="AE628">
        <v>5</v>
      </c>
      <c r="AF628">
        <v>3</v>
      </c>
      <c r="AG628">
        <v>1</v>
      </c>
      <c r="AH628">
        <v>3</v>
      </c>
      <c r="AI628">
        <f>IF(tbl_HRData[[#This Row],[Attrition]] = "Yes",1,0)</f>
        <v>0</v>
      </c>
      <c r="AJ628">
        <f>IF(tbl_HRData[[#This Row],[Attrition]] = "No",1,0)</f>
        <v>1</v>
      </c>
      <c r="AK628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628" s="1" t="str">
        <f>IF(tbl_HRData[[#This Row],[MonthlyIncome]]&lt;5000,"Low",
IF(tbl_HRData[[#This Row],[MonthlyIncome]]&lt;10000,"Medium",
IF(tbl_HRData[[#This Row],[MonthlyIncome]]&lt;15000,"Upper Medium","High")))</f>
        <v>Medium</v>
      </c>
      <c r="AM628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629" spans="1:39" x14ac:dyDescent="0.35">
      <c r="A629" s="1">
        <v>628</v>
      </c>
      <c r="B629">
        <v>52</v>
      </c>
      <c r="C629" s="1" t="s">
        <v>40</v>
      </c>
      <c r="D629" s="1" t="s">
        <v>41</v>
      </c>
      <c r="E629">
        <v>890</v>
      </c>
      <c r="F629" s="1" t="s">
        <v>42</v>
      </c>
      <c r="G629">
        <v>25</v>
      </c>
      <c r="H629">
        <v>4</v>
      </c>
      <c r="I629" s="1" t="s">
        <v>48</v>
      </c>
      <c r="J629">
        <v>867</v>
      </c>
      <c r="K629">
        <v>3</v>
      </c>
      <c r="L629" s="1" t="s">
        <v>37</v>
      </c>
      <c r="M629">
        <v>81</v>
      </c>
      <c r="N629">
        <v>2</v>
      </c>
      <c r="O629">
        <v>4</v>
      </c>
      <c r="P629" s="1" t="s">
        <v>50</v>
      </c>
      <c r="Q629">
        <v>4</v>
      </c>
      <c r="R629" s="1" t="s">
        <v>45</v>
      </c>
      <c r="S629">
        <v>13826</v>
      </c>
      <c r="T629">
        <v>19028</v>
      </c>
      <c r="U629">
        <v>3</v>
      </c>
      <c r="V629" s="1" t="s">
        <v>40</v>
      </c>
      <c r="W629">
        <v>22</v>
      </c>
      <c r="X629">
        <v>4</v>
      </c>
      <c r="Y629">
        <v>3</v>
      </c>
      <c r="Z629">
        <v>80</v>
      </c>
      <c r="AA629">
        <v>0</v>
      </c>
      <c r="AB629">
        <v>31</v>
      </c>
      <c r="AC629">
        <v>3</v>
      </c>
      <c r="AD629">
        <v>3</v>
      </c>
      <c r="AE629">
        <v>9</v>
      </c>
      <c r="AF629">
        <v>8</v>
      </c>
      <c r="AG629">
        <v>0</v>
      </c>
      <c r="AH629">
        <v>0</v>
      </c>
      <c r="AI629">
        <f>IF(tbl_HRData[[#This Row],[Attrition]] = "Yes",1,0)</f>
        <v>0</v>
      </c>
      <c r="AJ629">
        <f>IF(tbl_HRData[[#This Row],[Attrition]] = "No",1,0)</f>
        <v>1</v>
      </c>
      <c r="AK629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629" s="1" t="str">
        <f>IF(tbl_HRData[[#This Row],[MonthlyIncome]]&lt;5000,"Low",
IF(tbl_HRData[[#This Row],[MonthlyIncome]]&lt;10000,"Medium",
IF(tbl_HRData[[#This Row],[MonthlyIncome]]&lt;15000,"Upper Medium","High")))</f>
        <v>Upper Medium</v>
      </c>
      <c r="AM629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630" spans="1:39" x14ac:dyDescent="0.35">
      <c r="A630" s="1">
        <v>629</v>
      </c>
      <c r="B630">
        <v>37</v>
      </c>
      <c r="C630" s="1" t="s">
        <v>40</v>
      </c>
      <c r="D630" s="1" t="s">
        <v>34</v>
      </c>
      <c r="E630">
        <v>342</v>
      </c>
      <c r="F630" s="1" t="s">
        <v>35</v>
      </c>
      <c r="G630">
        <v>16</v>
      </c>
      <c r="H630">
        <v>4</v>
      </c>
      <c r="I630" s="1" t="s">
        <v>56</v>
      </c>
      <c r="J630">
        <v>868</v>
      </c>
      <c r="K630">
        <v>4</v>
      </c>
      <c r="L630" s="1" t="s">
        <v>43</v>
      </c>
      <c r="M630">
        <v>66</v>
      </c>
      <c r="N630">
        <v>2</v>
      </c>
      <c r="O630">
        <v>2</v>
      </c>
      <c r="P630" s="1" t="s">
        <v>38</v>
      </c>
      <c r="Q630">
        <v>3</v>
      </c>
      <c r="R630" s="1" t="s">
        <v>49</v>
      </c>
      <c r="S630">
        <v>6334</v>
      </c>
      <c r="T630">
        <v>24558</v>
      </c>
      <c r="U630">
        <v>4</v>
      </c>
      <c r="V630" s="1" t="s">
        <v>40</v>
      </c>
      <c r="W630">
        <v>19</v>
      </c>
      <c r="X630">
        <v>3</v>
      </c>
      <c r="Y630">
        <v>4</v>
      </c>
      <c r="Z630">
        <v>80</v>
      </c>
      <c r="AA630">
        <v>2</v>
      </c>
      <c r="AB630">
        <v>9</v>
      </c>
      <c r="AC630">
        <v>2</v>
      </c>
      <c r="AD630">
        <v>3</v>
      </c>
      <c r="AE630">
        <v>1</v>
      </c>
      <c r="AF630">
        <v>0</v>
      </c>
      <c r="AG630">
        <v>0</v>
      </c>
      <c r="AH630">
        <v>0</v>
      </c>
      <c r="AI630">
        <f>IF(tbl_HRData[[#This Row],[Attrition]] = "Yes",1,0)</f>
        <v>0</v>
      </c>
      <c r="AJ630">
        <f>IF(tbl_HRData[[#This Row],[Attrition]] = "No",1,0)</f>
        <v>1</v>
      </c>
      <c r="AK630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630" s="1" t="str">
        <f>IF(tbl_HRData[[#This Row],[MonthlyIncome]]&lt;5000,"Low",
IF(tbl_HRData[[#This Row],[MonthlyIncome]]&lt;10000,"Medium",
IF(tbl_HRData[[#This Row],[MonthlyIncome]]&lt;15000,"Upper Medium","High")))</f>
        <v>Medium</v>
      </c>
      <c r="AM630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631" spans="1:39" x14ac:dyDescent="0.35">
      <c r="A631" s="1">
        <v>630</v>
      </c>
      <c r="B631">
        <v>28</v>
      </c>
      <c r="C631" s="1" t="s">
        <v>40</v>
      </c>
      <c r="D631" s="1" t="s">
        <v>34</v>
      </c>
      <c r="E631">
        <v>1169</v>
      </c>
      <c r="F631" s="1" t="s">
        <v>58</v>
      </c>
      <c r="G631">
        <v>8</v>
      </c>
      <c r="H631">
        <v>2</v>
      </c>
      <c r="I631" s="1" t="s">
        <v>48</v>
      </c>
      <c r="J631">
        <v>869</v>
      </c>
      <c r="K631">
        <v>2</v>
      </c>
      <c r="L631" s="1" t="s">
        <v>43</v>
      </c>
      <c r="M631">
        <v>63</v>
      </c>
      <c r="N631">
        <v>2</v>
      </c>
      <c r="O631">
        <v>1</v>
      </c>
      <c r="P631" s="1" t="s">
        <v>58</v>
      </c>
      <c r="Q631">
        <v>4</v>
      </c>
      <c r="R631" s="1" t="s">
        <v>49</v>
      </c>
      <c r="S631">
        <v>4936</v>
      </c>
      <c r="T631">
        <v>23965</v>
      </c>
      <c r="U631">
        <v>1</v>
      </c>
      <c r="V631" s="1" t="s">
        <v>40</v>
      </c>
      <c r="W631">
        <v>13</v>
      </c>
      <c r="X631">
        <v>3</v>
      </c>
      <c r="Y631">
        <v>4</v>
      </c>
      <c r="Z631">
        <v>80</v>
      </c>
      <c r="AA631">
        <v>1</v>
      </c>
      <c r="AB631">
        <v>6</v>
      </c>
      <c r="AC631">
        <v>6</v>
      </c>
      <c r="AD631">
        <v>3</v>
      </c>
      <c r="AE631">
        <v>5</v>
      </c>
      <c r="AF631">
        <v>1</v>
      </c>
      <c r="AG631">
        <v>0</v>
      </c>
      <c r="AH631">
        <v>4</v>
      </c>
      <c r="AI631">
        <f>IF(tbl_HRData[[#This Row],[Attrition]] = "Yes",1,0)</f>
        <v>0</v>
      </c>
      <c r="AJ631">
        <f>IF(tbl_HRData[[#This Row],[Attrition]] = "No",1,0)</f>
        <v>1</v>
      </c>
      <c r="AK631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631" s="1" t="str">
        <f>IF(tbl_HRData[[#This Row],[MonthlyIncome]]&lt;5000,"Low",
IF(tbl_HRData[[#This Row],[MonthlyIncome]]&lt;10000,"Medium",
IF(tbl_HRData[[#This Row],[MonthlyIncome]]&lt;15000,"Upper Medium","High")))</f>
        <v>Low</v>
      </c>
      <c r="AM631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632" spans="1:39" x14ac:dyDescent="0.35">
      <c r="A632" s="1">
        <v>631</v>
      </c>
      <c r="B632">
        <v>22</v>
      </c>
      <c r="C632" s="1" t="s">
        <v>40</v>
      </c>
      <c r="D632" s="1" t="s">
        <v>34</v>
      </c>
      <c r="E632">
        <v>1230</v>
      </c>
      <c r="F632" s="1" t="s">
        <v>42</v>
      </c>
      <c r="G632">
        <v>1</v>
      </c>
      <c r="H632">
        <v>2</v>
      </c>
      <c r="I632" s="1" t="s">
        <v>36</v>
      </c>
      <c r="J632">
        <v>872</v>
      </c>
      <c r="K632">
        <v>4</v>
      </c>
      <c r="L632" s="1" t="s">
        <v>43</v>
      </c>
      <c r="M632">
        <v>33</v>
      </c>
      <c r="N632">
        <v>2</v>
      </c>
      <c r="O632">
        <v>2</v>
      </c>
      <c r="P632" s="1" t="s">
        <v>50</v>
      </c>
      <c r="Q632">
        <v>4</v>
      </c>
      <c r="R632" s="1" t="s">
        <v>45</v>
      </c>
      <c r="S632">
        <v>4775</v>
      </c>
      <c r="T632">
        <v>19146</v>
      </c>
      <c r="U632">
        <v>6</v>
      </c>
      <c r="V632" s="1" t="s">
        <v>40</v>
      </c>
      <c r="W632">
        <v>22</v>
      </c>
      <c r="X632">
        <v>4</v>
      </c>
      <c r="Y632">
        <v>1</v>
      </c>
      <c r="Z632">
        <v>80</v>
      </c>
      <c r="AA632">
        <v>2</v>
      </c>
      <c r="AB632">
        <v>4</v>
      </c>
      <c r="AC632">
        <v>2</v>
      </c>
      <c r="AD632">
        <v>1</v>
      </c>
      <c r="AE632">
        <v>2</v>
      </c>
      <c r="AF632">
        <v>2</v>
      </c>
      <c r="AG632">
        <v>2</v>
      </c>
      <c r="AH632">
        <v>2</v>
      </c>
      <c r="AI632">
        <f>IF(tbl_HRData[[#This Row],[Attrition]] = "Yes",1,0)</f>
        <v>0</v>
      </c>
      <c r="AJ632">
        <f>IF(tbl_HRData[[#This Row],[Attrition]] = "No",1,0)</f>
        <v>1</v>
      </c>
      <c r="AK632" t="str">
        <f>IF(tbl_HRData[[#This Row],[Age]] &lt; 25, "Under 25", IF(tbl_HRData[[#This Row],[Age]] &lt;= 34, "25-34", IF(tbl_HRData[[#This Row],[Age]] &lt;= 44, "35-44", IF(tbl_HRData[[#This Row],[Age]] &lt;= 54, "45-54", "55+"))))</f>
        <v>Under 25</v>
      </c>
      <c r="AL632" s="1" t="str">
        <f>IF(tbl_HRData[[#This Row],[MonthlyIncome]]&lt;5000,"Low",
IF(tbl_HRData[[#This Row],[MonthlyIncome]]&lt;10000,"Medium",
IF(tbl_HRData[[#This Row],[MonthlyIncome]]&lt;15000,"Upper Medium","High")))</f>
        <v>Low</v>
      </c>
      <c r="AM632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633" spans="1:39" x14ac:dyDescent="0.35">
      <c r="A633" s="1">
        <v>632</v>
      </c>
      <c r="B633">
        <v>44</v>
      </c>
      <c r="C633" s="1" t="s">
        <v>40</v>
      </c>
      <c r="D633" s="1" t="s">
        <v>34</v>
      </c>
      <c r="E633">
        <v>986</v>
      </c>
      <c r="F633" s="1" t="s">
        <v>42</v>
      </c>
      <c r="G633">
        <v>8</v>
      </c>
      <c r="H633">
        <v>4</v>
      </c>
      <c r="I633" s="1" t="s">
        <v>36</v>
      </c>
      <c r="J633">
        <v>874</v>
      </c>
      <c r="K633">
        <v>1</v>
      </c>
      <c r="L633" s="1" t="s">
        <v>43</v>
      </c>
      <c r="M633">
        <v>62</v>
      </c>
      <c r="N633">
        <v>4</v>
      </c>
      <c r="O633">
        <v>1</v>
      </c>
      <c r="P633" s="1" t="s">
        <v>47</v>
      </c>
      <c r="Q633">
        <v>4</v>
      </c>
      <c r="R633" s="1" t="s">
        <v>45</v>
      </c>
      <c r="S633">
        <v>2818</v>
      </c>
      <c r="T633">
        <v>5044</v>
      </c>
      <c r="U633">
        <v>2</v>
      </c>
      <c r="V633" s="1" t="s">
        <v>33</v>
      </c>
      <c r="W633">
        <v>24</v>
      </c>
      <c r="X633">
        <v>4</v>
      </c>
      <c r="Y633">
        <v>3</v>
      </c>
      <c r="Z633">
        <v>80</v>
      </c>
      <c r="AA633">
        <v>1</v>
      </c>
      <c r="AB633">
        <v>10</v>
      </c>
      <c r="AC633">
        <v>2</v>
      </c>
      <c r="AD633">
        <v>2</v>
      </c>
      <c r="AE633">
        <v>3</v>
      </c>
      <c r="AF633">
        <v>2</v>
      </c>
      <c r="AG633">
        <v>0</v>
      </c>
      <c r="AH633">
        <v>2</v>
      </c>
      <c r="AI633">
        <f>IF(tbl_HRData[[#This Row],[Attrition]] = "Yes",1,0)</f>
        <v>0</v>
      </c>
      <c r="AJ633">
        <f>IF(tbl_HRData[[#This Row],[Attrition]] = "No",1,0)</f>
        <v>1</v>
      </c>
      <c r="AK633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633" s="1" t="str">
        <f>IF(tbl_HRData[[#This Row],[MonthlyIncome]]&lt;5000,"Low",
IF(tbl_HRData[[#This Row],[MonthlyIncome]]&lt;10000,"Medium",
IF(tbl_HRData[[#This Row],[MonthlyIncome]]&lt;15000,"Upper Medium","High")))</f>
        <v>Low</v>
      </c>
      <c r="AM633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634" spans="1:39" x14ac:dyDescent="0.35">
      <c r="A634" s="1">
        <v>633</v>
      </c>
      <c r="B634">
        <v>42</v>
      </c>
      <c r="C634" s="1" t="s">
        <v>40</v>
      </c>
      <c r="D634" s="1" t="s">
        <v>41</v>
      </c>
      <c r="E634">
        <v>1271</v>
      </c>
      <c r="F634" s="1" t="s">
        <v>42</v>
      </c>
      <c r="G634">
        <v>2</v>
      </c>
      <c r="H634">
        <v>1</v>
      </c>
      <c r="I634" s="1" t="s">
        <v>48</v>
      </c>
      <c r="J634">
        <v>875</v>
      </c>
      <c r="K634">
        <v>2</v>
      </c>
      <c r="L634" s="1" t="s">
        <v>43</v>
      </c>
      <c r="M634">
        <v>35</v>
      </c>
      <c r="N634">
        <v>3</v>
      </c>
      <c r="O634">
        <v>1</v>
      </c>
      <c r="P634" s="1" t="s">
        <v>44</v>
      </c>
      <c r="Q634">
        <v>4</v>
      </c>
      <c r="R634" s="1" t="s">
        <v>39</v>
      </c>
      <c r="S634">
        <v>2515</v>
      </c>
      <c r="T634">
        <v>9068</v>
      </c>
      <c r="U634">
        <v>5</v>
      </c>
      <c r="V634" s="1" t="s">
        <v>33</v>
      </c>
      <c r="W634">
        <v>14</v>
      </c>
      <c r="X634">
        <v>3</v>
      </c>
      <c r="Y634">
        <v>4</v>
      </c>
      <c r="Z634">
        <v>80</v>
      </c>
      <c r="AA634">
        <v>0</v>
      </c>
      <c r="AB634">
        <v>8</v>
      </c>
      <c r="AC634">
        <v>2</v>
      </c>
      <c r="AD634">
        <v>3</v>
      </c>
      <c r="AE634">
        <v>2</v>
      </c>
      <c r="AF634">
        <v>1</v>
      </c>
      <c r="AG634">
        <v>2</v>
      </c>
      <c r="AH634">
        <v>2</v>
      </c>
      <c r="AI634">
        <f>IF(tbl_HRData[[#This Row],[Attrition]] = "Yes",1,0)</f>
        <v>0</v>
      </c>
      <c r="AJ634">
        <f>IF(tbl_HRData[[#This Row],[Attrition]] = "No",1,0)</f>
        <v>1</v>
      </c>
      <c r="AK634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634" s="1" t="str">
        <f>IF(tbl_HRData[[#This Row],[MonthlyIncome]]&lt;5000,"Low",
IF(tbl_HRData[[#This Row],[MonthlyIncome]]&lt;10000,"Medium",
IF(tbl_HRData[[#This Row],[MonthlyIncome]]&lt;15000,"Upper Medium","High")))</f>
        <v>Low</v>
      </c>
      <c r="AM634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635" spans="1:39" x14ac:dyDescent="0.35">
      <c r="A635" s="1">
        <v>634</v>
      </c>
      <c r="B635">
        <v>36</v>
      </c>
      <c r="C635" s="1" t="s">
        <v>40</v>
      </c>
      <c r="D635" s="1" t="s">
        <v>34</v>
      </c>
      <c r="E635">
        <v>1278</v>
      </c>
      <c r="F635" s="1" t="s">
        <v>58</v>
      </c>
      <c r="G635">
        <v>8</v>
      </c>
      <c r="H635">
        <v>3</v>
      </c>
      <c r="I635" s="1" t="s">
        <v>36</v>
      </c>
      <c r="J635">
        <v>878</v>
      </c>
      <c r="K635">
        <v>1</v>
      </c>
      <c r="L635" s="1" t="s">
        <v>43</v>
      </c>
      <c r="M635">
        <v>77</v>
      </c>
      <c r="N635">
        <v>2</v>
      </c>
      <c r="O635">
        <v>1</v>
      </c>
      <c r="P635" s="1" t="s">
        <v>58</v>
      </c>
      <c r="Q635">
        <v>1</v>
      </c>
      <c r="R635" s="1" t="s">
        <v>45</v>
      </c>
      <c r="S635">
        <v>2342</v>
      </c>
      <c r="T635">
        <v>8635</v>
      </c>
      <c r="U635">
        <v>0</v>
      </c>
      <c r="V635" s="1" t="s">
        <v>40</v>
      </c>
      <c r="W635">
        <v>21</v>
      </c>
      <c r="X635">
        <v>4</v>
      </c>
      <c r="Y635">
        <v>3</v>
      </c>
      <c r="Z635">
        <v>80</v>
      </c>
      <c r="AA635">
        <v>0</v>
      </c>
      <c r="AB635">
        <v>6</v>
      </c>
      <c r="AC635">
        <v>3</v>
      </c>
      <c r="AD635">
        <v>3</v>
      </c>
      <c r="AE635">
        <v>5</v>
      </c>
      <c r="AF635">
        <v>4</v>
      </c>
      <c r="AG635">
        <v>0</v>
      </c>
      <c r="AH635">
        <v>3</v>
      </c>
      <c r="AI635">
        <f>IF(tbl_HRData[[#This Row],[Attrition]] = "Yes",1,0)</f>
        <v>0</v>
      </c>
      <c r="AJ635">
        <f>IF(tbl_HRData[[#This Row],[Attrition]] = "No",1,0)</f>
        <v>1</v>
      </c>
      <c r="AK635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635" s="1" t="str">
        <f>IF(tbl_HRData[[#This Row],[MonthlyIncome]]&lt;5000,"Low",
IF(tbl_HRData[[#This Row],[MonthlyIncome]]&lt;10000,"Medium",
IF(tbl_HRData[[#This Row],[MonthlyIncome]]&lt;15000,"Upper Medium","High")))</f>
        <v>Low</v>
      </c>
      <c r="AM635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636" spans="1:39" x14ac:dyDescent="0.35">
      <c r="A636" s="1">
        <v>635</v>
      </c>
      <c r="B636">
        <v>25</v>
      </c>
      <c r="C636" s="1" t="s">
        <v>40</v>
      </c>
      <c r="D636" s="1" t="s">
        <v>34</v>
      </c>
      <c r="E636">
        <v>141</v>
      </c>
      <c r="F636" s="1" t="s">
        <v>35</v>
      </c>
      <c r="G636">
        <v>3</v>
      </c>
      <c r="H636">
        <v>1</v>
      </c>
      <c r="I636" s="1" t="s">
        <v>46</v>
      </c>
      <c r="J636">
        <v>879</v>
      </c>
      <c r="K636">
        <v>3</v>
      </c>
      <c r="L636" s="1" t="s">
        <v>43</v>
      </c>
      <c r="M636">
        <v>98</v>
      </c>
      <c r="N636">
        <v>3</v>
      </c>
      <c r="O636">
        <v>2</v>
      </c>
      <c r="P636" s="1" t="s">
        <v>38</v>
      </c>
      <c r="Q636">
        <v>1</v>
      </c>
      <c r="R636" s="1" t="s">
        <v>45</v>
      </c>
      <c r="S636">
        <v>4194</v>
      </c>
      <c r="T636">
        <v>14363</v>
      </c>
      <c r="U636">
        <v>1</v>
      </c>
      <c r="V636" s="1" t="s">
        <v>33</v>
      </c>
      <c r="W636">
        <v>18</v>
      </c>
      <c r="X636">
        <v>3</v>
      </c>
      <c r="Y636">
        <v>4</v>
      </c>
      <c r="Z636">
        <v>80</v>
      </c>
      <c r="AA636">
        <v>0</v>
      </c>
      <c r="AB636">
        <v>5</v>
      </c>
      <c r="AC636">
        <v>3</v>
      </c>
      <c r="AD636">
        <v>3</v>
      </c>
      <c r="AE636">
        <v>5</v>
      </c>
      <c r="AF636">
        <v>3</v>
      </c>
      <c r="AG636">
        <v>0</v>
      </c>
      <c r="AH636">
        <v>3</v>
      </c>
      <c r="AI636">
        <f>IF(tbl_HRData[[#This Row],[Attrition]] = "Yes",1,0)</f>
        <v>0</v>
      </c>
      <c r="AJ636">
        <f>IF(tbl_HRData[[#This Row],[Attrition]] = "No",1,0)</f>
        <v>1</v>
      </c>
      <c r="AK636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636" s="1" t="str">
        <f>IF(tbl_HRData[[#This Row],[MonthlyIncome]]&lt;5000,"Low",
IF(tbl_HRData[[#This Row],[MonthlyIncome]]&lt;10000,"Medium",
IF(tbl_HRData[[#This Row],[MonthlyIncome]]&lt;15000,"Upper Medium","High")))</f>
        <v>Low</v>
      </c>
      <c r="AM636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637" spans="1:39" x14ac:dyDescent="0.35">
      <c r="A637" s="1">
        <v>636</v>
      </c>
      <c r="B637">
        <v>35</v>
      </c>
      <c r="C637" s="1" t="s">
        <v>40</v>
      </c>
      <c r="D637" s="1" t="s">
        <v>34</v>
      </c>
      <c r="E637">
        <v>607</v>
      </c>
      <c r="F637" s="1" t="s">
        <v>42</v>
      </c>
      <c r="G637">
        <v>9</v>
      </c>
      <c r="H637">
        <v>3</v>
      </c>
      <c r="I637" s="1" t="s">
        <v>36</v>
      </c>
      <c r="J637">
        <v>880</v>
      </c>
      <c r="K637">
        <v>4</v>
      </c>
      <c r="L637" s="1" t="s">
        <v>37</v>
      </c>
      <c r="M637">
        <v>66</v>
      </c>
      <c r="N637">
        <v>2</v>
      </c>
      <c r="O637">
        <v>3</v>
      </c>
      <c r="P637" s="1" t="s">
        <v>50</v>
      </c>
      <c r="Q637">
        <v>3</v>
      </c>
      <c r="R637" s="1" t="s">
        <v>45</v>
      </c>
      <c r="S637">
        <v>10685</v>
      </c>
      <c r="T637">
        <v>23457</v>
      </c>
      <c r="U637">
        <v>1</v>
      </c>
      <c r="V637" s="1" t="s">
        <v>33</v>
      </c>
      <c r="W637">
        <v>20</v>
      </c>
      <c r="X637">
        <v>4</v>
      </c>
      <c r="Y637">
        <v>2</v>
      </c>
      <c r="Z637">
        <v>80</v>
      </c>
      <c r="AA637">
        <v>1</v>
      </c>
      <c r="AB637">
        <v>17</v>
      </c>
      <c r="AC637">
        <v>2</v>
      </c>
      <c r="AD637">
        <v>3</v>
      </c>
      <c r="AE637">
        <v>17</v>
      </c>
      <c r="AF637">
        <v>14</v>
      </c>
      <c r="AG637">
        <v>5</v>
      </c>
      <c r="AH637">
        <v>15</v>
      </c>
      <c r="AI637">
        <f>IF(tbl_HRData[[#This Row],[Attrition]] = "Yes",1,0)</f>
        <v>0</v>
      </c>
      <c r="AJ637">
        <f>IF(tbl_HRData[[#This Row],[Attrition]] = "No",1,0)</f>
        <v>1</v>
      </c>
      <c r="AK637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637" s="1" t="str">
        <f>IF(tbl_HRData[[#This Row],[MonthlyIncome]]&lt;5000,"Low",
IF(tbl_HRData[[#This Row],[MonthlyIncome]]&lt;10000,"Medium",
IF(tbl_HRData[[#This Row],[MonthlyIncome]]&lt;15000,"Upper Medium","High")))</f>
        <v>Upper Medium</v>
      </c>
      <c r="AM637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638" spans="1:39" x14ac:dyDescent="0.35">
      <c r="A638" s="1">
        <v>637</v>
      </c>
      <c r="B638">
        <v>35</v>
      </c>
      <c r="C638" s="1" t="s">
        <v>33</v>
      </c>
      <c r="D638" s="1" t="s">
        <v>41</v>
      </c>
      <c r="E638">
        <v>130</v>
      </c>
      <c r="F638" s="1" t="s">
        <v>42</v>
      </c>
      <c r="G638">
        <v>25</v>
      </c>
      <c r="H638">
        <v>4</v>
      </c>
      <c r="I638" s="1" t="s">
        <v>36</v>
      </c>
      <c r="J638">
        <v>881</v>
      </c>
      <c r="K638">
        <v>4</v>
      </c>
      <c r="L638" s="1" t="s">
        <v>37</v>
      </c>
      <c r="M638">
        <v>96</v>
      </c>
      <c r="N638">
        <v>3</v>
      </c>
      <c r="O638">
        <v>1</v>
      </c>
      <c r="P638" s="1" t="s">
        <v>44</v>
      </c>
      <c r="Q638">
        <v>2</v>
      </c>
      <c r="R638" s="1" t="s">
        <v>49</v>
      </c>
      <c r="S638">
        <v>2022</v>
      </c>
      <c r="T638">
        <v>16612</v>
      </c>
      <c r="U638">
        <v>1</v>
      </c>
      <c r="V638" s="1" t="s">
        <v>33</v>
      </c>
      <c r="W638">
        <v>19</v>
      </c>
      <c r="X638">
        <v>3</v>
      </c>
      <c r="Y638">
        <v>1</v>
      </c>
      <c r="Z638">
        <v>80</v>
      </c>
      <c r="AA638">
        <v>1</v>
      </c>
      <c r="AB638">
        <v>10</v>
      </c>
      <c r="AC638">
        <v>3</v>
      </c>
      <c r="AD638">
        <v>2</v>
      </c>
      <c r="AE638">
        <v>10</v>
      </c>
      <c r="AF638">
        <v>2</v>
      </c>
      <c r="AG638">
        <v>7</v>
      </c>
      <c r="AH638">
        <v>8</v>
      </c>
      <c r="AI638">
        <f>IF(tbl_HRData[[#This Row],[Attrition]] = "Yes",1,0)</f>
        <v>1</v>
      </c>
      <c r="AJ638">
        <f>IF(tbl_HRData[[#This Row],[Attrition]] = "No",1,0)</f>
        <v>0</v>
      </c>
      <c r="AK638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638" s="1" t="str">
        <f>IF(tbl_HRData[[#This Row],[MonthlyIncome]]&lt;5000,"Low",
IF(tbl_HRData[[#This Row],[MonthlyIncome]]&lt;10000,"Medium",
IF(tbl_HRData[[#This Row],[MonthlyIncome]]&lt;15000,"Upper Medium","High")))</f>
        <v>Low</v>
      </c>
      <c r="AM638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639" spans="1:39" x14ac:dyDescent="0.35">
      <c r="A639" s="1">
        <v>638</v>
      </c>
      <c r="B639">
        <v>32</v>
      </c>
      <c r="C639" s="1" t="s">
        <v>40</v>
      </c>
      <c r="D639" s="1" t="s">
        <v>52</v>
      </c>
      <c r="E639">
        <v>300</v>
      </c>
      <c r="F639" s="1" t="s">
        <v>42</v>
      </c>
      <c r="G639">
        <v>1</v>
      </c>
      <c r="H639">
        <v>3</v>
      </c>
      <c r="I639" s="1" t="s">
        <v>36</v>
      </c>
      <c r="J639">
        <v>882</v>
      </c>
      <c r="K639">
        <v>4</v>
      </c>
      <c r="L639" s="1" t="s">
        <v>43</v>
      </c>
      <c r="M639">
        <v>61</v>
      </c>
      <c r="N639">
        <v>3</v>
      </c>
      <c r="O639">
        <v>1</v>
      </c>
      <c r="P639" s="1" t="s">
        <v>47</v>
      </c>
      <c r="Q639">
        <v>4</v>
      </c>
      <c r="R639" s="1" t="s">
        <v>49</v>
      </c>
      <c r="S639">
        <v>2314</v>
      </c>
      <c r="T639">
        <v>9148</v>
      </c>
      <c r="U639">
        <v>0</v>
      </c>
      <c r="V639" s="1" t="s">
        <v>40</v>
      </c>
      <c r="W639">
        <v>12</v>
      </c>
      <c r="X639">
        <v>3</v>
      </c>
      <c r="Y639">
        <v>2</v>
      </c>
      <c r="Z639">
        <v>80</v>
      </c>
      <c r="AA639">
        <v>1</v>
      </c>
      <c r="AB639">
        <v>4</v>
      </c>
      <c r="AC639">
        <v>2</v>
      </c>
      <c r="AD639">
        <v>3</v>
      </c>
      <c r="AE639">
        <v>3</v>
      </c>
      <c r="AF639">
        <v>0</v>
      </c>
      <c r="AG639">
        <v>0</v>
      </c>
      <c r="AH639">
        <v>2</v>
      </c>
      <c r="AI639">
        <f>IF(tbl_HRData[[#This Row],[Attrition]] = "Yes",1,0)</f>
        <v>0</v>
      </c>
      <c r="AJ639">
        <f>IF(tbl_HRData[[#This Row],[Attrition]] = "No",1,0)</f>
        <v>1</v>
      </c>
      <c r="AK639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639" s="1" t="str">
        <f>IF(tbl_HRData[[#This Row],[MonthlyIncome]]&lt;5000,"Low",
IF(tbl_HRData[[#This Row],[MonthlyIncome]]&lt;10000,"Medium",
IF(tbl_HRData[[#This Row],[MonthlyIncome]]&lt;15000,"Upper Medium","High")))</f>
        <v>Low</v>
      </c>
      <c r="AM639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640" spans="1:39" x14ac:dyDescent="0.35">
      <c r="A640" s="1">
        <v>639</v>
      </c>
      <c r="B640">
        <v>25</v>
      </c>
      <c r="C640" s="1" t="s">
        <v>40</v>
      </c>
      <c r="D640" s="1" t="s">
        <v>34</v>
      </c>
      <c r="E640">
        <v>583</v>
      </c>
      <c r="F640" s="1" t="s">
        <v>35</v>
      </c>
      <c r="G640">
        <v>4</v>
      </c>
      <c r="H640">
        <v>1</v>
      </c>
      <c r="I640" s="1" t="s">
        <v>56</v>
      </c>
      <c r="J640">
        <v>885</v>
      </c>
      <c r="K640">
        <v>3</v>
      </c>
      <c r="L640" s="1" t="s">
        <v>43</v>
      </c>
      <c r="M640">
        <v>87</v>
      </c>
      <c r="N640">
        <v>2</v>
      </c>
      <c r="O640">
        <v>2</v>
      </c>
      <c r="P640" s="1" t="s">
        <v>38</v>
      </c>
      <c r="Q640">
        <v>1</v>
      </c>
      <c r="R640" s="1" t="s">
        <v>45</v>
      </c>
      <c r="S640">
        <v>4256</v>
      </c>
      <c r="T640">
        <v>18154</v>
      </c>
      <c r="U640">
        <v>1</v>
      </c>
      <c r="V640" s="1" t="s">
        <v>40</v>
      </c>
      <c r="W640">
        <v>12</v>
      </c>
      <c r="X640">
        <v>3</v>
      </c>
      <c r="Y640">
        <v>1</v>
      </c>
      <c r="Z640">
        <v>80</v>
      </c>
      <c r="AA640">
        <v>0</v>
      </c>
      <c r="AB640">
        <v>5</v>
      </c>
      <c r="AC640">
        <v>1</v>
      </c>
      <c r="AD640">
        <v>4</v>
      </c>
      <c r="AE640">
        <v>5</v>
      </c>
      <c r="AF640">
        <v>2</v>
      </c>
      <c r="AG640">
        <v>0</v>
      </c>
      <c r="AH640">
        <v>3</v>
      </c>
      <c r="AI640">
        <f>IF(tbl_HRData[[#This Row],[Attrition]] = "Yes",1,0)</f>
        <v>0</v>
      </c>
      <c r="AJ640">
        <f>IF(tbl_HRData[[#This Row],[Attrition]] = "No",1,0)</f>
        <v>1</v>
      </c>
      <c r="AK640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640" s="1" t="str">
        <f>IF(tbl_HRData[[#This Row],[MonthlyIncome]]&lt;5000,"Low",
IF(tbl_HRData[[#This Row],[MonthlyIncome]]&lt;10000,"Medium",
IF(tbl_HRData[[#This Row],[MonthlyIncome]]&lt;15000,"Upper Medium","High")))</f>
        <v>Low</v>
      </c>
      <c r="AM640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641" spans="1:39" x14ac:dyDescent="0.35">
      <c r="A641" s="1">
        <v>640</v>
      </c>
      <c r="B641">
        <v>49</v>
      </c>
      <c r="C641" s="1" t="s">
        <v>40</v>
      </c>
      <c r="D641" s="1" t="s">
        <v>34</v>
      </c>
      <c r="E641">
        <v>1418</v>
      </c>
      <c r="F641" s="1" t="s">
        <v>42</v>
      </c>
      <c r="G641">
        <v>1</v>
      </c>
      <c r="H641">
        <v>3</v>
      </c>
      <c r="I641" s="1" t="s">
        <v>57</v>
      </c>
      <c r="J641">
        <v>887</v>
      </c>
      <c r="K641">
        <v>3</v>
      </c>
      <c r="L641" s="1" t="s">
        <v>37</v>
      </c>
      <c r="M641">
        <v>36</v>
      </c>
      <c r="N641">
        <v>3</v>
      </c>
      <c r="O641">
        <v>1</v>
      </c>
      <c r="P641" s="1" t="s">
        <v>44</v>
      </c>
      <c r="Q641">
        <v>1</v>
      </c>
      <c r="R641" s="1" t="s">
        <v>45</v>
      </c>
      <c r="S641">
        <v>3580</v>
      </c>
      <c r="T641">
        <v>10554</v>
      </c>
      <c r="U641">
        <v>2</v>
      </c>
      <c r="V641" s="1" t="s">
        <v>40</v>
      </c>
      <c r="W641">
        <v>16</v>
      </c>
      <c r="X641">
        <v>3</v>
      </c>
      <c r="Y641">
        <v>2</v>
      </c>
      <c r="Z641">
        <v>80</v>
      </c>
      <c r="AA641">
        <v>1</v>
      </c>
      <c r="AB641">
        <v>7</v>
      </c>
      <c r="AC641">
        <v>2</v>
      </c>
      <c r="AD641">
        <v>3</v>
      </c>
      <c r="AE641">
        <v>4</v>
      </c>
      <c r="AF641">
        <v>2</v>
      </c>
      <c r="AG641">
        <v>0</v>
      </c>
      <c r="AH641">
        <v>2</v>
      </c>
      <c r="AI641">
        <f>IF(tbl_HRData[[#This Row],[Attrition]] = "Yes",1,0)</f>
        <v>0</v>
      </c>
      <c r="AJ641">
        <f>IF(tbl_HRData[[#This Row],[Attrition]] = "No",1,0)</f>
        <v>1</v>
      </c>
      <c r="AK641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641" s="1" t="str">
        <f>IF(tbl_HRData[[#This Row],[MonthlyIncome]]&lt;5000,"Low",
IF(tbl_HRData[[#This Row],[MonthlyIncome]]&lt;10000,"Medium",
IF(tbl_HRData[[#This Row],[MonthlyIncome]]&lt;15000,"Upper Medium","High")))</f>
        <v>Low</v>
      </c>
      <c r="AM641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642" spans="1:39" x14ac:dyDescent="0.35">
      <c r="A642" s="1">
        <v>641</v>
      </c>
      <c r="B642">
        <v>24</v>
      </c>
      <c r="C642" s="1" t="s">
        <v>40</v>
      </c>
      <c r="D642" s="1" t="s">
        <v>52</v>
      </c>
      <c r="E642">
        <v>1269</v>
      </c>
      <c r="F642" s="1" t="s">
        <v>42</v>
      </c>
      <c r="G642">
        <v>4</v>
      </c>
      <c r="H642">
        <v>1</v>
      </c>
      <c r="I642" s="1" t="s">
        <v>36</v>
      </c>
      <c r="J642">
        <v>888</v>
      </c>
      <c r="K642">
        <v>1</v>
      </c>
      <c r="L642" s="1" t="s">
        <v>43</v>
      </c>
      <c r="M642">
        <v>46</v>
      </c>
      <c r="N642">
        <v>2</v>
      </c>
      <c r="O642">
        <v>1</v>
      </c>
      <c r="P642" s="1" t="s">
        <v>47</v>
      </c>
      <c r="Q642">
        <v>4</v>
      </c>
      <c r="R642" s="1" t="s">
        <v>45</v>
      </c>
      <c r="S642">
        <v>3162</v>
      </c>
      <c r="T642">
        <v>10778</v>
      </c>
      <c r="U642">
        <v>0</v>
      </c>
      <c r="V642" s="1" t="s">
        <v>40</v>
      </c>
      <c r="W642">
        <v>17</v>
      </c>
      <c r="X642">
        <v>3</v>
      </c>
      <c r="Y642">
        <v>4</v>
      </c>
      <c r="Z642">
        <v>80</v>
      </c>
      <c r="AA642">
        <v>0</v>
      </c>
      <c r="AB642">
        <v>6</v>
      </c>
      <c r="AC642">
        <v>2</v>
      </c>
      <c r="AD642">
        <v>2</v>
      </c>
      <c r="AE642">
        <v>5</v>
      </c>
      <c r="AF642">
        <v>2</v>
      </c>
      <c r="AG642">
        <v>3</v>
      </c>
      <c r="AH642">
        <v>4</v>
      </c>
      <c r="AI642">
        <f>IF(tbl_HRData[[#This Row],[Attrition]] = "Yes",1,0)</f>
        <v>0</v>
      </c>
      <c r="AJ642">
        <f>IF(tbl_HRData[[#This Row],[Attrition]] = "No",1,0)</f>
        <v>1</v>
      </c>
      <c r="AK642" t="str">
        <f>IF(tbl_HRData[[#This Row],[Age]] &lt; 25, "Under 25", IF(tbl_HRData[[#This Row],[Age]] &lt;= 34, "25-34", IF(tbl_HRData[[#This Row],[Age]] &lt;= 44, "35-44", IF(tbl_HRData[[#This Row],[Age]] &lt;= 54, "45-54", "55+"))))</f>
        <v>Under 25</v>
      </c>
      <c r="AL642" s="1" t="str">
        <f>IF(tbl_HRData[[#This Row],[MonthlyIncome]]&lt;5000,"Low",
IF(tbl_HRData[[#This Row],[MonthlyIncome]]&lt;10000,"Medium",
IF(tbl_HRData[[#This Row],[MonthlyIncome]]&lt;15000,"Upper Medium","High")))</f>
        <v>Low</v>
      </c>
      <c r="AM642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643" spans="1:39" x14ac:dyDescent="0.35">
      <c r="A643" s="1">
        <v>642</v>
      </c>
      <c r="B643">
        <v>32</v>
      </c>
      <c r="C643" s="1" t="s">
        <v>40</v>
      </c>
      <c r="D643" s="1" t="s">
        <v>41</v>
      </c>
      <c r="E643">
        <v>379</v>
      </c>
      <c r="F643" s="1" t="s">
        <v>35</v>
      </c>
      <c r="G643">
        <v>5</v>
      </c>
      <c r="H643">
        <v>2</v>
      </c>
      <c r="I643" s="1" t="s">
        <v>36</v>
      </c>
      <c r="J643">
        <v>889</v>
      </c>
      <c r="K643">
        <v>2</v>
      </c>
      <c r="L643" s="1" t="s">
        <v>43</v>
      </c>
      <c r="M643">
        <v>48</v>
      </c>
      <c r="N643">
        <v>3</v>
      </c>
      <c r="O643">
        <v>2</v>
      </c>
      <c r="P643" s="1" t="s">
        <v>38</v>
      </c>
      <c r="Q643">
        <v>2</v>
      </c>
      <c r="R643" s="1" t="s">
        <v>45</v>
      </c>
      <c r="S643">
        <v>6524</v>
      </c>
      <c r="T643">
        <v>8891</v>
      </c>
      <c r="U643">
        <v>1</v>
      </c>
      <c r="V643" s="1" t="s">
        <v>40</v>
      </c>
      <c r="W643">
        <v>14</v>
      </c>
      <c r="X643">
        <v>3</v>
      </c>
      <c r="Y643">
        <v>4</v>
      </c>
      <c r="Z643">
        <v>80</v>
      </c>
      <c r="AA643">
        <v>1</v>
      </c>
      <c r="AB643">
        <v>10</v>
      </c>
      <c r="AC643">
        <v>3</v>
      </c>
      <c r="AD643">
        <v>3</v>
      </c>
      <c r="AE643">
        <v>10</v>
      </c>
      <c r="AF643">
        <v>8</v>
      </c>
      <c r="AG643">
        <v>5</v>
      </c>
      <c r="AH643">
        <v>3</v>
      </c>
      <c r="AI643">
        <f>IF(tbl_HRData[[#This Row],[Attrition]] = "Yes",1,0)</f>
        <v>0</v>
      </c>
      <c r="AJ643">
        <f>IF(tbl_HRData[[#This Row],[Attrition]] = "No",1,0)</f>
        <v>1</v>
      </c>
      <c r="AK643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643" s="1" t="str">
        <f>IF(tbl_HRData[[#This Row],[MonthlyIncome]]&lt;5000,"Low",
IF(tbl_HRData[[#This Row],[MonthlyIncome]]&lt;10000,"Medium",
IF(tbl_HRData[[#This Row],[MonthlyIncome]]&lt;15000,"Upper Medium","High")))</f>
        <v>Medium</v>
      </c>
      <c r="AM643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644" spans="1:39" x14ac:dyDescent="0.35">
      <c r="A644" s="1">
        <v>643</v>
      </c>
      <c r="B644">
        <v>38</v>
      </c>
      <c r="C644" s="1" t="s">
        <v>40</v>
      </c>
      <c r="D644" s="1" t="s">
        <v>34</v>
      </c>
      <c r="E644">
        <v>395</v>
      </c>
      <c r="F644" s="1" t="s">
        <v>35</v>
      </c>
      <c r="G644">
        <v>9</v>
      </c>
      <c r="H644">
        <v>3</v>
      </c>
      <c r="I644" s="1" t="s">
        <v>56</v>
      </c>
      <c r="J644">
        <v>893</v>
      </c>
      <c r="K644">
        <v>2</v>
      </c>
      <c r="L644" s="1" t="s">
        <v>43</v>
      </c>
      <c r="M644">
        <v>98</v>
      </c>
      <c r="N644">
        <v>2</v>
      </c>
      <c r="O644">
        <v>1</v>
      </c>
      <c r="P644" s="1" t="s">
        <v>54</v>
      </c>
      <c r="Q644">
        <v>2</v>
      </c>
      <c r="R644" s="1" t="s">
        <v>45</v>
      </c>
      <c r="S644">
        <v>2899</v>
      </c>
      <c r="T644">
        <v>12102</v>
      </c>
      <c r="U644">
        <v>0</v>
      </c>
      <c r="V644" s="1" t="s">
        <v>40</v>
      </c>
      <c r="W644">
        <v>19</v>
      </c>
      <c r="X644">
        <v>3</v>
      </c>
      <c r="Y644">
        <v>4</v>
      </c>
      <c r="Z644">
        <v>80</v>
      </c>
      <c r="AA644">
        <v>1</v>
      </c>
      <c r="AB644">
        <v>3</v>
      </c>
      <c r="AC644">
        <v>3</v>
      </c>
      <c r="AD644">
        <v>3</v>
      </c>
      <c r="AE644">
        <v>2</v>
      </c>
      <c r="AF644">
        <v>2</v>
      </c>
      <c r="AG644">
        <v>1</v>
      </c>
      <c r="AH644">
        <v>2</v>
      </c>
      <c r="AI644">
        <f>IF(tbl_HRData[[#This Row],[Attrition]] = "Yes",1,0)</f>
        <v>0</v>
      </c>
      <c r="AJ644">
        <f>IF(tbl_HRData[[#This Row],[Attrition]] = "No",1,0)</f>
        <v>1</v>
      </c>
      <c r="AK644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644" s="1" t="str">
        <f>IF(tbl_HRData[[#This Row],[MonthlyIncome]]&lt;5000,"Low",
IF(tbl_HRData[[#This Row],[MonthlyIncome]]&lt;10000,"Medium",
IF(tbl_HRData[[#This Row],[MonthlyIncome]]&lt;15000,"Upper Medium","High")))</f>
        <v>Low</v>
      </c>
      <c r="AM644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645" spans="1:39" x14ac:dyDescent="0.35">
      <c r="A645" s="1">
        <v>644</v>
      </c>
      <c r="B645">
        <v>42</v>
      </c>
      <c r="C645" s="1" t="s">
        <v>40</v>
      </c>
      <c r="D645" s="1" t="s">
        <v>34</v>
      </c>
      <c r="E645">
        <v>1265</v>
      </c>
      <c r="F645" s="1" t="s">
        <v>42</v>
      </c>
      <c r="G645">
        <v>3</v>
      </c>
      <c r="H645">
        <v>3</v>
      </c>
      <c r="I645" s="1" t="s">
        <v>36</v>
      </c>
      <c r="J645">
        <v>894</v>
      </c>
      <c r="K645">
        <v>3</v>
      </c>
      <c r="L645" s="1" t="s">
        <v>37</v>
      </c>
      <c r="M645">
        <v>95</v>
      </c>
      <c r="N645">
        <v>4</v>
      </c>
      <c r="O645">
        <v>2</v>
      </c>
      <c r="P645" s="1" t="s">
        <v>47</v>
      </c>
      <c r="Q645">
        <v>4</v>
      </c>
      <c r="R645" s="1" t="s">
        <v>45</v>
      </c>
      <c r="S645">
        <v>5231</v>
      </c>
      <c r="T645">
        <v>23726</v>
      </c>
      <c r="U645">
        <v>2</v>
      </c>
      <c r="V645" s="1" t="s">
        <v>33</v>
      </c>
      <c r="W645">
        <v>13</v>
      </c>
      <c r="X645">
        <v>3</v>
      </c>
      <c r="Y645">
        <v>2</v>
      </c>
      <c r="Z645">
        <v>80</v>
      </c>
      <c r="AA645">
        <v>1</v>
      </c>
      <c r="AB645">
        <v>17</v>
      </c>
      <c r="AC645">
        <v>1</v>
      </c>
      <c r="AD645">
        <v>2</v>
      </c>
      <c r="AE645">
        <v>5</v>
      </c>
      <c r="AF645">
        <v>3</v>
      </c>
      <c r="AG645">
        <v>1</v>
      </c>
      <c r="AH645">
        <v>3</v>
      </c>
      <c r="AI645">
        <f>IF(tbl_HRData[[#This Row],[Attrition]] = "Yes",1,0)</f>
        <v>0</v>
      </c>
      <c r="AJ645">
        <f>IF(tbl_HRData[[#This Row],[Attrition]] = "No",1,0)</f>
        <v>1</v>
      </c>
      <c r="AK645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645" s="1" t="str">
        <f>IF(tbl_HRData[[#This Row],[MonthlyIncome]]&lt;5000,"Low",
IF(tbl_HRData[[#This Row],[MonthlyIncome]]&lt;10000,"Medium",
IF(tbl_HRData[[#This Row],[MonthlyIncome]]&lt;15000,"Upper Medium","High")))</f>
        <v>Medium</v>
      </c>
      <c r="AM645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646" spans="1:39" x14ac:dyDescent="0.35">
      <c r="A646" s="1">
        <v>645</v>
      </c>
      <c r="B646">
        <v>31</v>
      </c>
      <c r="C646" s="1" t="s">
        <v>40</v>
      </c>
      <c r="D646" s="1" t="s">
        <v>34</v>
      </c>
      <c r="E646">
        <v>1222</v>
      </c>
      <c r="F646" s="1" t="s">
        <v>42</v>
      </c>
      <c r="G646">
        <v>11</v>
      </c>
      <c r="H646">
        <v>4</v>
      </c>
      <c r="I646" s="1" t="s">
        <v>36</v>
      </c>
      <c r="J646">
        <v>895</v>
      </c>
      <c r="K646">
        <v>4</v>
      </c>
      <c r="L646" s="1" t="s">
        <v>43</v>
      </c>
      <c r="M646">
        <v>48</v>
      </c>
      <c r="N646">
        <v>3</v>
      </c>
      <c r="O646">
        <v>1</v>
      </c>
      <c r="P646" s="1" t="s">
        <v>44</v>
      </c>
      <c r="Q646">
        <v>4</v>
      </c>
      <c r="R646" s="1" t="s">
        <v>45</v>
      </c>
      <c r="S646">
        <v>2356</v>
      </c>
      <c r="T646">
        <v>14871</v>
      </c>
      <c r="U646">
        <v>3</v>
      </c>
      <c r="V646" s="1" t="s">
        <v>33</v>
      </c>
      <c r="W646">
        <v>19</v>
      </c>
      <c r="X646">
        <v>3</v>
      </c>
      <c r="Y646">
        <v>2</v>
      </c>
      <c r="Z646">
        <v>80</v>
      </c>
      <c r="AA646">
        <v>1</v>
      </c>
      <c r="AB646">
        <v>8</v>
      </c>
      <c r="AC646">
        <v>2</v>
      </c>
      <c r="AD646">
        <v>3</v>
      </c>
      <c r="AE646">
        <v>6</v>
      </c>
      <c r="AF646">
        <v>4</v>
      </c>
      <c r="AG646">
        <v>0</v>
      </c>
      <c r="AH646">
        <v>2</v>
      </c>
      <c r="AI646">
        <f>IF(tbl_HRData[[#This Row],[Attrition]] = "Yes",1,0)</f>
        <v>0</v>
      </c>
      <c r="AJ646">
        <f>IF(tbl_HRData[[#This Row],[Attrition]] = "No",1,0)</f>
        <v>1</v>
      </c>
      <c r="AK646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646" s="1" t="str">
        <f>IF(tbl_HRData[[#This Row],[MonthlyIncome]]&lt;5000,"Low",
IF(tbl_HRData[[#This Row],[MonthlyIncome]]&lt;10000,"Medium",
IF(tbl_HRData[[#This Row],[MonthlyIncome]]&lt;15000,"Upper Medium","High")))</f>
        <v>Low</v>
      </c>
      <c r="AM646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647" spans="1:39" x14ac:dyDescent="0.35">
      <c r="A647" s="1">
        <v>646</v>
      </c>
      <c r="B647">
        <v>29</v>
      </c>
      <c r="C647" s="1" t="s">
        <v>33</v>
      </c>
      <c r="D647" s="1" t="s">
        <v>34</v>
      </c>
      <c r="E647">
        <v>341</v>
      </c>
      <c r="F647" s="1" t="s">
        <v>35</v>
      </c>
      <c r="G647">
        <v>1</v>
      </c>
      <c r="H647">
        <v>3</v>
      </c>
      <c r="I647" s="1" t="s">
        <v>48</v>
      </c>
      <c r="J647">
        <v>896</v>
      </c>
      <c r="K647">
        <v>2</v>
      </c>
      <c r="L647" s="1" t="s">
        <v>37</v>
      </c>
      <c r="M647">
        <v>48</v>
      </c>
      <c r="N647">
        <v>2</v>
      </c>
      <c r="O647">
        <v>1</v>
      </c>
      <c r="P647" s="1" t="s">
        <v>54</v>
      </c>
      <c r="Q647">
        <v>3</v>
      </c>
      <c r="R647" s="1" t="s">
        <v>49</v>
      </c>
      <c r="S647">
        <v>2800</v>
      </c>
      <c r="T647">
        <v>23522</v>
      </c>
      <c r="U647">
        <v>6</v>
      </c>
      <c r="V647" s="1" t="s">
        <v>33</v>
      </c>
      <c r="W647">
        <v>19</v>
      </c>
      <c r="X647">
        <v>3</v>
      </c>
      <c r="Y647">
        <v>3</v>
      </c>
      <c r="Z647">
        <v>80</v>
      </c>
      <c r="AA647">
        <v>3</v>
      </c>
      <c r="AB647">
        <v>5</v>
      </c>
      <c r="AC647">
        <v>3</v>
      </c>
      <c r="AD647">
        <v>3</v>
      </c>
      <c r="AE647">
        <v>3</v>
      </c>
      <c r="AF647">
        <v>2</v>
      </c>
      <c r="AG647">
        <v>0</v>
      </c>
      <c r="AH647">
        <v>2</v>
      </c>
      <c r="AI647">
        <f>IF(tbl_HRData[[#This Row],[Attrition]] = "Yes",1,0)</f>
        <v>1</v>
      </c>
      <c r="AJ647">
        <f>IF(tbl_HRData[[#This Row],[Attrition]] = "No",1,0)</f>
        <v>0</v>
      </c>
      <c r="AK647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647" s="1" t="str">
        <f>IF(tbl_HRData[[#This Row],[MonthlyIncome]]&lt;5000,"Low",
IF(tbl_HRData[[#This Row],[MonthlyIncome]]&lt;10000,"Medium",
IF(tbl_HRData[[#This Row],[MonthlyIncome]]&lt;15000,"Upper Medium","High")))</f>
        <v>Low</v>
      </c>
      <c r="AM647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648" spans="1:39" x14ac:dyDescent="0.35">
      <c r="A648" s="1">
        <v>647</v>
      </c>
      <c r="B648">
        <v>53</v>
      </c>
      <c r="C648" s="1" t="s">
        <v>40</v>
      </c>
      <c r="D648" s="1" t="s">
        <v>34</v>
      </c>
      <c r="E648">
        <v>868</v>
      </c>
      <c r="F648" s="1" t="s">
        <v>35</v>
      </c>
      <c r="G648">
        <v>8</v>
      </c>
      <c r="H648">
        <v>3</v>
      </c>
      <c r="I648" s="1" t="s">
        <v>56</v>
      </c>
      <c r="J648">
        <v>897</v>
      </c>
      <c r="K648">
        <v>1</v>
      </c>
      <c r="L648" s="1" t="s">
        <v>43</v>
      </c>
      <c r="M648">
        <v>73</v>
      </c>
      <c r="N648">
        <v>3</v>
      </c>
      <c r="O648">
        <v>4</v>
      </c>
      <c r="P648" s="1" t="s">
        <v>38</v>
      </c>
      <c r="Q648">
        <v>4</v>
      </c>
      <c r="R648" s="1" t="s">
        <v>45</v>
      </c>
      <c r="S648">
        <v>11836</v>
      </c>
      <c r="T648">
        <v>22789</v>
      </c>
      <c r="U648">
        <v>5</v>
      </c>
      <c r="V648" s="1" t="s">
        <v>40</v>
      </c>
      <c r="W648">
        <v>14</v>
      </c>
      <c r="X648">
        <v>3</v>
      </c>
      <c r="Y648">
        <v>3</v>
      </c>
      <c r="Z648">
        <v>80</v>
      </c>
      <c r="AA648">
        <v>1</v>
      </c>
      <c r="AB648">
        <v>28</v>
      </c>
      <c r="AC648">
        <v>3</v>
      </c>
      <c r="AD648">
        <v>3</v>
      </c>
      <c r="AE648">
        <v>2</v>
      </c>
      <c r="AF648">
        <v>0</v>
      </c>
      <c r="AG648">
        <v>2</v>
      </c>
      <c r="AH648">
        <v>2</v>
      </c>
      <c r="AI648">
        <f>IF(tbl_HRData[[#This Row],[Attrition]] = "Yes",1,0)</f>
        <v>0</v>
      </c>
      <c r="AJ648">
        <f>IF(tbl_HRData[[#This Row],[Attrition]] = "No",1,0)</f>
        <v>1</v>
      </c>
      <c r="AK648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648" s="1" t="str">
        <f>IF(tbl_HRData[[#This Row],[MonthlyIncome]]&lt;5000,"Low",
IF(tbl_HRData[[#This Row],[MonthlyIncome]]&lt;10000,"Medium",
IF(tbl_HRData[[#This Row],[MonthlyIncome]]&lt;15000,"Upper Medium","High")))</f>
        <v>Upper Medium</v>
      </c>
      <c r="AM648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649" spans="1:39" x14ac:dyDescent="0.35">
      <c r="A649" s="1">
        <v>648</v>
      </c>
      <c r="B649">
        <v>35</v>
      </c>
      <c r="C649" s="1" t="s">
        <v>40</v>
      </c>
      <c r="D649" s="1" t="s">
        <v>34</v>
      </c>
      <c r="E649">
        <v>672</v>
      </c>
      <c r="F649" s="1" t="s">
        <v>42</v>
      </c>
      <c r="G649">
        <v>25</v>
      </c>
      <c r="H649">
        <v>3</v>
      </c>
      <c r="I649" s="1" t="s">
        <v>57</v>
      </c>
      <c r="J649">
        <v>899</v>
      </c>
      <c r="K649">
        <v>4</v>
      </c>
      <c r="L649" s="1" t="s">
        <v>43</v>
      </c>
      <c r="M649">
        <v>78</v>
      </c>
      <c r="N649">
        <v>2</v>
      </c>
      <c r="O649">
        <v>3</v>
      </c>
      <c r="P649" s="1" t="s">
        <v>50</v>
      </c>
      <c r="Q649">
        <v>2</v>
      </c>
      <c r="R649" s="1" t="s">
        <v>45</v>
      </c>
      <c r="S649">
        <v>10903</v>
      </c>
      <c r="T649">
        <v>9129</v>
      </c>
      <c r="U649">
        <v>3</v>
      </c>
      <c r="V649" s="1" t="s">
        <v>40</v>
      </c>
      <c r="W649">
        <v>16</v>
      </c>
      <c r="X649">
        <v>3</v>
      </c>
      <c r="Y649">
        <v>1</v>
      </c>
      <c r="Z649">
        <v>80</v>
      </c>
      <c r="AA649">
        <v>0</v>
      </c>
      <c r="AB649">
        <v>16</v>
      </c>
      <c r="AC649">
        <v>2</v>
      </c>
      <c r="AD649">
        <v>3</v>
      </c>
      <c r="AE649">
        <v>13</v>
      </c>
      <c r="AF649">
        <v>10</v>
      </c>
      <c r="AG649">
        <v>4</v>
      </c>
      <c r="AH649">
        <v>8</v>
      </c>
      <c r="AI649">
        <f>IF(tbl_HRData[[#This Row],[Attrition]] = "Yes",1,0)</f>
        <v>0</v>
      </c>
      <c r="AJ649">
        <f>IF(tbl_HRData[[#This Row],[Attrition]] = "No",1,0)</f>
        <v>1</v>
      </c>
      <c r="AK649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649" s="1" t="str">
        <f>IF(tbl_HRData[[#This Row],[MonthlyIncome]]&lt;5000,"Low",
IF(tbl_HRData[[#This Row],[MonthlyIncome]]&lt;10000,"Medium",
IF(tbl_HRData[[#This Row],[MonthlyIncome]]&lt;15000,"Upper Medium","High")))</f>
        <v>Upper Medium</v>
      </c>
      <c r="AM649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650" spans="1:39" x14ac:dyDescent="0.35">
      <c r="A650" s="1">
        <v>649</v>
      </c>
      <c r="B650">
        <v>37</v>
      </c>
      <c r="C650" s="1" t="s">
        <v>40</v>
      </c>
      <c r="D650" s="1" t="s">
        <v>41</v>
      </c>
      <c r="E650">
        <v>1231</v>
      </c>
      <c r="F650" s="1" t="s">
        <v>35</v>
      </c>
      <c r="G650">
        <v>21</v>
      </c>
      <c r="H650">
        <v>2</v>
      </c>
      <c r="I650" s="1" t="s">
        <v>48</v>
      </c>
      <c r="J650">
        <v>900</v>
      </c>
      <c r="K650">
        <v>3</v>
      </c>
      <c r="L650" s="1" t="s">
        <v>37</v>
      </c>
      <c r="M650">
        <v>54</v>
      </c>
      <c r="N650">
        <v>3</v>
      </c>
      <c r="O650">
        <v>1</v>
      </c>
      <c r="P650" s="1" t="s">
        <v>54</v>
      </c>
      <c r="Q650">
        <v>4</v>
      </c>
      <c r="R650" s="1" t="s">
        <v>45</v>
      </c>
      <c r="S650">
        <v>2973</v>
      </c>
      <c r="T650">
        <v>21222</v>
      </c>
      <c r="U650">
        <v>5</v>
      </c>
      <c r="V650" s="1" t="s">
        <v>40</v>
      </c>
      <c r="W650">
        <v>15</v>
      </c>
      <c r="X650">
        <v>3</v>
      </c>
      <c r="Y650">
        <v>2</v>
      </c>
      <c r="Z650">
        <v>80</v>
      </c>
      <c r="AA650">
        <v>1</v>
      </c>
      <c r="AB650">
        <v>10</v>
      </c>
      <c r="AC650">
        <v>3</v>
      </c>
      <c r="AD650">
        <v>3</v>
      </c>
      <c r="AE650">
        <v>5</v>
      </c>
      <c r="AF650">
        <v>4</v>
      </c>
      <c r="AG650">
        <v>0</v>
      </c>
      <c r="AH650">
        <v>0</v>
      </c>
      <c r="AI650">
        <f>IF(tbl_HRData[[#This Row],[Attrition]] = "Yes",1,0)</f>
        <v>0</v>
      </c>
      <c r="AJ650">
        <f>IF(tbl_HRData[[#This Row],[Attrition]] = "No",1,0)</f>
        <v>1</v>
      </c>
      <c r="AK650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650" s="1" t="str">
        <f>IF(tbl_HRData[[#This Row],[MonthlyIncome]]&lt;5000,"Low",
IF(tbl_HRData[[#This Row],[MonthlyIncome]]&lt;10000,"Medium",
IF(tbl_HRData[[#This Row],[MonthlyIncome]]&lt;15000,"Upper Medium","High")))</f>
        <v>Low</v>
      </c>
      <c r="AM650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651" spans="1:39" x14ac:dyDescent="0.35">
      <c r="A651" s="1">
        <v>650</v>
      </c>
      <c r="B651">
        <v>53</v>
      </c>
      <c r="C651" s="1" t="s">
        <v>40</v>
      </c>
      <c r="D651" s="1" t="s">
        <v>34</v>
      </c>
      <c r="E651">
        <v>102</v>
      </c>
      <c r="F651" s="1" t="s">
        <v>42</v>
      </c>
      <c r="G651">
        <v>23</v>
      </c>
      <c r="H651">
        <v>4</v>
      </c>
      <c r="I651" s="1" t="s">
        <v>36</v>
      </c>
      <c r="J651">
        <v>901</v>
      </c>
      <c r="K651">
        <v>4</v>
      </c>
      <c r="L651" s="1" t="s">
        <v>37</v>
      </c>
      <c r="M651">
        <v>72</v>
      </c>
      <c r="N651">
        <v>3</v>
      </c>
      <c r="O651">
        <v>4</v>
      </c>
      <c r="P651" s="1" t="s">
        <v>55</v>
      </c>
      <c r="Q651">
        <v>4</v>
      </c>
      <c r="R651" s="1" t="s">
        <v>39</v>
      </c>
      <c r="S651">
        <v>14275</v>
      </c>
      <c r="T651">
        <v>20206</v>
      </c>
      <c r="U651">
        <v>6</v>
      </c>
      <c r="V651" s="1" t="s">
        <v>40</v>
      </c>
      <c r="W651">
        <v>18</v>
      </c>
      <c r="X651">
        <v>3</v>
      </c>
      <c r="Y651">
        <v>3</v>
      </c>
      <c r="Z651">
        <v>80</v>
      </c>
      <c r="AA651">
        <v>0</v>
      </c>
      <c r="AB651">
        <v>33</v>
      </c>
      <c r="AC651">
        <v>0</v>
      </c>
      <c r="AD651">
        <v>3</v>
      </c>
      <c r="AE651">
        <v>12</v>
      </c>
      <c r="AF651">
        <v>9</v>
      </c>
      <c r="AG651">
        <v>3</v>
      </c>
      <c r="AH651">
        <v>8</v>
      </c>
      <c r="AI651">
        <f>IF(tbl_HRData[[#This Row],[Attrition]] = "Yes",1,0)</f>
        <v>0</v>
      </c>
      <c r="AJ651">
        <f>IF(tbl_HRData[[#This Row],[Attrition]] = "No",1,0)</f>
        <v>1</v>
      </c>
      <c r="AK651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651" s="1" t="str">
        <f>IF(tbl_HRData[[#This Row],[MonthlyIncome]]&lt;5000,"Low",
IF(tbl_HRData[[#This Row],[MonthlyIncome]]&lt;10000,"Medium",
IF(tbl_HRData[[#This Row],[MonthlyIncome]]&lt;15000,"Upper Medium","High")))</f>
        <v>Upper Medium</v>
      </c>
      <c r="AM651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652" spans="1:39" x14ac:dyDescent="0.35">
      <c r="A652" s="1">
        <v>651</v>
      </c>
      <c r="B652">
        <v>43</v>
      </c>
      <c r="C652" s="1" t="s">
        <v>40</v>
      </c>
      <c r="D652" s="1" t="s">
        <v>41</v>
      </c>
      <c r="E652">
        <v>422</v>
      </c>
      <c r="F652" s="1" t="s">
        <v>42</v>
      </c>
      <c r="G652">
        <v>1</v>
      </c>
      <c r="H652">
        <v>3</v>
      </c>
      <c r="I652" s="1" t="s">
        <v>36</v>
      </c>
      <c r="J652">
        <v>902</v>
      </c>
      <c r="K652">
        <v>4</v>
      </c>
      <c r="L652" s="1" t="s">
        <v>37</v>
      </c>
      <c r="M652">
        <v>33</v>
      </c>
      <c r="N652">
        <v>3</v>
      </c>
      <c r="O652">
        <v>2</v>
      </c>
      <c r="P652" s="1" t="s">
        <v>51</v>
      </c>
      <c r="Q652">
        <v>4</v>
      </c>
      <c r="R652" s="1" t="s">
        <v>45</v>
      </c>
      <c r="S652">
        <v>5562</v>
      </c>
      <c r="T652">
        <v>21782</v>
      </c>
      <c r="U652">
        <v>4</v>
      </c>
      <c r="V652" s="1" t="s">
        <v>40</v>
      </c>
      <c r="W652">
        <v>13</v>
      </c>
      <c r="X652">
        <v>3</v>
      </c>
      <c r="Y652">
        <v>2</v>
      </c>
      <c r="Z652">
        <v>80</v>
      </c>
      <c r="AA652">
        <v>1</v>
      </c>
      <c r="AB652">
        <v>12</v>
      </c>
      <c r="AC652">
        <v>2</v>
      </c>
      <c r="AD652">
        <v>2</v>
      </c>
      <c r="AE652">
        <v>5</v>
      </c>
      <c r="AF652">
        <v>2</v>
      </c>
      <c r="AG652">
        <v>2</v>
      </c>
      <c r="AH652">
        <v>2</v>
      </c>
      <c r="AI652">
        <f>IF(tbl_HRData[[#This Row],[Attrition]] = "Yes",1,0)</f>
        <v>0</v>
      </c>
      <c r="AJ652">
        <f>IF(tbl_HRData[[#This Row],[Attrition]] = "No",1,0)</f>
        <v>1</v>
      </c>
      <c r="AK652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652" s="1" t="str">
        <f>IF(tbl_HRData[[#This Row],[MonthlyIncome]]&lt;5000,"Low",
IF(tbl_HRData[[#This Row],[MonthlyIncome]]&lt;10000,"Medium",
IF(tbl_HRData[[#This Row],[MonthlyIncome]]&lt;15000,"Upper Medium","High")))</f>
        <v>Medium</v>
      </c>
      <c r="AM652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653" spans="1:39" x14ac:dyDescent="0.35">
      <c r="A653" s="1">
        <v>652</v>
      </c>
      <c r="B653">
        <v>47</v>
      </c>
      <c r="C653" s="1" t="s">
        <v>40</v>
      </c>
      <c r="D653" s="1" t="s">
        <v>34</v>
      </c>
      <c r="E653">
        <v>249</v>
      </c>
      <c r="F653" s="1" t="s">
        <v>35</v>
      </c>
      <c r="G653">
        <v>2</v>
      </c>
      <c r="H653">
        <v>2</v>
      </c>
      <c r="I653" s="1" t="s">
        <v>56</v>
      </c>
      <c r="J653">
        <v>903</v>
      </c>
      <c r="K653">
        <v>3</v>
      </c>
      <c r="L653" s="1" t="s">
        <v>37</v>
      </c>
      <c r="M653">
        <v>35</v>
      </c>
      <c r="N653">
        <v>3</v>
      </c>
      <c r="O653">
        <v>2</v>
      </c>
      <c r="P653" s="1" t="s">
        <v>38</v>
      </c>
      <c r="Q653">
        <v>4</v>
      </c>
      <c r="R653" s="1" t="s">
        <v>45</v>
      </c>
      <c r="S653">
        <v>4537</v>
      </c>
      <c r="T653">
        <v>17783</v>
      </c>
      <c r="U653">
        <v>0</v>
      </c>
      <c r="V653" s="1" t="s">
        <v>33</v>
      </c>
      <c r="W653">
        <v>22</v>
      </c>
      <c r="X653">
        <v>4</v>
      </c>
      <c r="Y653">
        <v>1</v>
      </c>
      <c r="Z653">
        <v>80</v>
      </c>
      <c r="AA653">
        <v>1</v>
      </c>
      <c r="AB653">
        <v>8</v>
      </c>
      <c r="AC653">
        <v>2</v>
      </c>
      <c r="AD653">
        <v>3</v>
      </c>
      <c r="AE653">
        <v>7</v>
      </c>
      <c r="AF653">
        <v>6</v>
      </c>
      <c r="AG653">
        <v>7</v>
      </c>
      <c r="AH653">
        <v>7</v>
      </c>
      <c r="AI653">
        <f>IF(tbl_HRData[[#This Row],[Attrition]] = "Yes",1,0)</f>
        <v>0</v>
      </c>
      <c r="AJ653">
        <f>IF(tbl_HRData[[#This Row],[Attrition]] = "No",1,0)</f>
        <v>1</v>
      </c>
      <c r="AK653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653" s="1" t="str">
        <f>IF(tbl_HRData[[#This Row],[MonthlyIncome]]&lt;5000,"Low",
IF(tbl_HRData[[#This Row],[MonthlyIncome]]&lt;10000,"Medium",
IF(tbl_HRData[[#This Row],[MonthlyIncome]]&lt;15000,"Upper Medium","High")))</f>
        <v>Low</v>
      </c>
      <c r="AM653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654" spans="1:39" x14ac:dyDescent="0.35">
      <c r="A654" s="1">
        <v>653</v>
      </c>
      <c r="B654">
        <v>37</v>
      </c>
      <c r="C654" s="1" t="s">
        <v>40</v>
      </c>
      <c r="D654" s="1" t="s">
        <v>52</v>
      </c>
      <c r="E654">
        <v>1252</v>
      </c>
      <c r="F654" s="1" t="s">
        <v>35</v>
      </c>
      <c r="G654">
        <v>19</v>
      </c>
      <c r="H654">
        <v>2</v>
      </c>
      <c r="I654" s="1" t="s">
        <v>48</v>
      </c>
      <c r="J654">
        <v>904</v>
      </c>
      <c r="K654">
        <v>1</v>
      </c>
      <c r="L654" s="1" t="s">
        <v>43</v>
      </c>
      <c r="M654">
        <v>32</v>
      </c>
      <c r="N654">
        <v>3</v>
      </c>
      <c r="O654">
        <v>3</v>
      </c>
      <c r="P654" s="1" t="s">
        <v>38</v>
      </c>
      <c r="Q654">
        <v>2</v>
      </c>
      <c r="R654" s="1" t="s">
        <v>39</v>
      </c>
      <c r="S654">
        <v>7642</v>
      </c>
      <c r="T654">
        <v>4814</v>
      </c>
      <c r="U654">
        <v>1</v>
      </c>
      <c r="V654" s="1" t="s">
        <v>33</v>
      </c>
      <c r="W654">
        <v>13</v>
      </c>
      <c r="X654">
        <v>3</v>
      </c>
      <c r="Y654">
        <v>4</v>
      </c>
      <c r="Z654">
        <v>80</v>
      </c>
      <c r="AA654">
        <v>0</v>
      </c>
      <c r="AB654">
        <v>10</v>
      </c>
      <c r="AC654">
        <v>2</v>
      </c>
      <c r="AD654">
        <v>3</v>
      </c>
      <c r="AE654">
        <v>10</v>
      </c>
      <c r="AF654">
        <v>0</v>
      </c>
      <c r="AG654">
        <v>0</v>
      </c>
      <c r="AH654">
        <v>9</v>
      </c>
      <c r="AI654">
        <f>IF(tbl_HRData[[#This Row],[Attrition]] = "Yes",1,0)</f>
        <v>0</v>
      </c>
      <c r="AJ654">
        <f>IF(tbl_HRData[[#This Row],[Attrition]] = "No",1,0)</f>
        <v>1</v>
      </c>
      <c r="AK654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654" s="1" t="str">
        <f>IF(tbl_HRData[[#This Row],[MonthlyIncome]]&lt;5000,"Low",
IF(tbl_HRData[[#This Row],[MonthlyIncome]]&lt;10000,"Medium",
IF(tbl_HRData[[#This Row],[MonthlyIncome]]&lt;15000,"Upper Medium","High")))</f>
        <v>Medium</v>
      </c>
      <c r="AM654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655" spans="1:39" x14ac:dyDescent="0.35">
      <c r="A655" s="1">
        <v>654</v>
      </c>
      <c r="B655">
        <v>50</v>
      </c>
      <c r="C655" s="1" t="s">
        <v>40</v>
      </c>
      <c r="D655" s="1" t="s">
        <v>52</v>
      </c>
      <c r="E655">
        <v>881</v>
      </c>
      <c r="F655" s="1" t="s">
        <v>42</v>
      </c>
      <c r="G655">
        <v>2</v>
      </c>
      <c r="H655">
        <v>4</v>
      </c>
      <c r="I655" s="1" t="s">
        <v>36</v>
      </c>
      <c r="J655">
        <v>905</v>
      </c>
      <c r="K655">
        <v>1</v>
      </c>
      <c r="L655" s="1" t="s">
        <v>43</v>
      </c>
      <c r="M655">
        <v>98</v>
      </c>
      <c r="N655">
        <v>3</v>
      </c>
      <c r="O655">
        <v>4</v>
      </c>
      <c r="P655" s="1" t="s">
        <v>53</v>
      </c>
      <c r="Q655">
        <v>1</v>
      </c>
      <c r="R655" s="1" t="s">
        <v>49</v>
      </c>
      <c r="S655">
        <v>17924</v>
      </c>
      <c r="T655">
        <v>4544</v>
      </c>
      <c r="U655">
        <v>1</v>
      </c>
      <c r="V655" s="1" t="s">
        <v>40</v>
      </c>
      <c r="W655">
        <v>11</v>
      </c>
      <c r="X655">
        <v>3</v>
      </c>
      <c r="Y655">
        <v>4</v>
      </c>
      <c r="Z655">
        <v>80</v>
      </c>
      <c r="AA655">
        <v>1</v>
      </c>
      <c r="AB655">
        <v>31</v>
      </c>
      <c r="AC655">
        <v>3</v>
      </c>
      <c r="AD655">
        <v>3</v>
      </c>
      <c r="AE655">
        <v>31</v>
      </c>
      <c r="AF655">
        <v>6</v>
      </c>
      <c r="AG655">
        <v>14</v>
      </c>
      <c r="AH655">
        <v>7</v>
      </c>
      <c r="AI655">
        <f>IF(tbl_HRData[[#This Row],[Attrition]] = "Yes",1,0)</f>
        <v>0</v>
      </c>
      <c r="AJ655">
        <f>IF(tbl_HRData[[#This Row],[Attrition]] = "No",1,0)</f>
        <v>1</v>
      </c>
      <c r="AK655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655" s="1" t="str">
        <f>IF(tbl_HRData[[#This Row],[MonthlyIncome]]&lt;5000,"Low",
IF(tbl_HRData[[#This Row],[MonthlyIncome]]&lt;10000,"Medium",
IF(tbl_HRData[[#This Row],[MonthlyIncome]]&lt;15000,"Upper Medium","High")))</f>
        <v>High</v>
      </c>
      <c r="AM655" s="1" t="str">
        <f>IF(tbl_HRData[[#This Row],[YearsAtCompany]]&lt;=5,"0-5 Years",
IF(tbl_HRData[[#This Row],[YearsAtCompany]]&lt;=10,"6-10 Years",
IF(tbl_HRData[[#This Row],[YearsAtCompany]]&lt;=20,"11-20 Years","21+ Years")))</f>
        <v>21+ Years</v>
      </c>
    </row>
    <row r="656" spans="1:39" x14ac:dyDescent="0.35">
      <c r="A656" s="1">
        <v>655</v>
      </c>
      <c r="B656">
        <v>39</v>
      </c>
      <c r="C656" s="1" t="s">
        <v>40</v>
      </c>
      <c r="D656" s="1" t="s">
        <v>34</v>
      </c>
      <c r="E656">
        <v>1383</v>
      </c>
      <c r="F656" s="1" t="s">
        <v>58</v>
      </c>
      <c r="G656">
        <v>2</v>
      </c>
      <c r="H656">
        <v>3</v>
      </c>
      <c r="I656" s="1" t="s">
        <v>36</v>
      </c>
      <c r="J656">
        <v>909</v>
      </c>
      <c r="K656">
        <v>4</v>
      </c>
      <c r="L656" s="1" t="s">
        <v>37</v>
      </c>
      <c r="M656">
        <v>42</v>
      </c>
      <c r="N656">
        <v>2</v>
      </c>
      <c r="O656">
        <v>2</v>
      </c>
      <c r="P656" s="1" t="s">
        <v>58</v>
      </c>
      <c r="Q656">
        <v>4</v>
      </c>
      <c r="R656" s="1" t="s">
        <v>45</v>
      </c>
      <c r="S656">
        <v>5204</v>
      </c>
      <c r="T656">
        <v>7790</v>
      </c>
      <c r="U656">
        <v>8</v>
      </c>
      <c r="V656" s="1" t="s">
        <v>40</v>
      </c>
      <c r="W656">
        <v>11</v>
      </c>
      <c r="X656">
        <v>3</v>
      </c>
      <c r="Y656">
        <v>3</v>
      </c>
      <c r="Z656">
        <v>80</v>
      </c>
      <c r="AA656">
        <v>2</v>
      </c>
      <c r="AB656">
        <v>13</v>
      </c>
      <c r="AC656">
        <v>2</v>
      </c>
      <c r="AD656">
        <v>3</v>
      </c>
      <c r="AE656">
        <v>5</v>
      </c>
      <c r="AF656">
        <v>4</v>
      </c>
      <c r="AG656">
        <v>0</v>
      </c>
      <c r="AH656">
        <v>4</v>
      </c>
      <c r="AI656">
        <f>IF(tbl_HRData[[#This Row],[Attrition]] = "Yes",1,0)</f>
        <v>0</v>
      </c>
      <c r="AJ656">
        <f>IF(tbl_HRData[[#This Row],[Attrition]] = "No",1,0)</f>
        <v>1</v>
      </c>
      <c r="AK656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656" s="1" t="str">
        <f>IF(tbl_HRData[[#This Row],[MonthlyIncome]]&lt;5000,"Low",
IF(tbl_HRData[[#This Row],[MonthlyIncome]]&lt;10000,"Medium",
IF(tbl_HRData[[#This Row],[MonthlyIncome]]&lt;15000,"Upper Medium","High")))</f>
        <v>Medium</v>
      </c>
      <c r="AM656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657" spans="1:39" x14ac:dyDescent="0.35">
      <c r="A657" s="1">
        <v>656</v>
      </c>
      <c r="B657">
        <v>33</v>
      </c>
      <c r="C657" s="1" t="s">
        <v>40</v>
      </c>
      <c r="D657" s="1" t="s">
        <v>34</v>
      </c>
      <c r="E657">
        <v>1075</v>
      </c>
      <c r="F657" s="1" t="s">
        <v>58</v>
      </c>
      <c r="G657">
        <v>3</v>
      </c>
      <c r="H657">
        <v>2</v>
      </c>
      <c r="I657" s="1" t="s">
        <v>58</v>
      </c>
      <c r="J657">
        <v>910</v>
      </c>
      <c r="K657">
        <v>4</v>
      </c>
      <c r="L657" s="1" t="s">
        <v>43</v>
      </c>
      <c r="M657">
        <v>57</v>
      </c>
      <c r="N657">
        <v>3</v>
      </c>
      <c r="O657">
        <v>1</v>
      </c>
      <c r="P657" s="1" t="s">
        <v>58</v>
      </c>
      <c r="Q657">
        <v>2</v>
      </c>
      <c r="R657" s="1" t="s">
        <v>49</v>
      </c>
      <c r="S657">
        <v>2277</v>
      </c>
      <c r="T657">
        <v>22650</v>
      </c>
      <c r="U657">
        <v>3</v>
      </c>
      <c r="V657" s="1" t="s">
        <v>33</v>
      </c>
      <c r="W657">
        <v>11</v>
      </c>
      <c r="X657">
        <v>3</v>
      </c>
      <c r="Y657">
        <v>3</v>
      </c>
      <c r="Z657">
        <v>80</v>
      </c>
      <c r="AA657">
        <v>1</v>
      </c>
      <c r="AB657">
        <v>7</v>
      </c>
      <c r="AC657">
        <v>4</v>
      </c>
      <c r="AD657">
        <v>4</v>
      </c>
      <c r="AE657">
        <v>4</v>
      </c>
      <c r="AF657">
        <v>3</v>
      </c>
      <c r="AG657">
        <v>0</v>
      </c>
      <c r="AH657">
        <v>3</v>
      </c>
      <c r="AI657">
        <f>IF(tbl_HRData[[#This Row],[Attrition]] = "Yes",1,0)</f>
        <v>0</v>
      </c>
      <c r="AJ657">
        <f>IF(tbl_HRData[[#This Row],[Attrition]] = "No",1,0)</f>
        <v>1</v>
      </c>
      <c r="AK657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657" s="1" t="str">
        <f>IF(tbl_HRData[[#This Row],[MonthlyIncome]]&lt;5000,"Low",
IF(tbl_HRData[[#This Row],[MonthlyIncome]]&lt;10000,"Medium",
IF(tbl_HRData[[#This Row],[MonthlyIncome]]&lt;15000,"Upper Medium","High")))</f>
        <v>Low</v>
      </c>
      <c r="AM657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658" spans="1:39" x14ac:dyDescent="0.35">
      <c r="A658" s="1">
        <v>657</v>
      </c>
      <c r="B658">
        <v>32</v>
      </c>
      <c r="C658" s="1" t="s">
        <v>33</v>
      </c>
      <c r="D658" s="1" t="s">
        <v>34</v>
      </c>
      <c r="E658">
        <v>374</v>
      </c>
      <c r="F658" s="1" t="s">
        <v>42</v>
      </c>
      <c r="G658">
        <v>25</v>
      </c>
      <c r="H658">
        <v>4</v>
      </c>
      <c r="I658" s="1" t="s">
        <v>36</v>
      </c>
      <c r="J658">
        <v>911</v>
      </c>
      <c r="K658">
        <v>1</v>
      </c>
      <c r="L658" s="1" t="s">
        <v>43</v>
      </c>
      <c r="M658">
        <v>87</v>
      </c>
      <c r="N658">
        <v>3</v>
      </c>
      <c r="O658">
        <v>1</v>
      </c>
      <c r="P658" s="1" t="s">
        <v>47</v>
      </c>
      <c r="Q658">
        <v>4</v>
      </c>
      <c r="R658" s="1" t="s">
        <v>39</v>
      </c>
      <c r="S658">
        <v>2795</v>
      </c>
      <c r="T658">
        <v>18016</v>
      </c>
      <c r="U658">
        <v>1</v>
      </c>
      <c r="V658" s="1" t="s">
        <v>33</v>
      </c>
      <c r="W658">
        <v>24</v>
      </c>
      <c r="X658">
        <v>4</v>
      </c>
      <c r="Y658">
        <v>3</v>
      </c>
      <c r="Z658">
        <v>80</v>
      </c>
      <c r="AA658">
        <v>0</v>
      </c>
      <c r="AB658">
        <v>1</v>
      </c>
      <c r="AC658">
        <v>2</v>
      </c>
      <c r="AD658">
        <v>1</v>
      </c>
      <c r="AE658">
        <v>1</v>
      </c>
      <c r="AF658">
        <v>0</v>
      </c>
      <c r="AG658">
        <v>0</v>
      </c>
      <c r="AH658">
        <v>1</v>
      </c>
      <c r="AI658">
        <f>IF(tbl_HRData[[#This Row],[Attrition]] = "Yes",1,0)</f>
        <v>1</v>
      </c>
      <c r="AJ658">
        <f>IF(tbl_HRData[[#This Row],[Attrition]] = "No",1,0)</f>
        <v>0</v>
      </c>
      <c r="AK658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658" s="1" t="str">
        <f>IF(tbl_HRData[[#This Row],[MonthlyIncome]]&lt;5000,"Low",
IF(tbl_HRData[[#This Row],[MonthlyIncome]]&lt;10000,"Medium",
IF(tbl_HRData[[#This Row],[MonthlyIncome]]&lt;15000,"Upper Medium","High")))</f>
        <v>Low</v>
      </c>
      <c r="AM658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659" spans="1:39" x14ac:dyDescent="0.35">
      <c r="A659" s="1">
        <v>658</v>
      </c>
      <c r="B659">
        <v>29</v>
      </c>
      <c r="C659" s="1" t="s">
        <v>40</v>
      </c>
      <c r="D659" s="1" t="s">
        <v>34</v>
      </c>
      <c r="E659">
        <v>1086</v>
      </c>
      <c r="F659" s="1" t="s">
        <v>42</v>
      </c>
      <c r="G659">
        <v>7</v>
      </c>
      <c r="H659">
        <v>1</v>
      </c>
      <c r="I659" s="1" t="s">
        <v>48</v>
      </c>
      <c r="J659">
        <v>912</v>
      </c>
      <c r="K659">
        <v>1</v>
      </c>
      <c r="L659" s="1" t="s">
        <v>37</v>
      </c>
      <c r="M659">
        <v>62</v>
      </c>
      <c r="N659">
        <v>2</v>
      </c>
      <c r="O659">
        <v>1</v>
      </c>
      <c r="P659" s="1" t="s">
        <v>47</v>
      </c>
      <c r="Q659">
        <v>4</v>
      </c>
      <c r="R659" s="1" t="s">
        <v>49</v>
      </c>
      <c r="S659">
        <v>2532</v>
      </c>
      <c r="T659">
        <v>6054</v>
      </c>
      <c r="U659">
        <v>6</v>
      </c>
      <c r="V659" s="1" t="s">
        <v>40</v>
      </c>
      <c r="W659">
        <v>14</v>
      </c>
      <c r="X659">
        <v>3</v>
      </c>
      <c r="Y659">
        <v>3</v>
      </c>
      <c r="Z659">
        <v>80</v>
      </c>
      <c r="AA659">
        <v>3</v>
      </c>
      <c r="AB659">
        <v>8</v>
      </c>
      <c r="AC659">
        <v>5</v>
      </c>
      <c r="AD659">
        <v>3</v>
      </c>
      <c r="AE659">
        <v>4</v>
      </c>
      <c r="AF659">
        <v>3</v>
      </c>
      <c r="AG659">
        <v>0</v>
      </c>
      <c r="AH659">
        <v>3</v>
      </c>
      <c r="AI659">
        <f>IF(tbl_HRData[[#This Row],[Attrition]] = "Yes",1,0)</f>
        <v>0</v>
      </c>
      <c r="AJ659">
        <f>IF(tbl_HRData[[#This Row],[Attrition]] = "No",1,0)</f>
        <v>1</v>
      </c>
      <c r="AK659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659" s="1" t="str">
        <f>IF(tbl_HRData[[#This Row],[MonthlyIncome]]&lt;5000,"Low",
IF(tbl_HRData[[#This Row],[MonthlyIncome]]&lt;10000,"Medium",
IF(tbl_HRData[[#This Row],[MonthlyIncome]]&lt;15000,"Upper Medium","High")))</f>
        <v>Low</v>
      </c>
      <c r="AM659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660" spans="1:39" x14ac:dyDescent="0.35">
      <c r="A660" s="1">
        <v>659</v>
      </c>
      <c r="B660">
        <v>44</v>
      </c>
      <c r="C660" s="1" t="s">
        <v>40</v>
      </c>
      <c r="D660" s="1" t="s">
        <v>34</v>
      </c>
      <c r="E660">
        <v>661</v>
      </c>
      <c r="F660" s="1" t="s">
        <v>42</v>
      </c>
      <c r="G660">
        <v>9</v>
      </c>
      <c r="H660">
        <v>2</v>
      </c>
      <c r="I660" s="1" t="s">
        <v>36</v>
      </c>
      <c r="J660">
        <v>913</v>
      </c>
      <c r="K660">
        <v>2</v>
      </c>
      <c r="L660" s="1" t="s">
        <v>43</v>
      </c>
      <c r="M660">
        <v>61</v>
      </c>
      <c r="N660">
        <v>3</v>
      </c>
      <c r="O660">
        <v>1</v>
      </c>
      <c r="P660" s="1" t="s">
        <v>44</v>
      </c>
      <c r="Q660">
        <v>1</v>
      </c>
      <c r="R660" s="1" t="s">
        <v>45</v>
      </c>
      <c r="S660">
        <v>2559</v>
      </c>
      <c r="T660">
        <v>7508</v>
      </c>
      <c r="U660">
        <v>1</v>
      </c>
      <c r="V660" s="1" t="s">
        <v>33</v>
      </c>
      <c r="W660">
        <v>13</v>
      </c>
      <c r="X660">
        <v>3</v>
      </c>
      <c r="Y660">
        <v>4</v>
      </c>
      <c r="Z660">
        <v>80</v>
      </c>
      <c r="AA660">
        <v>0</v>
      </c>
      <c r="AB660">
        <v>8</v>
      </c>
      <c r="AC660">
        <v>0</v>
      </c>
      <c r="AD660">
        <v>3</v>
      </c>
      <c r="AE660">
        <v>8</v>
      </c>
      <c r="AF660">
        <v>7</v>
      </c>
      <c r="AG660">
        <v>7</v>
      </c>
      <c r="AH660">
        <v>1</v>
      </c>
      <c r="AI660">
        <f>IF(tbl_HRData[[#This Row],[Attrition]] = "Yes",1,0)</f>
        <v>0</v>
      </c>
      <c r="AJ660">
        <f>IF(tbl_HRData[[#This Row],[Attrition]] = "No",1,0)</f>
        <v>1</v>
      </c>
      <c r="AK660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660" s="1" t="str">
        <f>IF(tbl_HRData[[#This Row],[MonthlyIncome]]&lt;5000,"Low",
IF(tbl_HRData[[#This Row],[MonthlyIncome]]&lt;10000,"Medium",
IF(tbl_HRData[[#This Row],[MonthlyIncome]]&lt;15000,"Upper Medium","High")))</f>
        <v>Low</v>
      </c>
      <c r="AM660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661" spans="1:39" x14ac:dyDescent="0.35">
      <c r="A661" s="1">
        <v>660</v>
      </c>
      <c r="B661">
        <v>28</v>
      </c>
      <c r="C661" s="1" t="s">
        <v>40</v>
      </c>
      <c r="D661" s="1" t="s">
        <v>34</v>
      </c>
      <c r="E661">
        <v>821</v>
      </c>
      <c r="F661" s="1" t="s">
        <v>35</v>
      </c>
      <c r="G661">
        <v>5</v>
      </c>
      <c r="H661">
        <v>4</v>
      </c>
      <c r="I661" s="1" t="s">
        <v>48</v>
      </c>
      <c r="J661">
        <v>916</v>
      </c>
      <c r="K661">
        <v>1</v>
      </c>
      <c r="L661" s="1" t="s">
        <v>43</v>
      </c>
      <c r="M661">
        <v>98</v>
      </c>
      <c r="N661">
        <v>3</v>
      </c>
      <c r="O661">
        <v>2</v>
      </c>
      <c r="P661" s="1" t="s">
        <v>38</v>
      </c>
      <c r="Q661">
        <v>4</v>
      </c>
      <c r="R661" s="1" t="s">
        <v>39</v>
      </c>
      <c r="S661">
        <v>4908</v>
      </c>
      <c r="T661">
        <v>24252</v>
      </c>
      <c r="U661">
        <v>1</v>
      </c>
      <c r="V661" s="1" t="s">
        <v>40</v>
      </c>
      <c r="W661">
        <v>14</v>
      </c>
      <c r="X661">
        <v>3</v>
      </c>
      <c r="Y661">
        <v>2</v>
      </c>
      <c r="Z661">
        <v>80</v>
      </c>
      <c r="AA661">
        <v>0</v>
      </c>
      <c r="AB661">
        <v>4</v>
      </c>
      <c r="AC661">
        <v>3</v>
      </c>
      <c r="AD661">
        <v>3</v>
      </c>
      <c r="AE661">
        <v>4</v>
      </c>
      <c r="AF661">
        <v>2</v>
      </c>
      <c r="AG661">
        <v>0</v>
      </c>
      <c r="AH661">
        <v>2</v>
      </c>
      <c r="AI661">
        <f>IF(tbl_HRData[[#This Row],[Attrition]] = "Yes",1,0)</f>
        <v>0</v>
      </c>
      <c r="AJ661">
        <f>IF(tbl_HRData[[#This Row],[Attrition]] = "No",1,0)</f>
        <v>1</v>
      </c>
      <c r="AK661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661" s="1" t="str">
        <f>IF(tbl_HRData[[#This Row],[MonthlyIncome]]&lt;5000,"Low",
IF(tbl_HRData[[#This Row],[MonthlyIncome]]&lt;10000,"Medium",
IF(tbl_HRData[[#This Row],[MonthlyIncome]]&lt;15000,"Upper Medium","High")))</f>
        <v>Low</v>
      </c>
      <c r="AM661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662" spans="1:39" x14ac:dyDescent="0.35">
      <c r="A662" s="1">
        <v>661</v>
      </c>
      <c r="B662">
        <v>58</v>
      </c>
      <c r="C662" s="1" t="s">
        <v>33</v>
      </c>
      <c r="D662" s="1" t="s">
        <v>41</v>
      </c>
      <c r="E662">
        <v>781</v>
      </c>
      <c r="F662" s="1" t="s">
        <v>42</v>
      </c>
      <c r="G662">
        <v>2</v>
      </c>
      <c r="H662">
        <v>1</v>
      </c>
      <c r="I662" s="1" t="s">
        <v>36</v>
      </c>
      <c r="J662">
        <v>918</v>
      </c>
      <c r="K662">
        <v>4</v>
      </c>
      <c r="L662" s="1" t="s">
        <v>43</v>
      </c>
      <c r="M662">
        <v>57</v>
      </c>
      <c r="N662">
        <v>2</v>
      </c>
      <c r="O662">
        <v>1</v>
      </c>
      <c r="P662" s="1" t="s">
        <v>47</v>
      </c>
      <c r="Q662">
        <v>4</v>
      </c>
      <c r="R662" s="1" t="s">
        <v>49</v>
      </c>
      <c r="S662">
        <v>2380</v>
      </c>
      <c r="T662">
        <v>13384</v>
      </c>
      <c r="U662">
        <v>9</v>
      </c>
      <c r="V662" s="1" t="s">
        <v>33</v>
      </c>
      <c r="W662">
        <v>14</v>
      </c>
      <c r="X662">
        <v>3</v>
      </c>
      <c r="Y662">
        <v>4</v>
      </c>
      <c r="Z662">
        <v>80</v>
      </c>
      <c r="AA662">
        <v>1</v>
      </c>
      <c r="AB662">
        <v>3</v>
      </c>
      <c r="AC662">
        <v>3</v>
      </c>
      <c r="AD662">
        <v>2</v>
      </c>
      <c r="AE662">
        <v>1</v>
      </c>
      <c r="AF662">
        <v>0</v>
      </c>
      <c r="AG662">
        <v>0</v>
      </c>
      <c r="AH662">
        <v>0</v>
      </c>
      <c r="AI662">
        <f>IF(tbl_HRData[[#This Row],[Attrition]] = "Yes",1,0)</f>
        <v>1</v>
      </c>
      <c r="AJ662">
        <f>IF(tbl_HRData[[#This Row],[Attrition]] = "No",1,0)</f>
        <v>0</v>
      </c>
      <c r="AK662" t="str">
        <f>IF(tbl_HRData[[#This Row],[Age]] &lt; 25, "Under 25", IF(tbl_HRData[[#This Row],[Age]] &lt;= 34, "25-34", IF(tbl_HRData[[#This Row],[Age]] &lt;= 44, "35-44", IF(tbl_HRData[[#This Row],[Age]] &lt;= 54, "45-54", "55+"))))</f>
        <v>55+</v>
      </c>
      <c r="AL662" s="1" t="str">
        <f>IF(tbl_HRData[[#This Row],[MonthlyIncome]]&lt;5000,"Low",
IF(tbl_HRData[[#This Row],[MonthlyIncome]]&lt;10000,"Medium",
IF(tbl_HRData[[#This Row],[MonthlyIncome]]&lt;15000,"Upper Medium","High")))</f>
        <v>Low</v>
      </c>
      <c r="AM662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663" spans="1:39" x14ac:dyDescent="0.35">
      <c r="A663" s="1">
        <v>662</v>
      </c>
      <c r="B663">
        <v>43</v>
      </c>
      <c r="C663" s="1" t="s">
        <v>40</v>
      </c>
      <c r="D663" s="1" t="s">
        <v>34</v>
      </c>
      <c r="E663">
        <v>177</v>
      </c>
      <c r="F663" s="1" t="s">
        <v>42</v>
      </c>
      <c r="G663">
        <v>8</v>
      </c>
      <c r="H663">
        <v>3</v>
      </c>
      <c r="I663" s="1" t="s">
        <v>36</v>
      </c>
      <c r="J663">
        <v>920</v>
      </c>
      <c r="K663">
        <v>1</v>
      </c>
      <c r="L663" s="1" t="s">
        <v>37</v>
      </c>
      <c r="M663">
        <v>55</v>
      </c>
      <c r="N663">
        <v>3</v>
      </c>
      <c r="O663">
        <v>2</v>
      </c>
      <c r="P663" s="1" t="s">
        <v>50</v>
      </c>
      <c r="Q663">
        <v>2</v>
      </c>
      <c r="R663" s="1" t="s">
        <v>49</v>
      </c>
      <c r="S663">
        <v>4765</v>
      </c>
      <c r="T663">
        <v>23814</v>
      </c>
      <c r="U663">
        <v>4</v>
      </c>
      <c r="V663" s="1" t="s">
        <v>40</v>
      </c>
      <c r="W663">
        <v>21</v>
      </c>
      <c r="X663">
        <v>4</v>
      </c>
      <c r="Y663">
        <v>3</v>
      </c>
      <c r="Z663">
        <v>80</v>
      </c>
      <c r="AA663">
        <v>1</v>
      </c>
      <c r="AB663">
        <v>4</v>
      </c>
      <c r="AC663">
        <v>2</v>
      </c>
      <c r="AD663">
        <v>4</v>
      </c>
      <c r="AE663">
        <v>1</v>
      </c>
      <c r="AF663">
        <v>0</v>
      </c>
      <c r="AG663">
        <v>0</v>
      </c>
      <c r="AH663">
        <v>0</v>
      </c>
      <c r="AI663">
        <f>IF(tbl_HRData[[#This Row],[Attrition]] = "Yes",1,0)</f>
        <v>0</v>
      </c>
      <c r="AJ663">
        <f>IF(tbl_HRData[[#This Row],[Attrition]] = "No",1,0)</f>
        <v>1</v>
      </c>
      <c r="AK663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663" s="1" t="str">
        <f>IF(tbl_HRData[[#This Row],[MonthlyIncome]]&lt;5000,"Low",
IF(tbl_HRData[[#This Row],[MonthlyIncome]]&lt;10000,"Medium",
IF(tbl_HRData[[#This Row],[MonthlyIncome]]&lt;15000,"Upper Medium","High")))</f>
        <v>Low</v>
      </c>
      <c r="AM663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664" spans="1:39" x14ac:dyDescent="0.35">
      <c r="A664" s="1">
        <v>663</v>
      </c>
      <c r="B664">
        <v>20</v>
      </c>
      <c r="C664" s="1" t="s">
        <v>33</v>
      </c>
      <c r="D664" s="1" t="s">
        <v>34</v>
      </c>
      <c r="E664">
        <v>500</v>
      </c>
      <c r="F664" s="1" t="s">
        <v>35</v>
      </c>
      <c r="G664">
        <v>2</v>
      </c>
      <c r="H664">
        <v>3</v>
      </c>
      <c r="I664" s="1" t="s">
        <v>48</v>
      </c>
      <c r="J664">
        <v>922</v>
      </c>
      <c r="K664">
        <v>3</v>
      </c>
      <c r="L664" s="1" t="s">
        <v>37</v>
      </c>
      <c r="M664">
        <v>49</v>
      </c>
      <c r="N664">
        <v>2</v>
      </c>
      <c r="O664">
        <v>1</v>
      </c>
      <c r="P664" s="1" t="s">
        <v>54</v>
      </c>
      <c r="Q664">
        <v>3</v>
      </c>
      <c r="R664" s="1" t="s">
        <v>39</v>
      </c>
      <c r="S664">
        <v>2044</v>
      </c>
      <c r="T664">
        <v>22052</v>
      </c>
      <c r="U664">
        <v>1</v>
      </c>
      <c r="V664" s="1" t="s">
        <v>40</v>
      </c>
      <c r="W664">
        <v>13</v>
      </c>
      <c r="X664">
        <v>3</v>
      </c>
      <c r="Y664">
        <v>4</v>
      </c>
      <c r="Z664">
        <v>80</v>
      </c>
      <c r="AA664">
        <v>0</v>
      </c>
      <c r="AB664">
        <v>2</v>
      </c>
      <c r="AC664">
        <v>3</v>
      </c>
      <c r="AD664">
        <v>2</v>
      </c>
      <c r="AE664">
        <v>2</v>
      </c>
      <c r="AF664">
        <v>2</v>
      </c>
      <c r="AG664">
        <v>0</v>
      </c>
      <c r="AH664">
        <v>2</v>
      </c>
      <c r="AI664">
        <f>IF(tbl_HRData[[#This Row],[Attrition]] = "Yes",1,0)</f>
        <v>1</v>
      </c>
      <c r="AJ664">
        <f>IF(tbl_HRData[[#This Row],[Attrition]] = "No",1,0)</f>
        <v>0</v>
      </c>
      <c r="AK664" t="str">
        <f>IF(tbl_HRData[[#This Row],[Age]] &lt; 25, "Under 25", IF(tbl_HRData[[#This Row],[Age]] &lt;= 34, "25-34", IF(tbl_HRData[[#This Row],[Age]] &lt;= 44, "35-44", IF(tbl_HRData[[#This Row],[Age]] &lt;= 54, "45-54", "55+"))))</f>
        <v>Under 25</v>
      </c>
      <c r="AL664" s="1" t="str">
        <f>IF(tbl_HRData[[#This Row],[MonthlyIncome]]&lt;5000,"Low",
IF(tbl_HRData[[#This Row],[MonthlyIncome]]&lt;10000,"Medium",
IF(tbl_HRData[[#This Row],[MonthlyIncome]]&lt;15000,"Upper Medium","High")))</f>
        <v>Low</v>
      </c>
      <c r="AM664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665" spans="1:39" x14ac:dyDescent="0.35">
      <c r="A665" s="1">
        <v>664</v>
      </c>
      <c r="B665">
        <v>21</v>
      </c>
      <c r="C665" s="1" t="s">
        <v>33</v>
      </c>
      <c r="D665" s="1" t="s">
        <v>34</v>
      </c>
      <c r="E665">
        <v>1427</v>
      </c>
      <c r="F665" s="1" t="s">
        <v>42</v>
      </c>
      <c r="G665">
        <v>18</v>
      </c>
      <c r="H665">
        <v>1</v>
      </c>
      <c r="I665" s="1" t="s">
        <v>46</v>
      </c>
      <c r="J665">
        <v>923</v>
      </c>
      <c r="K665">
        <v>4</v>
      </c>
      <c r="L665" s="1" t="s">
        <v>37</v>
      </c>
      <c r="M665">
        <v>65</v>
      </c>
      <c r="N665">
        <v>3</v>
      </c>
      <c r="O665">
        <v>1</v>
      </c>
      <c r="P665" s="1" t="s">
        <v>44</v>
      </c>
      <c r="Q665">
        <v>4</v>
      </c>
      <c r="R665" s="1" t="s">
        <v>39</v>
      </c>
      <c r="S665">
        <v>2693</v>
      </c>
      <c r="T665">
        <v>8870</v>
      </c>
      <c r="U665">
        <v>1</v>
      </c>
      <c r="V665" s="1" t="s">
        <v>40</v>
      </c>
      <c r="W665">
        <v>19</v>
      </c>
      <c r="X665">
        <v>3</v>
      </c>
      <c r="Y665">
        <v>1</v>
      </c>
      <c r="Z665">
        <v>80</v>
      </c>
      <c r="AA665">
        <v>0</v>
      </c>
      <c r="AB665">
        <v>1</v>
      </c>
      <c r="AC665">
        <v>3</v>
      </c>
      <c r="AD665">
        <v>2</v>
      </c>
      <c r="AE665">
        <v>1</v>
      </c>
      <c r="AF665">
        <v>0</v>
      </c>
      <c r="AG665">
        <v>0</v>
      </c>
      <c r="AH665">
        <v>0</v>
      </c>
      <c r="AI665">
        <f>IF(tbl_HRData[[#This Row],[Attrition]] = "Yes",1,0)</f>
        <v>1</v>
      </c>
      <c r="AJ665">
        <f>IF(tbl_HRData[[#This Row],[Attrition]] = "No",1,0)</f>
        <v>0</v>
      </c>
      <c r="AK665" t="str">
        <f>IF(tbl_HRData[[#This Row],[Age]] &lt; 25, "Under 25", IF(tbl_HRData[[#This Row],[Age]] &lt;= 34, "25-34", IF(tbl_HRData[[#This Row],[Age]] &lt;= 44, "35-44", IF(tbl_HRData[[#This Row],[Age]] &lt;= 54, "45-54", "55+"))))</f>
        <v>Under 25</v>
      </c>
      <c r="AL665" s="1" t="str">
        <f>IF(tbl_HRData[[#This Row],[MonthlyIncome]]&lt;5000,"Low",
IF(tbl_HRData[[#This Row],[MonthlyIncome]]&lt;10000,"Medium",
IF(tbl_HRData[[#This Row],[MonthlyIncome]]&lt;15000,"Upper Medium","High")))</f>
        <v>Low</v>
      </c>
      <c r="AM665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666" spans="1:39" x14ac:dyDescent="0.35">
      <c r="A666" s="1">
        <v>665</v>
      </c>
      <c r="B666">
        <v>36</v>
      </c>
      <c r="C666" s="1" t="s">
        <v>40</v>
      </c>
      <c r="D666" s="1" t="s">
        <v>34</v>
      </c>
      <c r="E666">
        <v>1425</v>
      </c>
      <c r="F666" s="1" t="s">
        <v>42</v>
      </c>
      <c r="G666">
        <v>14</v>
      </c>
      <c r="H666">
        <v>1</v>
      </c>
      <c r="I666" s="1" t="s">
        <v>36</v>
      </c>
      <c r="J666">
        <v>924</v>
      </c>
      <c r="K666">
        <v>3</v>
      </c>
      <c r="L666" s="1" t="s">
        <v>43</v>
      </c>
      <c r="M666">
        <v>68</v>
      </c>
      <c r="N666">
        <v>3</v>
      </c>
      <c r="O666">
        <v>2</v>
      </c>
      <c r="P666" s="1" t="s">
        <v>51</v>
      </c>
      <c r="Q666">
        <v>4</v>
      </c>
      <c r="R666" s="1" t="s">
        <v>45</v>
      </c>
      <c r="S666">
        <v>6586</v>
      </c>
      <c r="T666">
        <v>4821</v>
      </c>
      <c r="U666">
        <v>0</v>
      </c>
      <c r="V666" s="1" t="s">
        <v>33</v>
      </c>
      <c r="W666">
        <v>17</v>
      </c>
      <c r="X666">
        <v>3</v>
      </c>
      <c r="Y666">
        <v>1</v>
      </c>
      <c r="Z666">
        <v>80</v>
      </c>
      <c r="AA666">
        <v>1</v>
      </c>
      <c r="AB666">
        <v>17</v>
      </c>
      <c r="AC666">
        <v>2</v>
      </c>
      <c r="AD666">
        <v>2</v>
      </c>
      <c r="AE666">
        <v>16</v>
      </c>
      <c r="AF666">
        <v>8</v>
      </c>
      <c r="AG666">
        <v>4</v>
      </c>
      <c r="AH666">
        <v>11</v>
      </c>
      <c r="AI666">
        <f>IF(tbl_HRData[[#This Row],[Attrition]] = "Yes",1,0)</f>
        <v>0</v>
      </c>
      <c r="AJ666">
        <f>IF(tbl_HRData[[#This Row],[Attrition]] = "No",1,0)</f>
        <v>1</v>
      </c>
      <c r="AK666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666" s="1" t="str">
        <f>IF(tbl_HRData[[#This Row],[MonthlyIncome]]&lt;5000,"Low",
IF(tbl_HRData[[#This Row],[MonthlyIncome]]&lt;10000,"Medium",
IF(tbl_HRData[[#This Row],[MonthlyIncome]]&lt;15000,"Upper Medium","High")))</f>
        <v>Medium</v>
      </c>
      <c r="AM666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667" spans="1:39" x14ac:dyDescent="0.35">
      <c r="A667" s="1">
        <v>666</v>
      </c>
      <c r="B667">
        <v>47</v>
      </c>
      <c r="C667" s="1" t="s">
        <v>40</v>
      </c>
      <c r="D667" s="1" t="s">
        <v>34</v>
      </c>
      <c r="E667">
        <v>1454</v>
      </c>
      <c r="F667" s="1" t="s">
        <v>35</v>
      </c>
      <c r="G667">
        <v>2</v>
      </c>
      <c r="H667">
        <v>4</v>
      </c>
      <c r="I667" s="1" t="s">
        <v>36</v>
      </c>
      <c r="J667">
        <v>925</v>
      </c>
      <c r="K667">
        <v>4</v>
      </c>
      <c r="L667" s="1" t="s">
        <v>37</v>
      </c>
      <c r="M667">
        <v>65</v>
      </c>
      <c r="N667">
        <v>2</v>
      </c>
      <c r="O667">
        <v>1</v>
      </c>
      <c r="P667" s="1" t="s">
        <v>54</v>
      </c>
      <c r="Q667">
        <v>4</v>
      </c>
      <c r="R667" s="1" t="s">
        <v>39</v>
      </c>
      <c r="S667">
        <v>3294</v>
      </c>
      <c r="T667">
        <v>13137</v>
      </c>
      <c r="U667">
        <v>1</v>
      </c>
      <c r="V667" s="1" t="s">
        <v>33</v>
      </c>
      <c r="W667">
        <v>18</v>
      </c>
      <c r="X667">
        <v>3</v>
      </c>
      <c r="Y667">
        <v>1</v>
      </c>
      <c r="Z667">
        <v>80</v>
      </c>
      <c r="AA667">
        <v>0</v>
      </c>
      <c r="AB667">
        <v>3</v>
      </c>
      <c r="AC667">
        <v>3</v>
      </c>
      <c r="AD667">
        <v>2</v>
      </c>
      <c r="AE667">
        <v>3</v>
      </c>
      <c r="AF667">
        <v>2</v>
      </c>
      <c r="AG667">
        <v>1</v>
      </c>
      <c r="AH667">
        <v>2</v>
      </c>
      <c r="AI667">
        <f>IF(tbl_HRData[[#This Row],[Attrition]] = "Yes",1,0)</f>
        <v>0</v>
      </c>
      <c r="AJ667">
        <f>IF(tbl_HRData[[#This Row],[Attrition]] = "No",1,0)</f>
        <v>1</v>
      </c>
      <c r="AK667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667" s="1" t="str">
        <f>IF(tbl_HRData[[#This Row],[MonthlyIncome]]&lt;5000,"Low",
IF(tbl_HRData[[#This Row],[MonthlyIncome]]&lt;10000,"Medium",
IF(tbl_HRData[[#This Row],[MonthlyIncome]]&lt;15000,"Upper Medium","High")))</f>
        <v>Low</v>
      </c>
      <c r="AM667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668" spans="1:39" x14ac:dyDescent="0.35">
      <c r="A668" s="1">
        <v>667</v>
      </c>
      <c r="B668">
        <v>22</v>
      </c>
      <c r="C668" s="1" t="s">
        <v>33</v>
      </c>
      <c r="D668" s="1" t="s">
        <v>34</v>
      </c>
      <c r="E668">
        <v>617</v>
      </c>
      <c r="F668" s="1" t="s">
        <v>42</v>
      </c>
      <c r="G668">
        <v>3</v>
      </c>
      <c r="H668">
        <v>1</v>
      </c>
      <c r="I668" s="1" t="s">
        <v>36</v>
      </c>
      <c r="J668">
        <v>926</v>
      </c>
      <c r="K668">
        <v>2</v>
      </c>
      <c r="L668" s="1" t="s">
        <v>37</v>
      </c>
      <c r="M668">
        <v>34</v>
      </c>
      <c r="N668">
        <v>3</v>
      </c>
      <c r="O668">
        <v>2</v>
      </c>
      <c r="P668" s="1" t="s">
        <v>50</v>
      </c>
      <c r="Q668">
        <v>3</v>
      </c>
      <c r="R668" s="1" t="s">
        <v>45</v>
      </c>
      <c r="S668">
        <v>4171</v>
      </c>
      <c r="T668">
        <v>10022</v>
      </c>
      <c r="U668">
        <v>0</v>
      </c>
      <c r="V668" s="1" t="s">
        <v>33</v>
      </c>
      <c r="W668">
        <v>19</v>
      </c>
      <c r="X668">
        <v>3</v>
      </c>
      <c r="Y668">
        <v>1</v>
      </c>
      <c r="Z668">
        <v>80</v>
      </c>
      <c r="AA668">
        <v>1</v>
      </c>
      <c r="AB668">
        <v>4</v>
      </c>
      <c r="AC668">
        <v>3</v>
      </c>
      <c r="AD668">
        <v>4</v>
      </c>
      <c r="AE668">
        <v>3</v>
      </c>
      <c r="AF668">
        <v>2</v>
      </c>
      <c r="AG668">
        <v>0</v>
      </c>
      <c r="AH668">
        <v>2</v>
      </c>
      <c r="AI668">
        <f>IF(tbl_HRData[[#This Row],[Attrition]] = "Yes",1,0)</f>
        <v>1</v>
      </c>
      <c r="AJ668">
        <f>IF(tbl_HRData[[#This Row],[Attrition]] = "No",1,0)</f>
        <v>0</v>
      </c>
      <c r="AK668" t="str">
        <f>IF(tbl_HRData[[#This Row],[Age]] &lt; 25, "Under 25", IF(tbl_HRData[[#This Row],[Age]] &lt;= 34, "25-34", IF(tbl_HRData[[#This Row],[Age]] &lt;= 44, "35-44", IF(tbl_HRData[[#This Row],[Age]] &lt;= 54, "45-54", "55+"))))</f>
        <v>Under 25</v>
      </c>
      <c r="AL668" s="1" t="str">
        <f>IF(tbl_HRData[[#This Row],[MonthlyIncome]]&lt;5000,"Low",
IF(tbl_HRData[[#This Row],[MonthlyIncome]]&lt;10000,"Medium",
IF(tbl_HRData[[#This Row],[MonthlyIncome]]&lt;15000,"Upper Medium","High")))</f>
        <v>Low</v>
      </c>
      <c r="AM668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669" spans="1:39" x14ac:dyDescent="0.35">
      <c r="A669" s="1">
        <v>668</v>
      </c>
      <c r="B669">
        <v>41</v>
      </c>
      <c r="C669" s="1" t="s">
        <v>33</v>
      </c>
      <c r="D669" s="1" t="s">
        <v>34</v>
      </c>
      <c r="E669">
        <v>1085</v>
      </c>
      <c r="F669" s="1" t="s">
        <v>42</v>
      </c>
      <c r="G669">
        <v>2</v>
      </c>
      <c r="H669">
        <v>4</v>
      </c>
      <c r="I669" s="1" t="s">
        <v>36</v>
      </c>
      <c r="J669">
        <v>927</v>
      </c>
      <c r="K669">
        <v>2</v>
      </c>
      <c r="L669" s="1" t="s">
        <v>37</v>
      </c>
      <c r="M669">
        <v>57</v>
      </c>
      <c r="N669">
        <v>1</v>
      </c>
      <c r="O669">
        <v>1</v>
      </c>
      <c r="P669" s="1" t="s">
        <v>47</v>
      </c>
      <c r="Q669">
        <v>4</v>
      </c>
      <c r="R669" s="1" t="s">
        <v>49</v>
      </c>
      <c r="S669">
        <v>2778</v>
      </c>
      <c r="T669">
        <v>17725</v>
      </c>
      <c r="U669">
        <v>4</v>
      </c>
      <c r="V669" s="1" t="s">
        <v>33</v>
      </c>
      <c r="W669">
        <v>13</v>
      </c>
      <c r="X669">
        <v>3</v>
      </c>
      <c r="Y669">
        <v>3</v>
      </c>
      <c r="Z669">
        <v>80</v>
      </c>
      <c r="AA669">
        <v>1</v>
      </c>
      <c r="AB669">
        <v>10</v>
      </c>
      <c r="AC669">
        <v>1</v>
      </c>
      <c r="AD669">
        <v>2</v>
      </c>
      <c r="AE669">
        <v>7</v>
      </c>
      <c r="AF669">
        <v>7</v>
      </c>
      <c r="AG669">
        <v>1</v>
      </c>
      <c r="AH669">
        <v>0</v>
      </c>
      <c r="AI669">
        <f>IF(tbl_HRData[[#This Row],[Attrition]] = "Yes",1,0)</f>
        <v>1</v>
      </c>
      <c r="AJ669">
        <f>IF(tbl_HRData[[#This Row],[Attrition]] = "No",1,0)</f>
        <v>0</v>
      </c>
      <c r="AK669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669" s="1" t="str">
        <f>IF(tbl_HRData[[#This Row],[MonthlyIncome]]&lt;5000,"Low",
IF(tbl_HRData[[#This Row],[MonthlyIncome]]&lt;10000,"Medium",
IF(tbl_HRData[[#This Row],[MonthlyIncome]]&lt;15000,"Upper Medium","High")))</f>
        <v>Low</v>
      </c>
      <c r="AM669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670" spans="1:39" x14ac:dyDescent="0.35">
      <c r="A670" s="1">
        <v>669</v>
      </c>
      <c r="B670">
        <v>28</v>
      </c>
      <c r="C670" s="1" t="s">
        <v>40</v>
      </c>
      <c r="D670" s="1" t="s">
        <v>34</v>
      </c>
      <c r="E670">
        <v>995</v>
      </c>
      <c r="F670" s="1" t="s">
        <v>42</v>
      </c>
      <c r="G670">
        <v>9</v>
      </c>
      <c r="H670">
        <v>3</v>
      </c>
      <c r="I670" s="1" t="s">
        <v>48</v>
      </c>
      <c r="J670">
        <v>930</v>
      </c>
      <c r="K670">
        <v>3</v>
      </c>
      <c r="L670" s="1" t="s">
        <v>37</v>
      </c>
      <c r="M670">
        <v>77</v>
      </c>
      <c r="N670">
        <v>3</v>
      </c>
      <c r="O670">
        <v>1</v>
      </c>
      <c r="P670" s="1" t="s">
        <v>44</v>
      </c>
      <c r="Q670">
        <v>3</v>
      </c>
      <c r="R670" s="1" t="s">
        <v>49</v>
      </c>
      <c r="S670">
        <v>2377</v>
      </c>
      <c r="T670">
        <v>9834</v>
      </c>
      <c r="U670">
        <v>5</v>
      </c>
      <c r="V670" s="1" t="s">
        <v>40</v>
      </c>
      <c r="W670">
        <v>18</v>
      </c>
      <c r="X670">
        <v>3</v>
      </c>
      <c r="Y670">
        <v>2</v>
      </c>
      <c r="Z670">
        <v>80</v>
      </c>
      <c r="AA670">
        <v>1</v>
      </c>
      <c r="AB670">
        <v>6</v>
      </c>
      <c r="AC670">
        <v>2</v>
      </c>
      <c r="AD670">
        <v>3</v>
      </c>
      <c r="AE670">
        <v>2</v>
      </c>
      <c r="AF670">
        <v>2</v>
      </c>
      <c r="AG670">
        <v>2</v>
      </c>
      <c r="AH670">
        <v>2</v>
      </c>
      <c r="AI670">
        <f>IF(tbl_HRData[[#This Row],[Attrition]] = "Yes",1,0)</f>
        <v>0</v>
      </c>
      <c r="AJ670">
        <f>IF(tbl_HRData[[#This Row],[Attrition]] = "No",1,0)</f>
        <v>1</v>
      </c>
      <c r="AK670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670" s="1" t="str">
        <f>IF(tbl_HRData[[#This Row],[MonthlyIncome]]&lt;5000,"Low",
IF(tbl_HRData[[#This Row],[MonthlyIncome]]&lt;10000,"Medium",
IF(tbl_HRData[[#This Row],[MonthlyIncome]]&lt;15000,"Upper Medium","High")))</f>
        <v>Low</v>
      </c>
      <c r="AM670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671" spans="1:39" x14ac:dyDescent="0.35">
      <c r="A671" s="1">
        <v>670</v>
      </c>
      <c r="B671">
        <v>39</v>
      </c>
      <c r="C671" s="1" t="s">
        <v>33</v>
      </c>
      <c r="D671" s="1" t="s">
        <v>34</v>
      </c>
      <c r="E671">
        <v>1122</v>
      </c>
      <c r="F671" s="1" t="s">
        <v>42</v>
      </c>
      <c r="G671">
        <v>6</v>
      </c>
      <c r="H671">
        <v>3</v>
      </c>
      <c r="I671" s="1" t="s">
        <v>48</v>
      </c>
      <c r="J671">
        <v>932</v>
      </c>
      <c r="K671">
        <v>4</v>
      </c>
      <c r="L671" s="1" t="s">
        <v>43</v>
      </c>
      <c r="M671">
        <v>70</v>
      </c>
      <c r="N671">
        <v>3</v>
      </c>
      <c r="O671">
        <v>1</v>
      </c>
      <c r="P671" s="1" t="s">
        <v>47</v>
      </c>
      <c r="Q671">
        <v>1</v>
      </c>
      <c r="R671" s="1" t="s">
        <v>45</v>
      </c>
      <c r="S671">
        <v>2404</v>
      </c>
      <c r="T671">
        <v>4303</v>
      </c>
      <c r="U671">
        <v>7</v>
      </c>
      <c r="V671" s="1" t="s">
        <v>33</v>
      </c>
      <c r="W671">
        <v>21</v>
      </c>
      <c r="X671">
        <v>4</v>
      </c>
      <c r="Y671">
        <v>4</v>
      </c>
      <c r="Z671">
        <v>80</v>
      </c>
      <c r="AA671">
        <v>0</v>
      </c>
      <c r="AB671">
        <v>8</v>
      </c>
      <c r="AC671">
        <v>2</v>
      </c>
      <c r="AD671">
        <v>1</v>
      </c>
      <c r="AE671">
        <v>2</v>
      </c>
      <c r="AF671">
        <v>2</v>
      </c>
      <c r="AG671">
        <v>2</v>
      </c>
      <c r="AH671">
        <v>2</v>
      </c>
      <c r="AI671">
        <f>IF(tbl_HRData[[#This Row],[Attrition]] = "Yes",1,0)</f>
        <v>1</v>
      </c>
      <c r="AJ671">
        <f>IF(tbl_HRData[[#This Row],[Attrition]] = "No",1,0)</f>
        <v>0</v>
      </c>
      <c r="AK671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671" s="1" t="str">
        <f>IF(tbl_HRData[[#This Row],[MonthlyIncome]]&lt;5000,"Low",
IF(tbl_HRData[[#This Row],[MonthlyIncome]]&lt;10000,"Medium",
IF(tbl_HRData[[#This Row],[MonthlyIncome]]&lt;15000,"Upper Medium","High")))</f>
        <v>Low</v>
      </c>
      <c r="AM671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672" spans="1:39" x14ac:dyDescent="0.35">
      <c r="A672" s="1">
        <v>671</v>
      </c>
      <c r="B672">
        <v>27</v>
      </c>
      <c r="C672" s="1" t="s">
        <v>40</v>
      </c>
      <c r="D672" s="1" t="s">
        <v>34</v>
      </c>
      <c r="E672">
        <v>618</v>
      </c>
      <c r="F672" s="1" t="s">
        <v>42</v>
      </c>
      <c r="G672">
        <v>4</v>
      </c>
      <c r="H672">
        <v>3</v>
      </c>
      <c r="I672" s="1" t="s">
        <v>36</v>
      </c>
      <c r="J672">
        <v>933</v>
      </c>
      <c r="K672">
        <v>2</v>
      </c>
      <c r="L672" s="1" t="s">
        <v>37</v>
      </c>
      <c r="M672">
        <v>76</v>
      </c>
      <c r="N672">
        <v>3</v>
      </c>
      <c r="O672">
        <v>1</v>
      </c>
      <c r="P672" s="1" t="s">
        <v>44</v>
      </c>
      <c r="Q672">
        <v>3</v>
      </c>
      <c r="R672" s="1" t="s">
        <v>39</v>
      </c>
      <c r="S672">
        <v>2318</v>
      </c>
      <c r="T672">
        <v>17808</v>
      </c>
      <c r="U672">
        <v>1</v>
      </c>
      <c r="V672" s="1" t="s">
        <v>40</v>
      </c>
      <c r="W672">
        <v>19</v>
      </c>
      <c r="X672">
        <v>3</v>
      </c>
      <c r="Y672">
        <v>3</v>
      </c>
      <c r="Z672">
        <v>80</v>
      </c>
      <c r="AA672">
        <v>0</v>
      </c>
      <c r="AB672">
        <v>1</v>
      </c>
      <c r="AC672">
        <v>2</v>
      </c>
      <c r="AD672">
        <v>3</v>
      </c>
      <c r="AE672">
        <v>1</v>
      </c>
      <c r="AF672">
        <v>1</v>
      </c>
      <c r="AG672">
        <v>0</v>
      </c>
      <c r="AH672">
        <v>0</v>
      </c>
      <c r="AI672">
        <f>IF(tbl_HRData[[#This Row],[Attrition]] = "Yes",1,0)</f>
        <v>0</v>
      </c>
      <c r="AJ672">
        <f>IF(tbl_HRData[[#This Row],[Attrition]] = "No",1,0)</f>
        <v>1</v>
      </c>
      <c r="AK672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672" s="1" t="str">
        <f>IF(tbl_HRData[[#This Row],[MonthlyIncome]]&lt;5000,"Low",
IF(tbl_HRData[[#This Row],[MonthlyIncome]]&lt;10000,"Medium",
IF(tbl_HRData[[#This Row],[MonthlyIncome]]&lt;15000,"Upper Medium","High")))</f>
        <v>Low</v>
      </c>
      <c r="AM672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673" spans="1:39" x14ac:dyDescent="0.35">
      <c r="A673" s="1">
        <v>672</v>
      </c>
      <c r="B673">
        <v>34</v>
      </c>
      <c r="C673" s="1" t="s">
        <v>40</v>
      </c>
      <c r="D673" s="1" t="s">
        <v>34</v>
      </c>
      <c r="E673">
        <v>546</v>
      </c>
      <c r="F673" s="1" t="s">
        <v>42</v>
      </c>
      <c r="G673">
        <v>10</v>
      </c>
      <c r="H673">
        <v>3</v>
      </c>
      <c r="I673" s="1" t="s">
        <v>36</v>
      </c>
      <c r="J673">
        <v>934</v>
      </c>
      <c r="K673">
        <v>2</v>
      </c>
      <c r="L673" s="1" t="s">
        <v>43</v>
      </c>
      <c r="M673">
        <v>83</v>
      </c>
      <c r="N673">
        <v>3</v>
      </c>
      <c r="O673">
        <v>1</v>
      </c>
      <c r="P673" s="1" t="s">
        <v>47</v>
      </c>
      <c r="Q673">
        <v>2</v>
      </c>
      <c r="R673" s="1" t="s">
        <v>49</v>
      </c>
      <c r="S673">
        <v>2008</v>
      </c>
      <c r="T673">
        <v>6896</v>
      </c>
      <c r="U673">
        <v>1</v>
      </c>
      <c r="V673" s="1" t="s">
        <v>40</v>
      </c>
      <c r="W673">
        <v>14</v>
      </c>
      <c r="X673">
        <v>3</v>
      </c>
      <c r="Y673">
        <v>2</v>
      </c>
      <c r="Z673">
        <v>80</v>
      </c>
      <c r="AA673">
        <v>2</v>
      </c>
      <c r="AB673">
        <v>1</v>
      </c>
      <c r="AC673">
        <v>3</v>
      </c>
      <c r="AD673">
        <v>3</v>
      </c>
      <c r="AE673">
        <v>1</v>
      </c>
      <c r="AF673">
        <v>0</v>
      </c>
      <c r="AG673">
        <v>1</v>
      </c>
      <c r="AH673">
        <v>0</v>
      </c>
      <c r="AI673">
        <f>IF(tbl_HRData[[#This Row],[Attrition]] = "Yes",1,0)</f>
        <v>0</v>
      </c>
      <c r="AJ673">
        <f>IF(tbl_HRData[[#This Row],[Attrition]] = "No",1,0)</f>
        <v>1</v>
      </c>
      <c r="AK673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673" s="1" t="str">
        <f>IF(tbl_HRData[[#This Row],[MonthlyIncome]]&lt;5000,"Low",
IF(tbl_HRData[[#This Row],[MonthlyIncome]]&lt;10000,"Medium",
IF(tbl_HRData[[#This Row],[MonthlyIncome]]&lt;15000,"Upper Medium","High")))</f>
        <v>Low</v>
      </c>
      <c r="AM673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674" spans="1:39" x14ac:dyDescent="0.35">
      <c r="A674" s="1">
        <v>673</v>
      </c>
      <c r="B674">
        <v>42</v>
      </c>
      <c r="C674" s="1" t="s">
        <v>40</v>
      </c>
      <c r="D674" s="1" t="s">
        <v>34</v>
      </c>
      <c r="E674">
        <v>462</v>
      </c>
      <c r="F674" s="1" t="s">
        <v>35</v>
      </c>
      <c r="G674">
        <v>14</v>
      </c>
      <c r="H674">
        <v>2</v>
      </c>
      <c r="I674" s="1" t="s">
        <v>48</v>
      </c>
      <c r="J674">
        <v>936</v>
      </c>
      <c r="K674">
        <v>3</v>
      </c>
      <c r="L674" s="1" t="s">
        <v>37</v>
      </c>
      <c r="M674">
        <v>68</v>
      </c>
      <c r="N674">
        <v>2</v>
      </c>
      <c r="O674">
        <v>2</v>
      </c>
      <c r="P674" s="1" t="s">
        <v>38</v>
      </c>
      <c r="Q674">
        <v>3</v>
      </c>
      <c r="R674" s="1" t="s">
        <v>39</v>
      </c>
      <c r="S674">
        <v>6244</v>
      </c>
      <c r="T674">
        <v>7824</v>
      </c>
      <c r="U674">
        <v>7</v>
      </c>
      <c r="V674" s="1" t="s">
        <v>40</v>
      </c>
      <c r="W674">
        <v>17</v>
      </c>
      <c r="X674">
        <v>3</v>
      </c>
      <c r="Y674">
        <v>1</v>
      </c>
      <c r="Z674">
        <v>80</v>
      </c>
      <c r="AA674">
        <v>0</v>
      </c>
      <c r="AB674">
        <v>10</v>
      </c>
      <c r="AC674">
        <v>6</v>
      </c>
      <c r="AD674">
        <v>3</v>
      </c>
      <c r="AE674">
        <v>5</v>
      </c>
      <c r="AF674">
        <v>4</v>
      </c>
      <c r="AG674">
        <v>0</v>
      </c>
      <c r="AH674">
        <v>3</v>
      </c>
      <c r="AI674">
        <f>IF(tbl_HRData[[#This Row],[Attrition]] = "Yes",1,0)</f>
        <v>0</v>
      </c>
      <c r="AJ674">
        <f>IF(tbl_HRData[[#This Row],[Attrition]] = "No",1,0)</f>
        <v>1</v>
      </c>
      <c r="AK674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674" s="1" t="str">
        <f>IF(tbl_HRData[[#This Row],[MonthlyIncome]]&lt;5000,"Low",
IF(tbl_HRData[[#This Row],[MonthlyIncome]]&lt;10000,"Medium",
IF(tbl_HRData[[#This Row],[MonthlyIncome]]&lt;15000,"Upper Medium","High")))</f>
        <v>Medium</v>
      </c>
      <c r="AM674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675" spans="1:39" x14ac:dyDescent="0.35">
      <c r="A675" s="1">
        <v>674</v>
      </c>
      <c r="B675">
        <v>33</v>
      </c>
      <c r="C675" s="1" t="s">
        <v>40</v>
      </c>
      <c r="D675" s="1" t="s">
        <v>34</v>
      </c>
      <c r="E675">
        <v>1198</v>
      </c>
      <c r="F675" s="1" t="s">
        <v>42</v>
      </c>
      <c r="G675">
        <v>1</v>
      </c>
      <c r="H675">
        <v>4</v>
      </c>
      <c r="I675" s="1" t="s">
        <v>46</v>
      </c>
      <c r="J675">
        <v>939</v>
      </c>
      <c r="K675">
        <v>3</v>
      </c>
      <c r="L675" s="1" t="s">
        <v>43</v>
      </c>
      <c r="M675">
        <v>100</v>
      </c>
      <c r="N675">
        <v>2</v>
      </c>
      <c r="O675">
        <v>1</v>
      </c>
      <c r="P675" s="1" t="s">
        <v>44</v>
      </c>
      <c r="Q675">
        <v>1</v>
      </c>
      <c r="R675" s="1" t="s">
        <v>39</v>
      </c>
      <c r="S675">
        <v>2799</v>
      </c>
      <c r="T675">
        <v>3339</v>
      </c>
      <c r="U675">
        <v>3</v>
      </c>
      <c r="V675" s="1" t="s">
        <v>33</v>
      </c>
      <c r="W675">
        <v>11</v>
      </c>
      <c r="X675">
        <v>3</v>
      </c>
      <c r="Y675">
        <v>2</v>
      </c>
      <c r="Z675">
        <v>80</v>
      </c>
      <c r="AA675">
        <v>0</v>
      </c>
      <c r="AB675">
        <v>6</v>
      </c>
      <c r="AC675">
        <v>1</v>
      </c>
      <c r="AD675">
        <v>3</v>
      </c>
      <c r="AE675">
        <v>3</v>
      </c>
      <c r="AF675">
        <v>2</v>
      </c>
      <c r="AG675">
        <v>0</v>
      </c>
      <c r="AH675">
        <v>2</v>
      </c>
      <c r="AI675">
        <f>IF(tbl_HRData[[#This Row],[Attrition]] = "Yes",1,0)</f>
        <v>0</v>
      </c>
      <c r="AJ675">
        <f>IF(tbl_HRData[[#This Row],[Attrition]] = "No",1,0)</f>
        <v>1</v>
      </c>
      <c r="AK675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675" s="1" t="str">
        <f>IF(tbl_HRData[[#This Row],[MonthlyIncome]]&lt;5000,"Low",
IF(tbl_HRData[[#This Row],[MonthlyIncome]]&lt;10000,"Medium",
IF(tbl_HRData[[#This Row],[MonthlyIncome]]&lt;15000,"Upper Medium","High")))</f>
        <v>Low</v>
      </c>
      <c r="AM675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676" spans="1:39" x14ac:dyDescent="0.35">
      <c r="A676" s="1">
        <v>675</v>
      </c>
      <c r="B676">
        <v>58</v>
      </c>
      <c r="C676" s="1" t="s">
        <v>40</v>
      </c>
      <c r="D676" s="1" t="s">
        <v>34</v>
      </c>
      <c r="E676">
        <v>1272</v>
      </c>
      <c r="F676" s="1" t="s">
        <v>42</v>
      </c>
      <c r="G676">
        <v>5</v>
      </c>
      <c r="H676">
        <v>3</v>
      </c>
      <c r="I676" s="1" t="s">
        <v>57</v>
      </c>
      <c r="J676">
        <v>940</v>
      </c>
      <c r="K676">
        <v>3</v>
      </c>
      <c r="L676" s="1" t="s">
        <v>37</v>
      </c>
      <c r="M676">
        <v>37</v>
      </c>
      <c r="N676">
        <v>2</v>
      </c>
      <c r="O676">
        <v>3</v>
      </c>
      <c r="P676" s="1" t="s">
        <v>51</v>
      </c>
      <c r="Q676">
        <v>2</v>
      </c>
      <c r="R676" s="1" t="s">
        <v>49</v>
      </c>
      <c r="S676">
        <v>10552</v>
      </c>
      <c r="T676">
        <v>9255</v>
      </c>
      <c r="U676">
        <v>2</v>
      </c>
      <c r="V676" s="1" t="s">
        <v>33</v>
      </c>
      <c r="W676">
        <v>13</v>
      </c>
      <c r="X676">
        <v>3</v>
      </c>
      <c r="Y676">
        <v>4</v>
      </c>
      <c r="Z676">
        <v>80</v>
      </c>
      <c r="AA676">
        <v>1</v>
      </c>
      <c r="AB676">
        <v>24</v>
      </c>
      <c r="AC676">
        <v>3</v>
      </c>
      <c r="AD676">
        <v>3</v>
      </c>
      <c r="AE676">
        <v>6</v>
      </c>
      <c r="AF676">
        <v>0</v>
      </c>
      <c r="AG676">
        <v>0</v>
      </c>
      <c r="AH676">
        <v>4</v>
      </c>
      <c r="AI676">
        <f>IF(tbl_HRData[[#This Row],[Attrition]] = "Yes",1,0)</f>
        <v>0</v>
      </c>
      <c r="AJ676">
        <f>IF(tbl_HRData[[#This Row],[Attrition]] = "No",1,0)</f>
        <v>1</v>
      </c>
      <c r="AK676" t="str">
        <f>IF(tbl_HRData[[#This Row],[Age]] &lt; 25, "Under 25", IF(tbl_HRData[[#This Row],[Age]] &lt;= 34, "25-34", IF(tbl_HRData[[#This Row],[Age]] &lt;= 44, "35-44", IF(tbl_HRData[[#This Row],[Age]] &lt;= 54, "45-54", "55+"))))</f>
        <v>55+</v>
      </c>
      <c r="AL676" s="1" t="str">
        <f>IF(tbl_HRData[[#This Row],[MonthlyIncome]]&lt;5000,"Low",
IF(tbl_HRData[[#This Row],[MonthlyIncome]]&lt;10000,"Medium",
IF(tbl_HRData[[#This Row],[MonthlyIncome]]&lt;15000,"Upper Medium","High")))</f>
        <v>Upper Medium</v>
      </c>
      <c r="AM676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677" spans="1:39" x14ac:dyDescent="0.35">
      <c r="A677" s="1">
        <v>676</v>
      </c>
      <c r="B677">
        <v>31</v>
      </c>
      <c r="C677" s="1" t="s">
        <v>40</v>
      </c>
      <c r="D677" s="1" t="s">
        <v>34</v>
      </c>
      <c r="E677">
        <v>154</v>
      </c>
      <c r="F677" s="1" t="s">
        <v>35</v>
      </c>
      <c r="G677">
        <v>7</v>
      </c>
      <c r="H677">
        <v>4</v>
      </c>
      <c r="I677" s="1" t="s">
        <v>36</v>
      </c>
      <c r="J677">
        <v>941</v>
      </c>
      <c r="K677">
        <v>2</v>
      </c>
      <c r="L677" s="1" t="s">
        <v>43</v>
      </c>
      <c r="M677">
        <v>41</v>
      </c>
      <c r="N677">
        <v>2</v>
      </c>
      <c r="O677">
        <v>1</v>
      </c>
      <c r="P677" s="1" t="s">
        <v>54</v>
      </c>
      <c r="Q677">
        <v>3</v>
      </c>
      <c r="R677" s="1" t="s">
        <v>45</v>
      </c>
      <c r="S677">
        <v>2329</v>
      </c>
      <c r="T677">
        <v>11737</v>
      </c>
      <c r="U677">
        <v>3</v>
      </c>
      <c r="V677" s="1" t="s">
        <v>40</v>
      </c>
      <c r="W677">
        <v>15</v>
      </c>
      <c r="X677">
        <v>3</v>
      </c>
      <c r="Y677">
        <v>2</v>
      </c>
      <c r="Z677">
        <v>80</v>
      </c>
      <c r="AA677">
        <v>0</v>
      </c>
      <c r="AB677">
        <v>13</v>
      </c>
      <c r="AC677">
        <v>2</v>
      </c>
      <c r="AD677">
        <v>4</v>
      </c>
      <c r="AE677">
        <v>7</v>
      </c>
      <c r="AF677">
        <v>7</v>
      </c>
      <c r="AG677">
        <v>5</v>
      </c>
      <c r="AH677">
        <v>2</v>
      </c>
      <c r="AI677">
        <f>IF(tbl_HRData[[#This Row],[Attrition]] = "Yes",1,0)</f>
        <v>0</v>
      </c>
      <c r="AJ677">
        <f>IF(tbl_HRData[[#This Row],[Attrition]] = "No",1,0)</f>
        <v>1</v>
      </c>
      <c r="AK677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677" s="1" t="str">
        <f>IF(tbl_HRData[[#This Row],[MonthlyIncome]]&lt;5000,"Low",
IF(tbl_HRData[[#This Row],[MonthlyIncome]]&lt;10000,"Medium",
IF(tbl_HRData[[#This Row],[MonthlyIncome]]&lt;15000,"Upper Medium","High")))</f>
        <v>Low</v>
      </c>
      <c r="AM677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678" spans="1:39" x14ac:dyDescent="0.35">
      <c r="A678" s="1">
        <v>677</v>
      </c>
      <c r="B678">
        <v>35</v>
      </c>
      <c r="C678" s="1" t="s">
        <v>40</v>
      </c>
      <c r="D678" s="1" t="s">
        <v>34</v>
      </c>
      <c r="E678">
        <v>1137</v>
      </c>
      <c r="F678" s="1" t="s">
        <v>42</v>
      </c>
      <c r="G678">
        <v>21</v>
      </c>
      <c r="H678">
        <v>1</v>
      </c>
      <c r="I678" s="1" t="s">
        <v>36</v>
      </c>
      <c r="J678">
        <v>942</v>
      </c>
      <c r="K678">
        <v>4</v>
      </c>
      <c r="L678" s="1" t="s">
        <v>37</v>
      </c>
      <c r="M678">
        <v>51</v>
      </c>
      <c r="N678">
        <v>3</v>
      </c>
      <c r="O678">
        <v>2</v>
      </c>
      <c r="P678" s="1" t="s">
        <v>51</v>
      </c>
      <c r="Q678">
        <v>4</v>
      </c>
      <c r="R678" s="1" t="s">
        <v>45</v>
      </c>
      <c r="S678">
        <v>4014</v>
      </c>
      <c r="T678">
        <v>19170</v>
      </c>
      <c r="U678">
        <v>1</v>
      </c>
      <c r="V678" s="1" t="s">
        <v>33</v>
      </c>
      <c r="W678">
        <v>25</v>
      </c>
      <c r="X678">
        <v>4</v>
      </c>
      <c r="Y678">
        <v>4</v>
      </c>
      <c r="Z678">
        <v>80</v>
      </c>
      <c r="AA678">
        <v>1</v>
      </c>
      <c r="AB678">
        <v>10</v>
      </c>
      <c r="AC678">
        <v>2</v>
      </c>
      <c r="AD678">
        <v>1</v>
      </c>
      <c r="AE678">
        <v>10</v>
      </c>
      <c r="AF678">
        <v>6</v>
      </c>
      <c r="AG678">
        <v>0</v>
      </c>
      <c r="AH678">
        <v>7</v>
      </c>
      <c r="AI678">
        <f>IF(tbl_HRData[[#This Row],[Attrition]] = "Yes",1,0)</f>
        <v>0</v>
      </c>
      <c r="AJ678">
        <f>IF(tbl_HRData[[#This Row],[Attrition]] = "No",1,0)</f>
        <v>1</v>
      </c>
      <c r="AK678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678" s="1" t="str">
        <f>IF(tbl_HRData[[#This Row],[MonthlyIncome]]&lt;5000,"Low",
IF(tbl_HRData[[#This Row],[MonthlyIncome]]&lt;10000,"Medium",
IF(tbl_HRData[[#This Row],[MonthlyIncome]]&lt;15000,"Upper Medium","High")))</f>
        <v>Low</v>
      </c>
      <c r="AM678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679" spans="1:39" x14ac:dyDescent="0.35">
      <c r="A679" s="1">
        <v>678</v>
      </c>
      <c r="B679">
        <v>49</v>
      </c>
      <c r="C679" s="1" t="s">
        <v>40</v>
      </c>
      <c r="D679" s="1" t="s">
        <v>34</v>
      </c>
      <c r="E679">
        <v>527</v>
      </c>
      <c r="F679" s="1" t="s">
        <v>42</v>
      </c>
      <c r="G679">
        <v>8</v>
      </c>
      <c r="H679">
        <v>2</v>
      </c>
      <c r="I679" s="1" t="s">
        <v>46</v>
      </c>
      <c r="J679">
        <v>944</v>
      </c>
      <c r="K679">
        <v>1</v>
      </c>
      <c r="L679" s="1" t="s">
        <v>37</v>
      </c>
      <c r="M679">
        <v>51</v>
      </c>
      <c r="N679">
        <v>3</v>
      </c>
      <c r="O679">
        <v>3</v>
      </c>
      <c r="P679" s="1" t="s">
        <v>47</v>
      </c>
      <c r="Q679">
        <v>2</v>
      </c>
      <c r="R679" s="1" t="s">
        <v>45</v>
      </c>
      <c r="S679">
        <v>7403</v>
      </c>
      <c r="T679">
        <v>22477</v>
      </c>
      <c r="U679">
        <v>4</v>
      </c>
      <c r="V679" s="1" t="s">
        <v>40</v>
      </c>
      <c r="W679">
        <v>11</v>
      </c>
      <c r="X679">
        <v>3</v>
      </c>
      <c r="Y679">
        <v>3</v>
      </c>
      <c r="Z679">
        <v>80</v>
      </c>
      <c r="AA679">
        <v>1</v>
      </c>
      <c r="AB679">
        <v>29</v>
      </c>
      <c r="AC679">
        <v>3</v>
      </c>
      <c r="AD679">
        <v>2</v>
      </c>
      <c r="AE679">
        <v>26</v>
      </c>
      <c r="AF679">
        <v>9</v>
      </c>
      <c r="AG679">
        <v>1</v>
      </c>
      <c r="AH679">
        <v>7</v>
      </c>
      <c r="AI679">
        <f>IF(tbl_HRData[[#This Row],[Attrition]] = "Yes",1,0)</f>
        <v>0</v>
      </c>
      <c r="AJ679">
        <f>IF(tbl_HRData[[#This Row],[Attrition]] = "No",1,0)</f>
        <v>1</v>
      </c>
      <c r="AK679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679" s="1" t="str">
        <f>IF(tbl_HRData[[#This Row],[MonthlyIncome]]&lt;5000,"Low",
IF(tbl_HRData[[#This Row],[MonthlyIncome]]&lt;10000,"Medium",
IF(tbl_HRData[[#This Row],[MonthlyIncome]]&lt;15000,"Upper Medium","High")))</f>
        <v>Medium</v>
      </c>
      <c r="AM679" s="1" t="str">
        <f>IF(tbl_HRData[[#This Row],[YearsAtCompany]]&lt;=5,"0-5 Years",
IF(tbl_HRData[[#This Row],[YearsAtCompany]]&lt;=10,"6-10 Years",
IF(tbl_HRData[[#This Row],[YearsAtCompany]]&lt;=20,"11-20 Years","21+ Years")))</f>
        <v>21+ Years</v>
      </c>
    </row>
    <row r="680" spans="1:39" x14ac:dyDescent="0.35">
      <c r="A680" s="1">
        <v>679</v>
      </c>
      <c r="B680">
        <v>48</v>
      </c>
      <c r="C680" s="1" t="s">
        <v>40</v>
      </c>
      <c r="D680" s="1" t="s">
        <v>34</v>
      </c>
      <c r="E680">
        <v>1469</v>
      </c>
      <c r="F680" s="1" t="s">
        <v>42</v>
      </c>
      <c r="G680">
        <v>20</v>
      </c>
      <c r="H680">
        <v>4</v>
      </c>
      <c r="I680" s="1" t="s">
        <v>48</v>
      </c>
      <c r="J680">
        <v>945</v>
      </c>
      <c r="K680">
        <v>4</v>
      </c>
      <c r="L680" s="1" t="s">
        <v>43</v>
      </c>
      <c r="M680">
        <v>51</v>
      </c>
      <c r="N680">
        <v>3</v>
      </c>
      <c r="O680">
        <v>1</v>
      </c>
      <c r="P680" s="1" t="s">
        <v>44</v>
      </c>
      <c r="Q680">
        <v>3</v>
      </c>
      <c r="R680" s="1" t="s">
        <v>45</v>
      </c>
      <c r="S680">
        <v>2259</v>
      </c>
      <c r="T680">
        <v>5543</v>
      </c>
      <c r="U680">
        <v>4</v>
      </c>
      <c r="V680" s="1" t="s">
        <v>40</v>
      </c>
      <c r="W680">
        <v>17</v>
      </c>
      <c r="X680">
        <v>3</v>
      </c>
      <c r="Y680">
        <v>1</v>
      </c>
      <c r="Z680">
        <v>80</v>
      </c>
      <c r="AA680">
        <v>2</v>
      </c>
      <c r="AB680">
        <v>13</v>
      </c>
      <c r="AC680">
        <v>2</v>
      </c>
      <c r="AD680">
        <v>2</v>
      </c>
      <c r="AE680">
        <v>0</v>
      </c>
      <c r="AF680">
        <v>0</v>
      </c>
      <c r="AG680">
        <v>0</v>
      </c>
      <c r="AH680">
        <v>0</v>
      </c>
      <c r="AI680">
        <f>IF(tbl_HRData[[#This Row],[Attrition]] = "Yes",1,0)</f>
        <v>0</v>
      </c>
      <c r="AJ680">
        <f>IF(tbl_HRData[[#This Row],[Attrition]] = "No",1,0)</f>
        <v>1</v>
      </c>
      <c r="AK680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680" s="1" t="str">
        <f>IF(tbl_HRData[[#This Row],[MonthlyIncome]]&lt;5000,"Low",
IF(tbl_HRData[[#This Row],[MonthlyIncome]]&lt;10000,"Medium",
IF(tbl_HRData[[#This Row],[MonthlyIncome]]&lt;15000,"Upper Medium","High")))</f>
        <v>Low</v>
      </c>
      <c r="AM680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681" spans="1:39" x14ac:dyDescent="0.35">
      <c r="A681" s="1">
        <v>680</v>
      </c>
      <c r="B681">
        <v>31</v>
      </c>
      <c r="C681" s="1" t="s">
        <v>40</v>
      </c>
      <c r="D681" s="1" t="s">
        <v>52</v>
      </c>
      <c r="E681">
        <v>1188</v>
      </c>
      <c r="F681" s="1" t="s">
        <v>35</v>
      </c>
      <c r="G681">
        <v>20</v>
      </c>
      <c r="H681">
        <v>2</v>
      </c>
      <c r="I681" s="1" t="s">
        <v>56</v>
      </c>
      <c r="J681">
        <v>947</v>
      </c>
      <c r="K681">
        <v>4</v>
      </c>
      <c r="L681" s="1" t="s">
        <v>37</v>
      </c>
      <c r="M681">
        <v>45</v>
      </c>
      <c r="N681">
        <v>3</v>
      </c>
      <c r="O681">
        <v>2</v>
      </c>
      <c r="P681" s="1" t="s">
        <v>38</v>
      </c>
      <c r="Q681">
        <v>3</v>
      </c>
      <c r="R681" s="1" t="s">
        <v>45</v>
      </c>
      <c r="S681">
        <v>6932</v>
      </c>
      <c r="T681">
        <v>24406</v>
      </c>
      <c r="U681">
        <v>1</v>
      </c>
      <c r="V681" s="1" t="s">
        <v>40</v>
      </c>
      <c r="W681">
        <v>13</v>
      </c>
      <c r="X681">
        <v>3</v>
      </c>
      <c r="Y681">
        <v>4</v>
      </c>
      <c r="Z681">
        <v>80</v>
      </c>
      <c r="AA681">
        <v>1</v>
      </c>
      <c r="AB681">
        <v>9</v>
      </c>
      <c r="AC681">
        <v>2</v>
      </c>
      <c r="AD681">
        <v>2</v>
      </c>
      <c r="AE681">
        <v>9</v>
      </c>
      <c r="AF681">
        <v>8</v>
      </c>
      <c r="AG681">
        <v>0</v>
      </c>
      <c r="AH681">
        <v>0</v>
      </c>
      <c r="AI681">
        <f>IF(tbl_HRData[[#This Row],[Attrition]] = "Yes",1,0)</f>
        <v>0</v>
      </c>
      <c r="AJ681">
        <f>IF(tbl_HRData[[#This Row],[Attrition]] = "No",1,0)</f>
        <v>1</v>
      </c>
      <c r="AK681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681" s="1" t="str">
        <f>IF(tbl_HRData[[#This Row],[MonthlyIncome]]&lt;5000,"Low",
IF(tbl_HRData[[#This Row],[MonthlyIncome]]&lt;10000,"Medium",
IF(tbl_HRData[[#This Row],[MonthlyIncome]]&lt;15000,"Upper Medium","High")))</f>
        <v>Medium</v>
      </c>
      <c r="AM681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682" spans="1:39" x14ac:dyDescent="0.35">
      <c r="A682" s="1">
        <v>681</v>
      </c>
      <c r="B682">
        <v>36</v>
      </c>
      <c r="C682" s="1" t="s">
        <v>40</v>
      </c>
      <c r="D682" s="1" t="s">
        <v>34</v>
      </c>
      <c r="E682">
        <v>188</v>
      </c>
      <c r="F682" s="1" t="s">
        <v>42</v>
      </c>
      <c r="G682">
        <v>7</v>
      </c>
      <c r="H682">
        <v>4</v>
      </c>
      <c r="I682" s="1" t="s">
        <v>46</v>
      </c>
      <c r="J682">
        <v>949</v>
      </c>
      <c r="K682">
        <v>2</v>
      </c>
      <c r="L682" s="1" t="s">
        <v>43</v>
      </c>
      <c r="M682">
        <v>65</v>
      </c>
      <c r="N682">
        <v>3</v>
      </c>
      <c r="O682">
        <v>1</v>
      </c>
      <c r="P682" s="1" t="s">
        <v>44</v>
      </c>
      <c r="Q682">
        <v>4</v>
      </c>
      <c r="R682" s="1" t="s">
        <v>39</v>
      </c>
      <c r="S682">
        <v>4678</v>
      </c>
      <c r="T682">
        <v>23293</v>
      </c>
      <c r="U682">
        <v>2</v>
      </c>
      <c r="V682" s="1" t="s">
        <v>40</v>
      </c>
      <c r="W682">
        <v>18</v>
      </c>
      <c r="X682">
        <v>3</v>
      </c>
      <c r="Y682">
        <v>3</v>
      </c>
      <c r="Z682">
        <v>80</v>
      </c>
      <c r="AA682">
        <v>0</v>
      </c>
      <c r="AB682">
        <v>8</v>
      </c>
      <c r="AC682">
        <v>6</v>
      </c>
      <c r="AD682">
        <v>3</v>
      </c>
      <c r="AE682">
        <v>6</v>
      </c>
      <c r="AF682">
        <v>2</v>
      </c>
      <c r="AG682">
        <v>0</v>
      </c>
      <c r="AH682">
        <v>1</v>
      </c>
      <c r="AI682">
        <f>IF(tbl_HRData[[#This Row],[Attrition]] = "Yes",1,0)</f>
        <v>0</v>
      </c>
      <c r="AJ682">
        <f>IF(tbl_HRData[[#This Row],[Attrition]] = "No",1,0)</f>
        <v>1</v>
      </c>
      <c r="AK682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682" s="1" t="str">
        <f>IF(tbl_HRData[[#This Row],[MonthlyIncome]]&lt;5000,"Low",
IF(tbl_HRData[[#This Row],[MonthlyIncome]]&lt;10000,"Medium",
IF(tbl_HRData[[#This Row],[MonthlyIncome]]&lt;15000,"Upper Medium","High")))</f>
        <v>Low</v>
      </c>
      <c r="AM682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683" spans="1:39" x14ac:dyDescent="0.35">
      <c r="A683" s="1">
        <v>682</v>
      </c>
      <c r="B683">
        <v>38</v>
      </c>
      <c r="C683" s="1" t="s">
        <v>40</v>
      </c>
      <c r="D683" s="1" t="s">
        <v>34</v>
      </c>
      <c r="E683">
        <v>1333</v>
      </c>
      <c r="F683" s="1" t="s">
        <v>42</v>
      </c>
      <c r="G683">
        <v>1</v>
      </c>
      <c r="H683">
        <v>3</v>
      </c>
      <c r="I683" s="1" t="s">
        <v>57</v>
      </c>
      <c r="J683">
        <v>950</v>
      </c>
      <c r="K683">
        <v>4</v>
      </c>
      <c r="L683" s="1" t="s">
        <v>37</v>
      </c>
      <c r="M683">
        <v>80</v>
      </c>
      <c r="N683">
        <v>3</v>
      </c>
      <c r="O683">
        <v>3</v>
      </c>
      <c r="P683" s="1" t="s">
        <v>55</v>
      </c>
      <c r="Q683">
        <v>1</v>
      </c>
      <c r="R683" s="1" t="s">
        <v>45</v>
      </c>
      <c r="S683">
        <v>13582</v>
      </c>
      <c r="T683">
        <v>16292</v>
      </c>
      <c r="U683">
        <v>1</v>
      </c>
      <c r="V683" s="1" t="s">
        <v>40</v>
      </c>
      <c r="W683">
        <v>13</v>
      </c>
      <c r="X683">
        <v>3</v>
      </c>
      <c r="Y683">
        <v>2</v>
      </c>
      <c r="Z683">
        <v>80</v>
      </c>
      <c r="AA683">
        <v>1</v>
      </c>
      <c r="AB683">
        <v>15</v>
      </c>
      <c r="AC683">
        <v>3</v>
      </c>
      <c r="AD683">
        <v>3</v>
      </c>
      <c r="AE683">
        <v>15</v>
      </c>
      <c r="AF683">
        <v>12</v>
      </c>
      <c r="AG683">
        <v>5</v>
      </c>
      <c r="AH683">
        <v>11</v>
      </c>
      <c r="AI683">
        <f>IF(tbl_HRData[[#This Row],[Attrition]] = "Yes",1,0)</f>
        <v>0</v>
      </c>
      <c r="AJ683">
        <f>IF(tbl_HRData[[#This Row],[Attrition]] = "No",1,0)</f>
        <v>1</v>
      </c>
      <c r="AK683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683" s="1" t="str">
        <f>IF(tbl_HRData[[#This Row],[MonthlyIncome]]&lt;5000,"Low",
IF(tbl_HRData[[#This Row],[MonthlyIncome]]&lt;10000,"Medium",
IF(tbl_HRData[[#This Row],[MonthlyIncome]]&lt;15000,"Upper Medium","High")))</f>
        <v>Upper Medium</v>
      </c>
      <c r="AM683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684" spans="1:39" x14ac:dyDescent="0.35">
      <c r="A684" s="1">
        <v>683</v>
      </c>
      <c r="B684">
        <v>32</v>
      </c>
      <c r="C684" s="1" t="s">
        <v>40</v>
      </c>
      <c r="D684" s="1" t="s">
        <v>52</v>
      </c>
      <c r="E684">
        <v>1184</v>
      </c>
      <c r="F684" s="1" t="s">
        <v>42</v>
      </c>
      <c r="G684">
        <v>1</v>
      </c>
      <c r="H684">
        <v>3</v>
      </c>
      <c r="I684" s="1" t="s">
        <v>36</v>
      </c>
      <c r="J684">
        <v>951</v>
      </c>
      <c r="K684">
        <v>3</v>
      </c>
      <c r="L684" s="1" t="s">
        <v>37</v>
      </c>
      <c r="M684">
        <v>70</v>
      </c>
      <c r="N684">
        <v>2</v>
      </c>
      <c r="O684">
        <v>1</v>
      </c>
      <c r="P684" s="1" t="s">
        <v>47</v>
      </c>
      <c r="Q684">
        <v>2</v>
      </c>
      <c r="R684" s="1" t="s">
        <v>45</v>
      </c>
      <c r="S684">
        <v>2332</v>
      </c>
      <c r="T684">
        <v>3974</v>
      </c>
      <c r="U684">
        <v>6</v>
      </c>
      <c r="V684" s="1" t="s">
        <v>40</v>
      </c>
      <c r="W684">
        <v>20</v>
      </c>
      <c r="X684">
        <v>4</v>
      </c>
      <c r="Y684">
        <v>3</v>
      </c>
      <c r="Z684">
        <v>80</v>
      </c>
      <c r="AA684">
        <v>0</v>
      </c>
      <c r="AB684">
        <v>5</v>
      </c>
      <c r="AC684">
        <v>3</v>
      </c>
      <c r="AD684">
        <v>3</v>
      </c>
      <c r="AE684">
        <v>3</v>
      </c>
      <c r="AF684">
        <v>0</v>
      </c>
      <c r="AG684">
        <v>0</v>
      </c>
      <c r="AH684">
        <v>2</v>
      </c>
      <c r="AI684">
        <f>IF(tbl_HRData[[#This Row],[Attrition]] = "Yes",1,0)</f>
        <v>0</v>
      </c>
      <c r="AJ684">
        <f>IF(tbl_HRData[[#This Row],[Attrition]] = "No",1,0)</f>
        <v>1</v>
      </c>
      <c r="AK684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684" s="1" t="str">
        <f>IF(tbl_HRData[[#This Row],[MonthlyIncome]]&lt;5000,"Low",
IF(tbl_HRData[[#This Row],[MonthlyIncome]]&lt;10000,"Medium",
IF(tbl_HRData[[#This Row],[MonthlyIncome]]&lt;15000,"Upper Medium","High")))</f>
        <v>Low</v>
      </c>
      <c r="AM684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685" spans="1:39" x14ac:dyDescent="0.35">
      <c r="A685" s="1">
        <v>684</v>
      </c>
      <c r="B685">
        <v>25</v>
      </c>
      <c r="C685" s="1" t="s">
        <v>33</v>
      </c>
      <c r="D685" s="1" t="s">
        <v>34</v>
      </c>
      <c r="E685">
        <v>867</v>
      </c>
      <c r="F685" s="1" t="s">
        <v>35</v>
      </c>
      <c r="G685">
        <v>19</v>
      </c>
      <c r="H685">
        <v>2</v>
      </c>
      <c r="I685" s="1" t="s">
        <v>56</v>
      </c>
      <c r="J685">
        <v>952</v>
      </c>
      <c r="K685">
        <v>3</v>
      </c>
      <c r="L685" s="1" t="s">
        <v>43</v>
      </c>
      <c r="M685">
        <v>36</v>
      </c>
      <c r="N685">
        <v>2</v>
      </c>
      <c r="O685">
        <v>1</v>
      </c>
      <c r="P685" s="1" t="s">
        <v>54</v>
      </c>
      <c r="Q685">
        <v>2</v>
      </c>
      <c r="R685" s="1" t="s">
        <v>45</v>
      </c>
      <c r="S685">
        <v>2413</v>
      </c>
      <c r="T685">
        <v>18798</v>
      </c>
      <c r="U685">
        <v>1</v>
      </c>
      <c r="V685" s="1" t="s">
        <v>33</v>
      </c>
      <c r="W685">
        <v>18</v>
      </c>
      <c r="X685">
        <v>3</v>
      </c>
      <c r="Y685">
        <v>3</v>
      </c>
      <c r="Z685">
        <v>80</v>
      </c>
      <c r="AA685">
        <v>3</v>
      </c>
      <c r="AB685">
        <v>1</v>
      </c>
      <c r="AC685">
        <v>2</v>
      </c>
      <c r="AD685">
        <v>3</v>
      </c>
      <c r="AE685">
        <v>1</v>
      </c>
      <c r="AF685">
        <v>0</v>
      </c>
      <c r="AG685">
        <v>0</v>
      </c>
      <c r="AH685">
        <v>0</v>
      </c>
      <c r="AI685">
        <f>IF(tbl_HRData[[#This Row],[Attrition]] = "Yes",1,0)</f>
        <v>1</v>
      </c>
      <c r="AJ685">
        <f>IF(tbl_HRData[[#This Row],[Attrition]] = "No",1,0)</f>
        <v>0</v>
      </c>
      <c r="AK685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685" s="1" t="str">
        <f>IF(tbl_HRData[[#This Row],[MonthlyIncome]]&lt;5000,"Low",
IF(tbl_HRData[[#This Row],[MonthlyIncome]]&lt;10000,"Medium",
IF(tbl_HRData[[#This Row],[MonthlyIncome]]&lt;15000,"Upper Medium","High")))</f>
        <v>Low</v>
      </c>
      <c r="AM685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686" spans="1:39" x14ac:dyDescent="0.35">
      <c r="A686" s="1">
        <v>685</v>
      </c>
      <c r="B686">
        <v>40</v>
      </c>
      <c r="C686" s="1" t="s">
        <v>40</v>
      </c>
      <c r="D686" s="1" t="s">
        <v>34</v>
      </c>
      <c r="E686">
        <v>658</v>
      </c>
      <c r="F686" s="1" t="s">
        <v>35</v>
      </c>
      <c r="G686">
        <v>10</v>
      </c>
      <c r="H686">
        <v>4</v>
      </c>
      <c r="I686" s="1" t="s">
        <v>56</v>
      </c>
      <c r="J686">
        <v>954</v>
      </c>
      <c r="K686">
        <v>1</v>
      </c>
      <c r="L686" s="1" t="s">
        <v>43</v>
      </c>
      <c r="M686">
        <v>67</v>
      </c>
      <c r="N686">
        <v>2</v>
      </c>
      <c r="O686">
        <v>3</v>
      </c>
      <c r="P686" s="1" t="s">
        <v>38</v>
      </c>
      <c r="Q686">
        <v>2</v>
      </c>
      <c r="R686" s="1" t="s">
        <v>49</v>
      </c>
      <c r="S686">
        <v>9705</v>
      </c>
      <c r="T686">
        <v>20652</v>
      </c>
      <c r="U686">
        <v>2</v>
      </c>
      <c r="V686" s="1" t="s">
        <v>40</v>
      </c>
      <c r="W686">
        <v>12</v>
      </c>
      <c r="X686">
        <v>3</v>
      </c>
      <c r="Y686">
        <v>2</v>
      </c>
      <c r="Z686">
        <v>80</v>
      </c>
      <c r="AA686">
        <v>1</v>
      </c>
      <c r="AB686">
        <v>11</v>
      </c>
      <c r="AC686">
        <v>2</v>
      </c>
      <c r="AD686">
        <v>2</v>
      </c>
      <c r="AE686">
        <v>1</v>
      </c>
      <c r="AF686">
        <v>0</v>
      </c>
      <c r="AG686">
        <v>0</v>
      </c>
      <c r="AH686">
        <v>0</v>
      </c>
      <c r="AI686">
        <f>IF(tbl_HRData[[#This Row],[Attrition]] = "Yes",1,0)</f>
        <v>0</v>
      </c>
      <c r="AJ686">
        <f>IF(tbl_HRData[[#This Row],[Attrition]] = "No",1,0)</f>
        <v>1</v>
      </c>
      <c r="AK686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686" s="1" t="str">
        <f>IF(tbl_HRData[[#This Row],[MonthlyIncome]]&lt;5000,"Low",
IF(tbl_HRData[[#This Row],[MonthlyIncome]]&lt;10000,"Medium",
IF(tbl_HRData[[#This Row],[MonthlyIncome]]&lt;15000,"Upper Medium","High")))</f>
        <v>Medium</v>
      </c>
      <c r="AM686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687" spans="1:39" x14ac:dyDescent="0.35">
      <c r="A687" s="1">
        <v>686</v>
      </c>
      <c r="B687">
        <v>26</v>
      </c>
      <c r="C687" s="1" t="s">
        <v>40</v>
      </c>
      <c r="D687" s="1" t="s">
        <v>41</v>
      </c>
      <c r="E687">
        <v>1283</v>
      </c>
      <c r="F687" s="1" t="s">
        <v>35</v>
      </c>
      <c r="G687">
        <v>1</v>
      </c>
      <c r="H687">
        <v>3</v>
      </c>
      <c r="I687" s="1" t="s">
        <v>48</v>
      </c>
      <c r="J687">
        <v>956</v>
      </c>
      <c r="K687">
        <v>3</v>
      </c>
      <c r="L687" s="1" t="s">
        <v>43</v>
      </c>
      <c r="M687">
        <v>52</v>
      </c>
      <c r="N687">
        <v>2</v>
      </c>
      <c r="O687">
        <v>2</v>
      </c>
      <c r="P687" s="1" t="s">
        <v>38</v>
      </c>
      <c r="Q687">
        <v>1</v>
      </c>
      <c r="R687" s="1" t="s">
        <v>39</v>
      </c>
      <c r="S687">
        <v>4294</v>
      </c>
      <c r="T687">
        <v>11148</v>
      </c>
      <c r="U687">
        <v>1</v>
      </c>
      <c r="V687" s="1" t="s">
        <v>40</v>
      </c>
      <c r="W687">
        <v>12</v>
      </c>
      <c r="X687">
        <v>3</v>
      </c>
      <c r="Y687">
        <v>2</v>
      </c>
      <c r="Z687">
        <v>80</v>
      </c>
      <c r="AA687">
        <v>0</v>
      </c>
      <c r="AB687">
        <v>7</v>
      </c>
      <c r="AC687">
        <v>2</v>
      </c>
      <c r="AD687">
        <v>3</v>
      </c>
      <c r="AE687">
        <v>7</v>
      </c>
      <c r="AF687">
        <v>7</v>
      </c>
      <c r="AG687">
        <v>0</v>
      </c>
      <c r="AH687">
        <v>7</v>
      </c>
      <c r="AI687">
        <f>IF(tbl_HRData[[#This Row],[Attrition]] = "Yes",1,0)</f>
        <v>0</v>
      </c>
      <c r="AJ687">
        <f>IF(tbl_HRData[[#This Row],[Attrition]] = "No",1,0)</f>
        <v>1</v>
      </c>
      <c r="AK687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687" s="1" t="str">
        <f>IF(tbl_HRData[[#This Row],[MonthlyIncome]]&lt;5000,"Low",
IF(tbl_HRData[[#This Row],[MonthlyIncome]]&lt;10000,"Medium",
IF(tbl_HRData[[#This Row],[MonthlyIncome]]&lt;15000,"Upper Medium","High")))</f>
        <v>Low</v>
      </c>
      <c r="AM687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688" spans="1:39" x14ac:dyDescent="0.35">
      <c r="A688" s="1">
        <v>687</v>
      </c>
      <c r="B688">
        <v>41</v>
      </c>
      <c r="C688" s="1" t="s">
        <v>40</v>
      </c>
      <c r="D688" s="1" t="s">
        <v>34</v>
      </c>
      <c r="E688">
        <v>263</v>
      </c>
      <c r="F688" s="1" t="s">
        <v>42</v>
      </c>
      <c r="G688">
        <v>6</v>
      </c>
      <c r="H688">
        <v>3</v>
      </c>
      <c r="I688" s="1" t="s">
        <v>48</v>
      </c>
      <c r="J688">
        <v>957</v>
      </c>
      <c r="K688">
        <v>4</v>
      </c>
      <c r="L688" s="1" t="s">
        <v>43</v>
      </c>
      <c r="M688">
        <v>59</v>
      </c>
      <c r="N688">
        <v>3</v>
      </c>
      <c r="O688">
        <v>1</v>
      </c>
      <c r="P688" s="1" t="s">
        <v>47</v>
      </c>
      <c r="Q688">
        <v>1</v>
      </c>
      <c r="R688" s="1" t="s">
        <v>39</v>
      </c>
      <c r="S688">
        <v>4721</v>
      </c>
      <c r="T688">
        <v>3119</v>
      </c>
      <c r="U688">
        <v>2</v>
      </c>
      <c r="V688" s="1" t="s">
        <v>33</v>
      </c>
      <c r="W688">
        <v>13</v>
      </c>
      <c r="X688">
        <v>3</v>
      </c>
      <c r="Y688">
        <v>3</v>
      </c>
      <c r="Z688">
        <v>80</v>
      </c>
      <c r="AA688">
        <v>0</v>
      </c>
      <c r="AB688">
        <v>20</v>
      </c>
      <c r="AC688">
        <v>3</v>
      </c>
      <c r="AD688">
        <v>3</v>
      </c>
      <c r="AE688">
        <v>18</v>
      </c>
      <c r="AF688">
        <v>13</v>
      </c>
      <c r="AG688">
        <v>2</v>
      </c>
      <c r="AH688">
        <v>17</v>
      </c>
      <c r="AI688">
        <f>IF(tbl_HRData[[#This Row],[Attrition]] = "Yes",1,0)</f>
        <v>0</v>
      </c>
      <c r="AJ688">
        <f>IF(tbl_HRData[[#This Row],[Attrition]] = "No",1,0)</f>
        <v>1</v>
      </c>
      <c r="AK688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688" s="1" t="str">
        <f>IF(tbl_HRData[[#This Row],[MonthlyIncome]]&lt;5000,"Low",
IF(tbl_HRData[[#This Row],[MonthlyIncome]]&lt;10000,"Medium",
IF(tbl_HRData[[#This Row],[MonthlyIncome]]&lt;15000,"Upper Medium","High")))</f>
        <v>Low</v>
      </c>
      <c r="AM688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689" spans="1:39" x14ac:dyDescent="0.35">
      <c r="A689" s="1">
        <v>688</v>
      </c>
      <c r="B689">
        <v>36</v>
      </c>
      <c r="C689" s="1" t="s">
        <v>40</v>
      </c>
      <c r="D689" s="1" t="s">
        <v>34</v>
      </c>
      <c r="E689">
        <v>938</v>
      </c>
      <c r="F689" s="1" t="s">
        <v>42</v>
      </c>
      <c r="G689">
        <v>2</v>
      </c>
      <c r="H689">
        <v>4</v>
      </c>
      <c r="I689" s="1" t="s">
        <v>48</v>
      </c>
      <c r="J689">
        <v>958</v>
      </c>
      <c r="K689">
        <v>3</v>
      </c>
      <c r="L689" s="1" t="s">
        <v>43</v>
      </c>
      <c r="M689">
        <v>79</v>
      </c>
      <c r="N689">
        <v>3</v>
      </c>
      <c r="O689">
        <v>1</v>
      </c>
      <c r="P689" s="1" t="s">
        <v>47</v>
      </c>
      <c r="Q689">
        <v>3</v>
      </c>
      <c r="R689" s="1" t="s">
        <v>39</v>
      </c>
      <c r="S689">
        <v>2519</v>
      </c>
      <c r="T689">
        <v>12287</v>
      </c>
      <c r="U689">
        <v>4</v>
      </c>
      <c r="V689" s="1" t="s">
        <v>40</v>
      </c>
      <c r="W689">
        <v>21</v>
      </c>
      <c r="X689">
        <v>4</v>
      </c>
      <c r="Y689">
        <v>3</v>
      </c>
      <c r="Z689">
        <v>80</v>
      </c>
      <c r="AA689">
        <v>0</v>
      </c>
      <c r="AB689">
        <v>16</v>
      </c>
      <c r="AC689">
        <v>6</v>
      </c>
      <c r="AD689">
        <v>3</v>
      </c>
      <c r="AE689">
        <v>11</v>
      </c>
      <c r="AF689">
        <v>8</v>
      </c>
      <c r="AG689">
        <v>3</v>
      </c>
      <c r="AH689">
        <v>9</v>
      </c>
      <c r="AI689">
        <f>IF(tbl_HRData[[#This Row],[Attrition]] = "Yes",1,0)</f>
        <v>0</v>
      </c>
      <c r="AJ689">
        <f>IF(tbl_HRData[[#This Row],[Attrition]] = "No",1,0)</f>
        <v>1</v>
      </c>
      <c r="AK689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689" s="1" t="str">
        <f>IF(tbl_HRData[[#This Row],[MonthlyIncome]]&lt;5000,"Low",
IF(tbl_HRData[[#This Row],[MonthlyIncome]]&lt;10000,"Medium",
IF(tbl_HRData[[#This Row],[MonthlyIncome]]&lt;15000,"Upper Medium","High")))</f>
        <v>Low</v>
      </c>
      <c r="AM689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690" spans="1:39" x14ac:dyDescent="0.35">
      <c r="A690" s="1">
        <v>689</v>
      </c>
      <c r="B690">
        <v>19</v>
      </c>
      <c r="C690" s="1" t="s">
        <v>33</v>
      </c>
      <c r="D690" s="1" t="s">
        <v>34</v>
      </c>
      <c r="E690">
        <v>419</v>
      </c>
      <c r="F690" s="1" t="s">
        <v>35</v>
      </c>
      <c r="G690">
        <v>21</v>
      </c>
      <c r="H690">
        <v>3</v>
      </c>
      <c r="I690" s="1" t="s">
        <v>46</v>
      </c>
      <c r="J690">
        <v>959</v>
      </c>
      <c r="K690">
        <v>4</v>
      </c>
      <c r="L690" s="1" t="s">
        <v>43</v>
      </c>
      <c r="M690">
        <v>37</v>
      </c>
      <c r="N690">
        <v>2</v>
      </c>
      <c r="O690">
        <v>1</v>
      </c>
      <c r="P690" s="1" t="s">
        <v>54</v>
      </c>
      <c r="Q690">
        <v>2</v>
      </c>
      <c r="R690" s="1" t="s">
        <v>39</v>
      </c>
      <c r="S690">
        <v>2121</v>
      </c>
      <c r="T690">
        <v>9947</v>
      </c>
      <c r="U690">
        <v>1</v>
      </c>
      <c r="V690" s="1" t="s">
        <v>33</v>
      </c>
      <c r="W690">
        <v>13</v>
      </c>
      <c r="X690">
        <v>3</v>
      </c>
      <c r="Y690">
        <v>2</v>
      </c>
      <c r="Z690">
        <v>80</v>
      </c>
      <c r="AA690">
        <v>0</v>
      </c>
      <c r="AB690">
        <v>1</v>
      </c>
      <c r="AC690">
        <v>3</v>
      </c>
      <c r="AD690">
        <v>4</v>
      </c>
      <c r="AE690">
        <v>1</v>
      </c>
      <c r="AF690">
        <v>0</v>
      </c>
      <c r="AG690">
        <v>0</v>
      </c>
      <c r="AH690">
        <v>0</v>
      </c>
      <c r="AI690">
        <f>IF(tbl_HRData[[#This Row],[Attrition]] = "Yes",1,0)</f>
        <v>1</v>
      </c>
      <c r="AJ690">
        <f>IF(tbl_HRData[[#This Row],[Attrition]] = "No",1,0)</f>
        <v>0</v>
      </c>
      <c r="AK690" t="str">
        <f>IF(tbl_HRData[[#This Row],[Age]] &lt; 25, "Under 25", IF(tbl_HRData[[#This Row],[Age]] &lt;= 34, "25-34", IF(tbl_HRData[[#This Row],[Age]] &lt;= 44, "35-44", IF(tbl_HRData[[#This Row],[Age]] &lt;= 54, "45-54", "55+"))))</f>
        <v>Under 25</v>
      </c>
      <c r="AL690" s="1" t="str">
        <f>IF(tbl_HRData[[#This Row],[MonthlyIncome]]&lt;5000,"Low",
IF(tbl_HRData[[#This Row],[MonthlyIncome]]&lt;10000,"Medium",
IF(tbl_HRData[[#This Row],[MonthlyIncome]]&lt;15000,"Upper Medium","High")))</f>
        <v>Low</v>
      </c>
      <c r="AM690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691" spans="1:39" x14ac:dyDescent="0.35">
      <c r="A691" s="1">
        <v>690</v>
      </c>
      <c r="B691">
        <v>20</v>
      </c>
      <c r="C691" s="1" t="s">
        <v>33</v>
      </c>
      <c r="D691" s="1" t="s">
        <v>34</v>
      </c>
      <c r="E691">
        <v>129</v>
      </c>
      <c r="F691" s="1" t="s">
        <v>42</v>
      </c>
      <c r="G691">
        <v>4</v>
      </c>
      <c r="H691">
        <v>3</v>
      </c>
      <c r="I691" s="1" t="s">
        <v>57</v>
      </c>
      <c r="J691">
        <v>960</v>
      </c>
      <c r="K691">
        <v>1</v>
      </c>
      <c r="L691" s="1" t="s">
        <v>43</v>
      </c>
      <c r="M691">
        <v>84</v>
      </c>
      <c r="N691">
        <v>3</v>
      </c>
      <c r="O691">
        <v>1</v>
      </c>
      <c r="P691" s="1" t="s">
        <v>47</v>
      </c>
      <c r="Q691">
        <v>1</v>
      </c>
      <c r="R691" s="1" t="s">
        <v>39</v>
      </c>
      <c r="S691">
        <v>2973</v>
      </c>
      <c r="T691">
        <v>13008</v>
      </c>
      <c r="U691">
        <v>1</v>
      </c>
      <c r="V691" s="1" t="s">
        <v>40</v>
      </c>
      <c r="W691">
        <v>19</v>
      </c>
      <c r="X691">
        <v>3</v>
      </c>
      <c r="Y691">
        <v>2</v>
      </c>
      <c r="Z691">
        <v>80</v>
      </c>
      <c r="AA691">
        <v>0</v>
      </c>
      <c r="AB691">
        <v>1</v>
      </c>
      <c r="AC691">
        <v>2</v>
      </c>
      <c r="AD691">
        <v>3</v>
      </c>
      <c r="AE691">
        <v>1</v>
      </c>
      <c r="AF691">
        <v>0</v>
      </c>
      <c r="AG691">
        <v>0</v>
      </c>
      <c r="AH691">
        <v>0</v>
      </c>
      <c r="AI691">
        <f>IF(tbl_HRData[[#This Row],[Attrition]] = "Yes",1,0)</f>
        <v>1</v>
      </c>
      <c r="AJ691">
        <f>IF(tbl_HRData[[#This Row],[Attrition]] = "No",1,0)</f>
        <v>0</v>
      </c>
      <c r="AK691" t="str">
        <f>IF(tbl_HRData[[#This Row],[Age]] &lt; 25, "Under 25", IF(tbl_HRData[[#This Row],[Age]] &lt;= 34, "25-34", IF(tbl_HRData[[#This Row],[Age]] &lt;= 44, "35-44", IF(tbl_HRData[[#This Row],[Age]] &lt;= 54, "45-54", "55+"))))</f>
        <v>Under 25</v>
      </c>
      <c r="AL691" s="1" t="str">
        <f>IF(tbl_HRData[[#This Row],[MonthlyIncome]]&lt;5000,"Low",
IF(tbl_HRData[[#This Row],[MonthlyIncome]]&lt;10000,"Medium",
IF(tbl_HRData[[#This Row],[MonthlyIncome]]&lt;15000,"Upper Medium","High")))</f>
        <v>Low</v>
      </c>
      <c r="AM691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692" spans="1:39" x14ac:dyDescent="0.35">
      <c r="A692" s="1">
        <v>691</v>
      </c>
      <c r="B692">
        <v>31</v>
      </c>
      <c r="C692" s="1" t="s">
        <v>40</v>
      </c>
      <c r="D692" s="1" t="s">
        <v>34</v>
      </c>
      <c r="E692">
        <v>616</v>
      </c>
      <c r="F692" s="1" t="s">
        <v>42</v>
      </c>
      <c r="G692">
        <v>12</v>
      </c>
      <c r="H692">
        <v>3</v>
      </c>
      <c r="I692" s="1" t="s">
        <v>48</v>
      </c>
      <c r="J692">
        <v>961</v>
      </c>
      <c r="K692">
        <v>4</v>
      </c>
      <c r="L692" s="1" t="s">
        <v>37</v>
      </c>
      <c r="M692">
        <v>41</v>
      </c>
      <c r="N692">
        <v>3</v>
      </c>
      <c r="O692">
        <v>2</v>
      </c>
      <c r="P692" s="1" t="s">
        <v>51</v>
      </c>
      <c r="Q692">
        <v>4</v>
      </c>
      <c r="R692" s="1" t="s">
        <v>45</v>
      </c>
      <c r="S692">
        <v>5855</v>
      </c>
      <c r="T692">
        <v>17369</v>
      </c>
      <c r="U692">
        <v>0</v>
      </c>
      <c r="V692" s="1" t="s">
        <v>33</v>
      </c>
      <c r="W692">
        <v>11</v>
      </c>
      <c r="X692">
        <v>3</v>
      </c>
      <c r="Y692">
        <v>3</v>
      </c>
      <c r="Z692">
        <v>80</v>
      </c>
      <c r="AA692">
        <v>2</v>
      </c>
      <c r="AB692">
        <v>10</v>
      </c>
      <c r="AC692">
        <v>2</v>
      </c>
      <c r="AD692">
        <v>1</v>
      </c>
      <c r="AE692">
        <v>9</v>
      </c>
      <c r="AF692">
        <v>7</v>
      </c>
      <c r="AG692">
        <v>8</v>
      </c>
      <c r="AH692">
        <v>5</v>
      </c>
      <c r="AI692">
        <f>IF(tbl_HRData[[#This Row],[Attrition]] = "Yes",1,0)</f>
        <v>0</v>
      </c>
      <c r="AJ692">
        <f>IF(tbl_HRData[[#This Row],[Attrition]] = "No",1,0)</f>
        <v>1</v>
      </c>
      <c r="AK692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692" s="1" t="str">
        <f>IF(tbl_HRData[[#This Row],[MonthlyIncome]]&lt;5000,"Low",
IF(tbl_HRData[[#This Row],[MonthlyIncome]]&lt;10000,"Medium",
IF(tbl_HRData[[#This Row],[MonthlyIncome]]&lt;15000,"Upper Medium","High")))</f>
        <v>Medium</v>
      </c>
      <c r="AM692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693" spans="1:39" x14ac:dyDescent="0.35">
      <c r="A693" s="1">
        <v>692</v>
      </c>
      <c r="B693">
        <v>40</v>
      </c>
      <c r="C693" s="1" t="s">
        <v>40</v>
      </c>
      <c r="D693" s="1" t="s">
        <v>41</v>
      </c>
      <c r="E693">
        <v>1469</v>
      </c>
      <c r="F693" s="1" t="s">
        <v>42</v>
      </c>
      <c r="G693">
        <v>9</v>
      </c>
      <c r="H693">
        <v>4</v>
      </c>
      <c r="I693" s="1" t="s">
        <v>48</v>
      </c>
      <c r="J693">
        <v>964</v>
      </c>
      <c r="K693">
        <v>4</v>
      </c>
      <c r="L693" s="1" t="s">
        <v>43</v>
      </c>
      <c r="M693">
        <v>35</v>
      </c>
      <c r="N693">
        <v>3</v>
      </c>
      <c r="O693">
        <v>1</v>
      </c>
      <c r="P693" s="1" t="s">
        <v>44</v>
      </c>
      <c r="Q693">
        <v>2</v>
      </c>
      <c r="R693" s="1" t="s">
        <v>49</v>
      </c>
      <c r="S693">
        <v>3617</v>
      </c>
      <c r="T693">
        <v>25063</v>
      </c>
      <c r="U693">
        <v>8</v>
      </c>
      <c r="V693" s="1" t="s">
        <v>33</v>
      </c>
      <c r="W693">
        <v>14</v>
      </c>
      <c r="X693">
        <v>3</v>
      </c>
      <c r="Y693">
        <v>4</v>
      </c>
      <c r="Z693">
        <v>80</v>
      </c>
      <c r="AA693">
        <v>1</v>
      </c>
      <c r="AB693">
        <v>3</v>
      </c>
      <c r="AC693">
        <v>2</v>
      </c>
      <c r="AD693">
        <v>3</v>
      </c>
      <c r="AE693">
        <v>1</v>
      </c>
      <c r="AF693">
        <v>1</v>
      </c>
      <c r="AG693">
        <v>0</v>
      </c>
      <c r="AH693">
        <v>0</v>
      </c>
      <c r="AI693">
        <f>IF(tbl_HRData[[#This Row],[Attrition]] = "Yes",1,0)</f>
        <v>0</v>
      </c>
      <c r="AJ693">
        <f>IF(tbl_HRData[[#This Row],[Attrition]] = "No",1,0)</f>
        <v>1</v>
      </c>
      <c r="AK693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693" s="1" t="str">
        <f>IF(tbl_HRData[[#This Row],[MonthlyIncome]]&lt;5000,"Low",
IF(tbl_HRData[[#This Row],[MonthlyIncome]]&lt;10000,"Medium",
IF(tbl_HRData[[#This Row],[MonthlyIncome]]&lt;15000,"Upper Medium","High")))</f>
        <v>Low</v>
      </c>
      <c r="AM693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694" spans="1:39" x14ac:dyDescent="0.35">
      <c r="A694" s="1">
        <v>693</v>
      </c>
      <c r="B694">
        <v>32</v>
      </c>
      <c r="C694" s="1" t="s">
        <v>40</v>
      </c>
      <c r="D694" s="1" t="s">
        <v>34</v>
      </c>
      <c r="E694">
        <v>498</v>
      </c>
      <c r="F694" s="1" t="s">
        <v>42</v>
      </c>
      <c r="G694">
        <v>3</v>
      </c>
      <c r="H694">
        <v>4</v>
      </c>
      <c r="I694" s="1" t="s">
        <v>48</v>
      </c>
      <c r="J694">
        <v>966</v>
      </c>
      <c r="K694">
        <v>3</v>
      </c>
      <c r="L694" s="1" t="s">
        <v>37</v>
      </c>
      <c r="M694">
        <v>93</v>
      </c>
      <c r="N694">
        <v>3</v>
      </c>
      <c r="O694">
        <v>2</v>
      </c>
      <c r="P694" s="1" t="s">
        <v>50</v>
      </c>
      <c r="Q694">
        <v>1</v>
      </c>
      <c r="R694" s="1" t="s">
        <v>45</v>
      </c>
      <c r="S694">
        <v>6725</v>
      </c>
      <c r="T694">
        <v>13554</v>
      </c>
      <c r="U694">
        <v>1</v>
      </c>
      <c r="V694" s="1" t="s">
        <v>40</v>
      </c>
      <c r="W694">
        <v>12</v>
      </c>
      <c r="X694">
        <v>3</v>
      </c>
      <c r="Y694">
        <v>3</v>
      </c>
      <c r="Z694">
        <v>80</v>
      </c>
      <c r="AA694">
        <v>1</v>
      </c>
      <c r="AB694">
        <v>8</v>
      </c>
      <c r="AC694">
        <v>2</v>
      </c>
      <c r="AD694">
        <v>4</v>
      </c>
      <c r="AE694">
        <v>8</v>
      </c>
      <c r="AF694">
        <v>7</v>
      </c>
      <c r="AG694">
        <v>6</v>
      </c>
      <c r="AH694">
        <v>3</v>
      </c>
      <c r="AI694">
        <f>IF(tbl_HRData[[#This Row],[Attrition]] = "Yes",1,0)</f>
        <v>0</v>
      </c>
      <c r="AJ694">
        <f>IF(tbl_HRData[[#This Row],[Attrition]] = "No",1,0)</f>
        <v>1</v>
      </c>
      <c r="AK694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694" s="1" t="str">
        <f>IF(tbl_HRData[[#This Row],[MonthlyIncome]]&lt;5000,"Low",
IF(tbl_HRData[[#This Row],[MonthlyIncome]]&lt;10000,"Medium",
IF(tbl_HRData[[#This Row],[MonthlyIncome]]&lt;15000,"Upper Medium","High")))</f>
        <v>Medium</v>
      </c>
      <c r="AM694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695" spans="1:39" x14ac:dyDescent="0.35">
      <c r="A695" s="1">
        <v>694</v>
      </c>
      <c r="B695">
        <v>36</v>
      </c>
      <c r="C695" s="1" t="s">
        <v>33</v>
      </c>
      <c r="D695" s="1" t="s">
        <v>34</v>
      </c>
      <c r="E695">
        <v>530</v>
      </c>
      <c r="F695" s="1" t="s">
        <v>35</v>
      </c>
      <c r="G695">
        <v>3</v>
      </c>
      <c r="H695">
        <v>1</v>
      </c>
      <c r="I695" s="1" t="s">
        <v>36</v>
      </c>
      <c r="J695">
        <v>967</v>
      </c>
      <c r="K695">
        <v>3</v>
      </c>
      <c r="L695" s="1" t="s">
        <v>43</v>
      </c>
      <c r="M695">
        <v>51</v>
      </c>
      <c r="N695">
        <v>2</v>
      </c>
      <c r="O695">
        <v>3</v>
      </c>
      <c r="P695" s="1" t="s">
        <v>38</v>
      </c>
      <c r="Q695">
        <v>4</v>
      </c>
      <c r="R695" s="1" t="s">
        <v>45</v>
      </c>
      <c r="S695">
        <v>10325</v>
      </c>
      <c r="T695">
        <v>5518</v>
      </c>
      <c r="U695">
        <v>1</v>
      </c>
      <c r="V695" s="1" t="s">
        <v>33</v>
      </c>
      <c r="W695">
        <v>11</v>
      </c>
      <c r="X695">
        <v>3</v>
      </c>
      <c r="Y695">
        <v>1</v>
      </c>
      <c r="Z695">
        <v>80</v>
      </c>
      <c r="AA695">
        <v>1</v>
      </c>
      <c r="AB695">
        <v>16</v>
      </c>
      <c r="AC695">
        <v>6</v>
      </c>
      <c r="AD695">
        <v>3</v>
      </c>
      <c r="AE695">
        <v>16</v>
      </c>
      <c r="AF695">
        <v>7</v>
      </c>
      <c r="AG695">
        <v>3</v>
      </c>
      <c r="AH695">
        <v>7</v>
      </c>
      <c r="AI695">
        <f>IF(tbl_HRData[[#This Row],[Attrition]] = "Yes",1,0)</f>
        <v>1</v>
      </c>
      <c r="AJ695">
        <f>IF(tbl_HRData[[#This Row],[Attrition]] = "No",1,0)</f>
        <v>0</v>
      </c>
      <c r="AK695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695" s="1" t="str">
        <f>IF(tbl_HRData[[#This Row],[MonthlyIncome]]&lt;5000,"Low",
IF(tbl_HRData[[#This Row],[MonthlyIncome]]&lt;10000,"Medium",
IF(tbl_HRData[[#This Row],[MonthlyIncome]]&lt;15000,"Upper Medium","High")))</f>
        <v>Upper Medium</v>
      </c>
      <c r="AM695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696" spans="1:39" x14ac:dyDescent="0.35">
      <c r="A696" s="1">
        <v>695</v>
      </c>
      <c r="B696">
        <v>33</v>
      </c>
      <c r="C696" s="1" t="s">
        <v>40</v>
      </c>
      <c r="D696" s="1" t="s">
        <v>34</v>
      </c>
      <c r="E696">
        <v>1069</v>
      </c>
      <c r="F696" s="1" t="s">
        <v>42</v>
      </c>
      <c r="G696">
        <v>1</v>
      </c>
      <c r="H696">
        <v>3</v>
      </c>
      <c r="I696" s="1" t="s">
        <v>36</v>
      </c>
      <c r="J696">
        <v>969</v>
      </c>
      <c r="K696">
        <v>2</v>
      </c>
      <c r="L696" s="1" t="s">
        <v>37</v>
      </c>
      <c r="M696">
        <v>42</v>
      </c>
      <c r="N696">
        <v>2</v>
      </c>
      <c r="O696">
        <v>2</v>
      </c>
      <c r="P696" s="1" t="s">
        <v>51</v>
      </c>
      <c r="Q696">
        <v>4</v>
      </c>
      <c r="R696" s="1" t="s">
        <v>39</v>
      </c>
      <c r="S696">
        <v>6949</v>
      </c>
      <c r="T696">
        <v>12291</v>
      </c>
      <c r="U696">
        <v>0</v>
      </c>
      <c r="V696" s="1" t="s">
        <v>40</v>
      </c>
      <c r="W696">
        <v>14</v>
      </c>
      <c r="X696">
        <v>3</v>
      </c>
      <c r="Y696">
        <v>1</v>
      </c>
      <c r="Z696">
        <v>80</v>
      </c>
      <c r="AA696">
        <v>0</v>
      </c>
      <c r="AB696">
        <v>6</v>
      </c>
      <c r="AC696">
        <v>3</v>
      </c>
      <c r="AD696">
        <v>3</v>
      </c>
      <c r="AE696">
        <v>5</v>
      </c>
      <c r="AF696">
        <v>0</v>
      </c>
      <c r="AG696">
        <v>1</v>
      </c>
      <c r="AH696">
        <v>4</v>
      </c>
      <c r="AI696">
        <f>IF(tbl_HRData[[#This Row],[Attrition]] = "Yes",1,0)</f>
        <v>0</v>
      </c>
      <c r="AJ696">
        <f>IF(tbl_HRData[[#This Row],[Attrition]] = "No",1,0)</f>
        <v>1</v>
      </c>
      <c r="AK696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696" s="1" t="str">
        <f>IF(tbl_HRData[[#This Row],[MonthlyIncome]]&lt;5000,"Low",
IF(tbl_HRData[[#This Row],[MonthlyIncome]]&lt;10000,"Medium",
IF(tbl_HRData[[#This Row],[MonthlyIncome]]&lt;15000,"Upper Medium","High")))</f>
        <v>Medium</v>
      </c>
      <c r="AM696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697" spans="1:39" x14ac:dyDescent="0.35">
      <c r="A697" s="1">
        <v>696</v>
      </c>
      <c r="B697">
        <v>37</v>
      </c>
      <c r="C697" s="1" t="s">
        <v>33</v>
      </c>
      <c r="D697" s="1" t="s">
        <v>34</v>
      </c>
      <c r="E697">
        <v>625</v>
      </c>
      <c r="F697" s="1" t="s">
        <v>35</v>
      </c>
      <c r="G697">
        <v>1</v>
      </c>
      <c r="H697">
        <v>4</v>
      </c>
      <c r="I697" s="1" t="s">
        <v>36</v>
      </c>
      <c r="J697">
        <v>970</v>
      </c>
      <c r="K697">
        <v>1</v>
      </c>
      <c r="L697" s="1" t="s">
        <v>43</v>
      </c>
      <c r="M697">
        <v>46</v>
      </c>
      <c r="N697">
        <v>2</v>
      </c>
      <c r="O697">
        <v>3</v>
      </c>
      <c r="P697" s="1" t="s">
        <v>38</v>
      </c>
      <c r="Q697">
        <v>3</v>
      </c>
      <c r="R697" s="1" t="s">
        <v>45</v>
      </c>
      <c r="S697">
        <v>10609</v>
      </c>
      <c r="T697">
        <v>14922</v>
      </c>
      <c r="U697">
        <v>5</v>
      </c>
      <c r="V697" s="1" t="s">
        <v>40</v>
      </c>
      <c r="W697">
        <v>11</v>
      </c>
      <c r="X697">
        <v>3</v>
      </c>
      <c r="Y697">
        <v>3</v>
      </c>
      <c r="Z697">
        <v>80</v>
      </c>
      <c r="AA697">
        <v>0</v>
      </c>
      <c r="AB697">
        <v>17</v>
      </c>
      <c r="AC697">
        <v>2</v>
      </c>
      <c r="AD697">
        <v>1</v>
      </c>
      <c r="AE697">
        <v>14</v>
      </c>
      <c r="AF697">
        <v>1</v>
      </c>
      <c r="AG697">
        <v>11</v>
      </c>
      <c r="AH697">
        <v>7</v>
      </c>
      <c r="AI697">
        <f>IF(tbl_HRData[[#This Row],[Attrition]] = "Yes",1,0)</f>
        <v>1</v>
      </c>
      <c r="AJ697">
        <f>IF(tbl_HRData[[#This Row],[Attrition]] = "No",1,0)</f>
        <v>0</v>
      </c>
      <c r="AK697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697" s="1" t="str">
        <f>IF(tbl_HRData[[#This Row],[MonthlyIncome]]&lt;5000,"Low",
IF(tbl_HRData[[#This Row],[MonthlyIncome]]&lt;10000,"Medium",
IF(tbl_HRData[[#This Row],[MonthlyIncome]]&lt;15000,"Upper Medium","High")))</f>
        <v>Upper Medium</v>
      </c>
      <c r="AM697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698" spans="1:39" x14ac:dyDescent="0.35">
      <c r="A698" s="1">
        <v>697</v>
      </c>
      <c r="B698">
        <v>45</v>
      </c>
      <c r="C698" s="1" t="s">
        <v>40</v>
      </c>
      <c r="D698" s="1" t="s">
        <v>52</v>
      </c>
      <c r="E698">
        <v>805</v>
      </c>
      <c r="F698" s="1" t="s">
        <v>42</v>
      </c>
      <c r="G698">
        <v>4</v>
      </c>
      <c r="H698">
        <v>2</v>
      </c>
      <c r="I698" s="1" t="s">
        <v>36</v>
      </c>
      <c r="J698">
        <v>972</v>
      </c>
      <c r="K698">
        <v>3</v>
      </c>
      <c r="L698" s="1" t="s">
        <v>43</v>
      </c>
      <c r="M698">
        <v>57</v>
      </c>
      <c r="N698">
        <v>3</v>
      </c>
      <c r="O698">
        <v>2</v>
      </c>
      <c r="P698" s="1" t="s">
        <v>47</v>
      </c>
      <c r="Q698">
        <v>2</v>
      </c>
      <c r="R698" s="1" t="s">
        <v>45</v>
      </c>
      <c r="S698">
        <v>4447</v>
      </c>
      <c r="T698">
        <v>23163</v>
      </c>
      <c r="U698">
        <v>1</v>
      </c>
      <c r="V698" s="1" t="s">
        <v>40</v>
      </c>
      <c r="W698">
        <v>12</v>
      </c>
      <c r="X698">
        <v>3</v>
      </c>
      <c r="Y698">
        <v>2</v>
      </c>
      <c r="Z698">
        <v>80</v>
      </c>
      <c r="AA698">
        <v>0</v>
      </c>
      <c r="AB698">
        <v>9</v>
      </c>
      <c r="AC698">
        <v>5</v>
      </c>
      <c r="AD698">
        <v>2</v>
      </c>
      <c r="AE698">
        <v>9</v>
      </c>
      <c r="AF698">
        <v>7</v>
      </c>
      <c r="AG698">
        <v>0</v>
      </c>
      <c r="AH698">
        <v>8</v>
      </c>
      <c r="AI698">
        <f>IF(tbl_HRData[[#This Row],[Attrition]] = "Yes",1,0)</f>
        <v>0</v>
      </c>
      <c r="AJ698">
        <f>IF(tbl_HRData[[#This Row],[Attrition]] = "No",1,0)</f>
        <v>1</v>
      </c>
      <c r="AK698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698" s="1" t="str">
        <f>IF(tbl_HRData[[#This Row],[MonthlyIncome]]&lt;5000,"Low",
IF(tbl_HRData[[#This Row],[MonthlyIncome]]&lt;10000,"Medium",
IF(tbl_HRData[[#This Row],[MonthlyIncome]]&lt;15000,"Upper Medium","High")))</f>
        <v>Low</v>
      </c>
      <c r="AM698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699" spans="1:39" x14ac:dyDescent="0.35">
      <c r="A699" s="1">
        <v>698</v>
      </c>
      <c r="B699">
        <v>29</v>
      </c>
      <c r="C699" s="1" t="s">
        <v>40</v>
      </c>
      <c r="D699" s="1" t="s">
        <v>41</v>
      </c>
      <c r="E699">
        <v>1404</v>
      </c>
      <c r="F699" s="1" t="s">
        <v>35</v>
      </c>
      <c r="G699">
        <v>20</v>
      </c>
      <c r="H699">
        <v>3</v>
      </c>
      <c r="I699" s="1" t="s">
        <v>57</v>
      </c>
      <c r="J699">
        <v>974</v>
      </c>
      <c r="K699">
        <v>3</v>
      </c>
      <c r="L699" s="1" t="s">
        <v>37</v>
      </c>
      <c r="M699">
        <v>84</v>
      </c>
      <c r="N699">
        <v>3</v>
      </c>
      <c r="O699">
        <v>1</v>
      </c>
      <c r="P699" s="1" t="s">
        <v>54</v>
      </c>
      <c r="Q699">
        <v>4</v>
      </c>
      <c r="R699" s="1" t="s">
        <v>45</v>
      </c>
      <c r="S699">
        <v>2157</v>
      </c>
      <c r="T699">
        <v>18203</v>
      </c>
      <c r="U699">
        <v>1</v>
      </c>
      <c r="V699" s="1" t="s">
        <v>40</v>
      </c>
      <c r="W699">
        <v>15</v>
      </c>
      <c r="X699">
        <v>3</v>
      </c>
      <c r="Y699">
        <v>2</v>
      </c>
      <c r="Z699">
        <v>80</v>
      </c>
      <c r="AA699">
        <v>1</v>
      </c>
      <c r="AB699">
        <v>3</v>
      </c>
      <c r="AC699">
        <v>5</v>
      </c>
      <c r="AD699">
        <v>3</v>
      </c>
      <c r="AE699">
        <v>3</v>
      </c>
      <c r="AF699">
        <v>1</v>
      </c>
      <c r="AG699">
        <v>0</v>
      </c>
      <c r="AH699">
        <v>2</v>
      </c>
      <c r="AI699">
        <f>IF(tbl_HRData[[#This Row],[Attrition]] = "Yes",1,0)</f>
        <v>0</v>
      </c>
      <c r="AJ699">
        <f>IF(tbl_HRData[[#This Row],[Attrition]] = "No",1,0)</f>
        <v>1</v>
      </c>
      <c r="AK699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699" s="1" t="str">
        <f>IF(tbl_HRData[[#This Row],[MonthlyIncome]]&lt;5000,"Low",
IF(tbl_HRData[[#This Row],[MonthlyIncome]]&lt;10000,"Medium",
IF(tbl_HRData[[#This Row],[MonthlyIncome]]&lt;15000,"Upper Medium","High")))</f>
        <v>Low</v>
      </c>
      <c r="AM699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700" spans="1:39" x14ac:dyDescent="0.35">
      <c r="A700" s="1">
        <v>699</v>
      </c>
      <c r="B700">
        <v>35</v>
      </c>
      <c r="C700" s="1" t="s">
        <v>40</v>
      </c>
      <c r="D700" s="1" t="s">
        <v>34</v>
      </c>
      <c r="E700">
        <v>1219</v>
      </c>
      <c r="F700" s="1" t="s">
        <v>35</v>
      </c>
      <c r="G700">
        <v>18</v>
      </c>
      <c r="H700">
        <v>3</v>
      </c>
      <c r="I700" s="1" t="s">
        <v>48</v>
      </c>
      <c r="J700">
        <v>975</v>
      </c>
      <c r="K700">
        <v>3</v>
      </c>
      <c r="L700" s="1" t="s">
        <v>37</v>
      </c>
      <c r="M700">
        <v>86</v>
      </c>
      <c r="N700">
        <v>3</v>
      </c>
      <c r="O700">
        <v>2</v>
      </c>
      <c r="P700" s="1" t="s">
        <v>38</v>
      </c>
      <c r="Q700">
        <v>3</v>
      </c>
      <c r="R700" s="1" t="s">
        <v>45</v>
      </c>
      <c r="S700">
        <v>4601</v>
      </c>
      <c r="T700">
        <v>6179</v>
      </c>
      <c r="U700">
        <v>1</v>
      </c>
      <c r="V700" s="1" t="s">
        <v>40</v>
      </c>
      <c r="W700">
        <v>16</v>
      </c>
      <c r="X700">
        <v>3</v>
      </c>
      <c r="Y700">
        <v>2</v>
      </c>
      <c r="Z700">
        <v>80</v>
      </c>
      <c r="AA700">
        <v>0</v>
      </c>
      <c r="AB700">
        <v>5</v>
      </c>
      <c r="AC700">
        <v>3</v>
      </c>
      <c r="AD700">
        <v>3</v>
      </c>
      <c r="AE700">
        <v>5</v>
      </c>
      <c r="AF700">
        <v>2</v>
      </c>
      <c r="AG700">
        <v>1</v>
      </c>
      <c r="AH700">
        <v>0</v>
      </c>
      <c r="AI700">
        <f>IF(tbl_HRData[[#This Row],[Attrition]] = "Yes",1,0)</f>
        <v>0</v>
      </c>
      <c r="AJ700">
        <f>IF(tbl_HRData[[#This Row],[Attrition]] = "No",1,0)</f>
        <v>1</v>
      </c>
      <c r="AK700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700" s="1" t="str">
        <f>IF(tbl_HRData[[#This Row],[MonthlyIncome]]&lt;5000,"Low",
IF(tbl_HRData[[#This Row],[MonthlyIncome]]&lt;10000,"Medium",
IF(tbl_HRData[[#This Row],[MonthlyIncome]]&lt;15000,"Upper Medium","High")))</f>
        <v>Low</v>
      </c>
      <c r="AM700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701" spans="1:39" x14ac:dyDescent="0.35">
      <c r="A701" s="1">
        <v>700</v>
      </c>
      <c r="B701">
        <v>52</v>
      </c>
      <c r="C701" s="1" t="s">
        <v>40</v>
      </c>
      <c r="D701" s="1" t="s">
        <v>34</v>
      </c>
      <c r="E701">
        <v>1053</v>
      </c>
      <c r="F701" s="1" t="s">
        <v>42</v>
      </c>
      <c r="G701">
        <v>1</v>
      </c>
      <c r="H701">
        <v>2</v>
      </c>
      <c r="I701" s="1" t="s">
        <v>36</v>
      </c>
      <c r="J701">
        <v>976</v>
      </c>
      <c r="K701">
        <v>4</v>
      </c>
      <c r="L701" s="1" t="s">
        <v>43</v>
      </c>
      <c r="M701">
        <v>70</v>
      </c>
      <c r="N701">
        <v>3</v>
      </c>
      <c r="O701">
        <v>4</v>
      </c>
      <c r="P701" s="1" t="s">
        <v>53</v>
      </c>
      <c r="Q701">
        <v>4</v>
      </c>
      <c r="R701" s="1" t="s">
        <v>45</v>
      </c>
      <c r="S701">
        <v>17099</v>
      </c>
      <c r="T701">
        <v>13829</v>
      </c>
      <c r="U701">
        <v>2</v>
      </c>
      <c r="V701" s="1" t="s">
        <v>40</v>
      </c>
      <c r="W701">
        <v>15</v>
      </c>
      <c r="X701">
        <v>3</v>
      </c>
      <c r="Y701">
        <v>2</v>
      </c>
      <c r="Z701">
        <v>80</v>
      </c>
      <c r="AA701">
        <v>1</v>
      </c>
      <c r="AB701">
        <v>26</v>
      </c>
      <c r="AC701">
        <v>2</v>
      </c>
      <c r="AD701">
        <v>2</v>
      </c>
      <c r="AE701">
        <v>9</v>
      </c>
      <c r="AF701">
        <v>8</v>
      </c>
      <c r="AG701">
        <v>7</v>
      </c>
      <c r="AH701">
        <v>8</v>
      </c>
      <c r="AI701">
        <f>IF(tbl_HRData[[#This Row],[Attrition]] = "Yes",1,0)</f>
        <v>0</v>
      </c>
      <c r="AJ701">
        <f>IF(tbl_HRData[[#This Row],[Attrition]] = "No",1,0)</f>
        <v>1</v>
      </c>
      <c r="AK701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701" s="1" t="str">
        <f>IF(tbl_HRData[[#This Row],[MonthlyIncome]]&lt;5000,"Low",
IF(tbl_HRData[[#This Row],[MonthlyIncome]]&lt;10000,"Medium",
IF(tbl_HRData[[#This Row],[MonthlyIncome]]&lt;15000,"Upper Medium","High")))</f>
        <v>High</v>
      </c>
      <c r="AM701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702" spans="1:39" x14ac:dyDescent="0.35">
      <c r="A702" s="1">
        <v>701</v>
      </c>
      <c r="B702">
        <v>58</v>
      </c>
      <c r="C702" s="1" t="s">
        <v>33</v>
      </c>
      <c r="D702" s="1" t="s">
        <v>34</v>
      </c>
      <c r="E702">
        <v>289</v>
      </c>
      <c r="F702" s="1" t="s">
        <v>42</v>
      </c>
      <c r="G702">
        <v>2</v>
      </c>
      <c r="H702">
        <v>3</v>
      </c>
      <c r="I702" s="1" t="s">
        <v>57</v>
      </c>
      <c r="J702">
        <v>977</v>
      </c>
      <c r="K702">
        <v>4</v>
      </c>
      <c r="L702" s="1" t="s">
        <v>43</v>
      </c>
      <c r="M702">
        <v>51</v>
      </c>
      <c r="N702">
        <v>3</v>
      </c>
      <c r="O702">
        <v>1</v>
      </c>
      <c r="P702" s="1" t="s">
        <v>44</v>
      </c>
      <c r="Q702">
        <v>3</v>
      </c>
      <c r="R702" s="1" t="s">
        <v>39</v>
      </c>
      <c r="S702">
        <v>2479</v>
      </c>
      <c r="T702">
        <v>26227</v>
      </c>
      <c r="U702">
        <v>4</v>
      </c>
      <c r="V702" s="1" t="s">
        <v>40</v>
      </c>
      <c r="W702">
        <v>24</v>
      </c>
      <c r="X702">
        <v>4</v>
      </c>
      <c r="Y702">
        <v>1</v>
      </c>
      <c r="Z702">
        <v>80</v>
      </c>
      <c r="AA702">
        <v>0</v>
      </c>
      <c r="AB702">
        <v>7</v>
      </c>
      <c r="AC702">
        <v>4</v>
      </c>
      <c r="AD702">
        <v>3</v>
      </c>
      <c r="AE702">
        <v>1</v>
      </c>
      <c r="AF702">
        <v>0</v>
      </c>
      <c r="AG702">
        <v>0</v>
      </c>
      <c r="AH702">
        <v>0</v>
      </c>
      <c r="AI702">
        <f>IF(tbl_HRData[[#This Row],[Attrition]] = "Yes",1,0)</f>
        <v>1</v>
      </c>
      <c r="AJ702">
        <f>IF(tbl_HRData[[#This Row],[Attrition]] = "No",1,0)</f>
        <v>0</v>
      </c>
      <c r="AK702" t="str">
        <f>IF(tbl_HRData[[#This Row],[Age]] &lt; 25, "Under 25", IF(tbl_HRData[[#This Row],[Age]] &lt;= 34, "25-34", IF(tbl_HRData[[#This Row],[Age]] &lt;= 44, "35-44", IF(tbl_HRData[[#This Row],[Age]] &lt;= 54, "45-54", "55+"))))</f>
        <v>55+</v>
      </c>
      <c r="AL702" s="1" t="str">
        <f>IF(tbl_HRData[[#This Row],[MonthlyIncome]]&lt;5000,"Low",
IF(tbl_HRData[[#This Row],[MonthlyIncome]]&lt;10000,"Medium",
IF(tbl_HRData[[#This Row],[MonthlyIncome]]&lt;15000,"Upper Medium","High")))</f>
        <v>Low</v>
      </c>
      <c r="AM702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703" spans="1:39" x14ac:dyDescent="0.35">
      <c r="A703" s="1">
        <v>702</v>
      </c>
      <c r="B703">
        <v>53</v>
      </c>
      <c r="C703" s="1" t="s">
        <v>40</v>
      </c>
      <c r="D703" s="1" t="s">
        <v>34</v>
      </c>
      <c r="E703">
        <v>1376</v>
      </c>
      <c r="F703" s="1" t="s">
        <v>35</v>
      </c>
      <c r="G703">
        <v>2</v>
      </c>
      <c r="H703">
        <v>2</v>
      </c>
      <c r="I703" s="1" t="s">
        <v>48</v>
      </c>
      <c r="J703">
        <v>981</v>
      </c>
      <c r="K703">
        <v>3</v>
      </c>
      <c r="L703" s="1" t="s">
        <v>43</v>
      </c>
      <c r="M703">
        <v>45</v>
      </c>
      <c r="N703">
        <v>3</v>
      </c>
      <c r="O703">
        <v>4</v>
      </c>
      <c r="P703" s="1" t="s">
        <v>53</v>
      </c>
      <c r="Q703">
        <v>3</v>
      </c>
      <c r="R703" s="1" t="s">
        <v>49</v>
      </c>
      <c r="S703">
        <v>14852</v>
      </c>
      <c r="T703">
        <v>13938</v>
      </c>
      <c r="U703">
        <v>6</v>
      </c>
      <c r="V703" s="1" t="s">
        <v>40</v>
      </c>
      <c r="W703">
        <v>13</v>
      </c>
      <c r="X703">
        <v>3</v>
      </c>
      <c r="Y703">
        <v>3</v>
      </c>
      <c r="Z703">
        <v>80</v>
      </c>
      <c r="AA703">
        <v>1</v>
      </c>
      <c r="AB703">
        <v>22</v>
      </c>
      <c r="AC703">
        <v>3</v>
      </c>
      <c r="AD703">
        <v>4</v>
      </c>
      <c r="AE703">
        <v>17</v>
      </c>
      <c r="AF703">
        <v>13</v>
      </c>
      <c r="AG703">
        <v>15</v>
      </c>
      <c r="AH703">
        <v>2</v>
      </c>
      <c r="AI703">
        <f>IF(tbl_HRData[[#This Row],[Attrition]] = "Yes",1,0)</f>
        <v>0</v>
      </c>
      <c r="AJ703">
        <f>IF(tbl_HRData[[#This Row],[Attrition]] = "No",1,0)</f>
        <v>1</v>
      </c>
      <c r="AK703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703" s="1" t="str">
        <f>IF(tbl_HRData[[#This Row],[MonthlyIncome]]&lt;5000,"Low",
IF(tbl_HRData[[#This Row],[MonthlyIncome]]&lt;10000,"Medium",
IF(tbl_HRData[[#This Row],[MonthlyIncome]]&lt;15000,"Upper Medium","High")))</f>
        <v>Upper Medium</v>
      </c>
      <c r="AM703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704" spans="1:39" x14ac:dyDescent="0.35">
      <c r="A704" s="1">
        <v>703</v>
      </c>
      <c r="B704">
        <v>30</v>
      </c>
      <c r="C704" s="1" t="s">
        <v>40</v>
      </c>
      <c r="D704" s="1" t="s">
        <v>34</v>
      </c>
      <c r="E704">
        <v>231</v>
      </c>
      <c r="F704" s="1" t="s">
        <v>35</v>
      </c>
      <c r="G704">
        <v>8</v>
      </c>
      <c r="H704">
        <v>2</v>
      </c>
      <c r="I704" s="1" t="s">
        <v>46</v>
      </c>
      <c r="J704">
        <v>982</v>
      </c>
      <c r="K704">
        <v>3</v>
      </c>
      <c r="L704" s="1" t="s">
        <v>43</v>
      </c>
      <c r="M704">
        <v>62</v>
      </c>
      <c r="N704">
        <v>3</v>
      </c>
      <c r="O704">
        <v>3</v>
      </c>
      <c r="P704" s="1" t="s">
        <v>38</v>
      </c>
      <c r="Q704">
        <v>3</v>
      </c>
      <c r="R704" s="1" t="s">
        <v>49</v>
      </c>
      <c r="S704">
        <v>7264</v>
      </c>
      <c r="T704">
        <v>9977</v>
      </c>
      <c r="U704">
        <v>5</v>
      </c>
      <c r="V704" s="1" t="s">
        <v>40</v>
      </c>
      <c r="W704">
        <v>11</v>
      </c>
      <c r="X704">
        <v>3</v>
      </c>
      <c r="Y704">
        <v>1</v>
      </c>
      <c r="Z704">
        <v>80</v>
      </c>
      <c r="AA704">
        <v>1</v>
      </c>
      <c r="AB704">
        <v>10</v>
      </c>
      <c r="AC704">
        <v>2</v>
      </c>
      <c r="AD704">
        <v>4</v>
      </c>
      <c r="AE704">
        <v>8</v>
      </c>
      <c r="AF704">
        <v>4</v>
      </c>
      <c r="AG704">
        <v>7</v>
      </c>
      <c r="AH704">
        <v>7</v>
      </c>
      <c r="AI704">
        <f>IF(tbl_HRData[[#This Row],[Attrition]] = "Yes",1,0)</f>
        <v>0</v>
      </c>
      <c r="AJ704">
        <f>IF(tbl_HRData[[#This Row],[Attrition]] = "No",1,0)</f>
        <v>1</v>
      </c>
      <c r="AK704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704" s="1" t="str">
        <f>IF(tbl_HRData[[#This Row],[MonthlyIncome]]&lt;5000,"Low",
IF(tbl_HRData[[#This Row],[MonthlyIncome]]&lt;10000,"Medium",
IF(tbl_HRData[[#This Row],[MonthlyIncome]]&lt;15000,"Upper Medium","High")))</f>
        <v>Medium</v>
      </c>
      <c r="AM704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705" spans="1:39" x14ac:dyDescent="0.35">
      <c r="A705" s="1">
        <v>704</v>
      </c>
      <c r="B705">
        <v>38</v>
      </c>
      <c r="C705" s="1" t="s">
        <v>40</v>
      </c>
      <c r="D705" s="1" t="s">
        <v>52</v>
      </c>
      <c r="E705">
        <v>152</v>
      </c>
      <c r="F705" s="1" t="s">
        <v>35</v>
      </c>
      <c r="G705">
        <v>10</v>
      </c>
      <c r="H705">
        <v>3</v>
      </c>
      <c r="I705" s="1" t="s">
        <v>57</v>
      </c>
      <c r="J705">
        <v>983</v>
      </c>
      <c r="K705">
        <v>3</v>
      </c>
      <c r="L705" s="1" t="s">
        <v>37</v>
      </c>
      <c r="M705">
        <v>85</v>
      </c>
      <c r="N705">
        <v>3</v>
      </c>
      <c r="O705">
        <v>2</v>
      </c>
      <c r="P705" s="1" t="s">
        <v>38</v>
      </c>
      <c r="Q705">
        <v>4</v>
      </c>
      <c r="R705" s="1" t="s">
        <v>39</v>
      </c>
      <c r="S705">
        <v>5666</v>
      </c>
      <c r="T705">
        <v>19899</v>
      </c>
      <c r="U705">
        <v>1</v>
      </c>
      <c r="V705" s="1" t="s">
        <v>33</v>
      </c>
      <c r="W705">
        <v>13</v>
      </c>
      <c r="X705">
        <v>3</v>
      </c>
      <c r="Y705">
        <v>2</v>
      </c>
      <c r="Z705">
        <v>80</v>
      </c>
      <c r="AA705">
        <v>0</v>
      </c>
      <c r="AB705">
        <v>6</v>
      </c>
      <c r="AC705">
        <v>1</v>
      </c>
      <c r="AD705">
        <v>3</v>
      </c>
      <c r="AE705">
        <v>5</v>
      </c>
      <c r="AF705">
        <v>3</v>
      </c>
      <c r="AG705">
        <v>1</v>
      </c>
      <c r="AH705">
        <v>3</v>
      </c>
      <c r="AI705">
        <f>IF(tbl_HRData[[#This Row],[Attrition]] = "Yes",1,0)</f>
        <v>0</v>
      </c>
      <c r="AJ705">
        <f>IF(tbl_HRData[[#This Row],[Attrition]] = "No",1,0)</f>
        <v>1</v>
      </c>
      <c r="AK705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705" s="1" t="str">
        <f>IF(tbl_HRData[[#This Row],[MonthlyIncome]]&lt;5000,"Low",
IF(tbl_HRData[[#This Row],[MonthlyIncome]]&lt;10000,"Medium",
IF(tbl_HRData[[#This Row],[MonthlyIncome]]&lt;15000,"Upper Medium","High")))</f>
        <v>Medium</v>
      </c>
      <c r="AM705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706" spans="1:39" x14ac:dyDescent="0.35">
      <c r="A706" s="1">
        <v>705</v>
      </c>
      <c r="B706">
        <v>35</v>
      </c>
      <c r="C706" s="1" t="s">
        <v>40</v>
      </c>
      <c r="D706" s="1" t="s">
        <v>34</v>
      </c>
      <c r="E706">
        <v>882</v>
      </c>
      <c r="F706" s="1" t="s">
        <v>35</v>
      </c>
      <c r="G706">
        <v>3</v>
      </c>
      <c r="H706">
        <v>4</v>
      </c>
      <c r="I706" s="1" t="s">
        <v>36</v>
      </c>
      <c r="J706">
        <v>984</v>
      </c>
      <c r="K706">
        <v>4</v>
      </c>
      <c r="L706" s="1" t="s">
        <v>43</v>
      </c>
      <c r="M706">
        <v>92</v>
      </c>
      <c r="N706">
        <v>3</v>
      </c>
      <c r="O706">
        <v>3</v>
      </c>
      <c r="P706" s="1" t="s">
        <v>38</v>
      </c>
      <c r="Q706">
        <v>4</v>
      </c>
      <c r="R706" s="1" t="s">
        <v>49</v>
      </c>
      <c r="S706">
        <v>7823</v>
      </c>
      <c r="T706">
        <v>6812</v>
      </c>
      <c r="U706">
        <v>6</v>
      </c>
      <c r="V706" s="1" t="s">
        <v>40</v>
      </c>
      <c r="W706">
        <v>13</v>
      </c>
      <c r="X706">
        <v>3</v>
      </c>
      <c r="Y706">
        <v>2</v>
      </c>
      <c r="Z706">
        <v>80</v>
      </c>
      <c r="AA706">
        <v>1</v>
      </c>
      <c r="AB706">
        <v>12</v>
      </c>
      <c r="AC706">
        <v>2</v>
      </c>
      <c r="AD706">
        <v>3</v>
      </c>
      <c r="AE706">
        <v>10</v>
      </c>
      <c r="AF706">
        <v>9</v>
      </c>
      <c r="AG706">
        <v>0</v>
      </c>
      <c r="AH706">
        <v>8</v>
      </c>
      <c r="AI706">
        <f>IF(tbl_HRData[[#This Row],[Attrition]] = "Yes",1,0)</f>
        <v>0</v>
      </c>
      <c r="AJ706">
        <f>IF(tbl_HRData[[#This Row],[Attrition]] = "No",1,0)</f>
        <v>1</v>
      </c>
      <c r="AK706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706" s="1" t="str">
        <f>IF(tbl_HRData[[#This Row],[MonthlyIncome]]&lt;5000,"Low",
IF(tbl_HRData[[#This Row],[MonthlyIncome]]&lt;10000,"Medium",
IF(tbl_HRData[[#This Row],[MonthlyIncome]]&lt;15000,"Upper Medium","High")))</f>
        <v>Medium</v>
      </c>
      <c r="AM706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707" spans="1:39" x14ac:dyDescent="0.35">
      <c r="A707" s="1">
        <v>706</v>
      </c>
      <c r="B707">
        <v>39</v>
      </c>
      <c r="C707" s="1" t="s">
        <v>40</v>
      </c>
      <c r="D707" s="1" t="s">
        <v>34</v>
      </c>
      <c r="E707">
        <v>903</v>
      </c>
      <c r="F707" s="1" t="s">
        <v>35</v>
      </c>
      <c r="G707">
        <v>2</v>
      </c>
      <c r="H707">
        <v>5</v>
      </c>
      <c r="I707" s="1" t="s">
        <v>36</v>
      </c>
      <c r="J707">
        <v>985</v>
      </c>
      <c r="K707">
        <v>1</v>
      </c>
      <c r="L707" s="1" t="s">
        <v>43</v>
      </c>
      <c r="M707">
        <v>41</v>
      </c>
      <c r="N707">
        <v>4</v>
      </c>
      <c r="O707">
        <v>3</v>
      </c>
      <c r="P707" s="1" t="s">
        <v>38</v>
      </c>
      <c r="Q707">
        <v>3</v>
      </c>
      <c r="R707" s="1" t="s">
        <v>39</v>
      </c>
      <c r="S707">
        <v>7880</v>
      </c>
      <c r="T707">
        <v>2560</v>
      </c>
      <c r="U707">
        <v>0</v>
      </c>
      <c r="V707" s="1" t="s">
        <v>40</v>
      </c>
      <c r="W707">
        <v>18</v>
      </c>
      <c r="X707">
        <v>3</v>
      </c>
      <c r="Y707">
        <v>4</v>
      </c>
      <c r="Z707">
        <v>80</v>
      </c>
      <c r="AA707">
        <v>0</v>
      </c>
      <c r="AB707">
        <v>9</v>
      </c>
      <c r="AC707">
        <v>3</v>
      </c>
      <c r="AD707">
        <v>3</v>
      </c>
      <c r="AE707">
        <v>8</v>
      </c>
      <c r="AF707">
        <v>7</v>
      </c>
      <c r="AG707">
        <v>0</v>
      </c>
      <c r="AH707">
        <v>7</v>
      </c>
      <c r="AI707">
        <f>IF(tbl_HRData[[#This Row],[Attrition]] = "Yes",1,0)</f>
        <v>0</v>
      </c>
      <c r="AJ707">
        <f>IF(tbl_HRData[[#This Row],[Attrition]] = "No",1,0)</f>
        <v>1</v>
      </c>
      <c r="AK707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707" s="1" t="str">
        <f>IF(tbl_HRData[[#This Row],[MonthlyIncome]]&lt;5000,"Low",
IF(tbl_HRData[[#This Row],[MonthlyIncome]]&lt;10000,"Medium",
IF(tbl_HRData[[#This Row],[MonthlyIncome]]&lt;15000,"Upper Medium","High")))</f>
        <v>Medium</v>
      </c>
      <c r="AM707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708" spans="1:39" x14ac:dyDescent="0.35">
      <c r="A708" s="1">
        <v>707</v>
      </c>
      <c r="B708">
        <v>40</v>
      </c>
      <c r="C708" s="1" t="s">
        <v>33</v>
      </c>
      <c r="D708" s="1" t="s">
        <v>52</v>
      </c>
      <c r="E708">
        <v>1479</v>
      </c>
      <c r="F708" s="1" t="s">
        <v>35</v>
      </c>
      <c r="G708">
        <v>24</v>
      </c>
      <c r="H708">
        <v>3</v>
      </c>
      <c r="I708" s="1" t="s">
        <v>36</v>
      </c>
      <c r="J708">
        <v>986</v>
      </c>
      <c r="K708">
        <v>2</v>
      </c>
      <c r="L708" s="1" t="s">
        <v>37</v>
      </c>
      <c r="M708">
        <v>100</v>
      </c>
      <c r="N708">
        <v>4</v>
      </c>
      <c r="O708">
        <v>4</v>
      </c>
      <c r="P708" s="1" t="s">
        <v>38</v>
      </c>
      <c r="Q708">
        <v>2</v>
      </c>
      <c r="R708" s="1" t="s">
        <v>39</v>
      </c>
      <c r="S708">
        <v>13194</v>
      </c>
      <c r="T708">
        <v>17071</v>
      </c>
      <c r="U708">
        <v>4</v>
      </c>
      <c r="V708" s="1" t="s">
        <v>33</v>
      </c>
      <c r="W708">
        <v>16</v>
      </c>
      <c r="X708">
        <v>3</v>
      </c>
      <c r="Y708">
        <v>4</v>
      </c>
      <c r="Z708">
        <v>80</v>
      </c>
      <c r="AA708">
        <v>0</v>
      </c>
      <c r="AB708">
        <v>22</v>
      </c>
      <c r="AC708">
        <v>2</v>
      </c>
      <c r="AD708">
        <v>2</v>
      </c>
      <c r="AE708">
        <v>1</v>
      </c>
      <c r="AF708">
        <v>0</v>
      </c>
      <c r="AG708">
        <v>0</v>
      </c>
      <c r="AH708">
        <v>0</v>
      </c>
      <c r="AI708">
        <f>IF(tbl_HRData[[#This Row],[Attrition]] = "Yes",1,0)</f>
        <v>1</v>
      </c>
      <c r="AJ708">
        <f>IF(tbl_HRData[[#This Row],[Attrition]] = "No",1,0)</f>
        <v>0</v>
      </c>
      <c r="AK708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708" s="1" t="str">
        <f>IF(tbl_HRData[[#This Row],[MonthlyIncome]]&lt;5000,"Low",
IF(tbl_HRData[[#This Row],[MonthlyIncome]]&lt;10000,"Medium",
IF(tbl_HRData[[#This Row],[MonthlyIncome]]&lt;15000,"Upper Medium","High")))</f>
        <v>Upper Medium</v>
      </c>
      <c r="AM708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709" spans="1:39" x14ac:dyDescent="0.35">
      <c r="A709" s="1">
        <v>708</v>
      </c>
      <c r="B709">
        <v>47</v>
      </c>
      <c r="C709" s="1" t="s">
        <v>40</v>
      </c>
      <c r="D709" s="1" t="s">
        <v>41</v>
      </c>
      <c r="E709">
        <v>1379</v>
      </c>
      <c r="F709" s="1" t="s">
        <v>42</v>
      </c>
      <c r="G709">
        <v>16</v>
      </c>
      <c r="H709">
        <v>4</v>
      </c>
      <c r="I709" s="1" t="s">
        <v>48</v>
      </c>
      <c r="J709">
        <v>987</v>
      </c>
      <c r="K709">
        <v>3</v>
      </c>
      <c r="L709" s="1" t="s">
        <v>43</v>
      </c>
      <c r="M709">
        <v>64</v>
      </c>
      <c r="N709">
        <v>4</v>
      </c>
      <c r="O709">
        <v>2</v>
      </c>
      <c r="P709" s="1" t="s">
        <v>50</v>
      </c>
      <c r="Q709">
        <v>3</v>
      </c>
      <c r="R709" s="1" t="s">
        <v>49</v>
      </c>
      <c r="S709">
        <v>5067</v>
      </c>
      <c r="T709">
        <v>6759</v>
      </c>
      <c r="U709">
        <v>1</v>
      </c>
      <c r="V709" s="1" t="s">
        <v>33</v>
      </c>
      <c r="W709">
        <v>19</v>
      </c>
      <c r="X709">
        <v>3</v>
      </c>
      <c r="Y709">
        <v>3</v>
      </c>
      <c r="Z709">
        <v>80</v>
      </c>
      <c r="AA709">
        <v>0</v>
      </c>
      <c r="AB709">
        <v>20</v>
      </c>
      <c r="AC709">
        <v>3</v>
      </c>
      <c r="AD709">
        <v>4</v>
      </c>
      <c r="AE709">
        <v>19</v>
      </c>
      <c r="AF709">
        <v>10</v>
      </c>
      <c r="AG709">
        <v>2</v>
      </c>
      <c r="AH709">
        <v>7</v>
      </c>
      <c r="AI709">
        <f>IF(tbl_HRData[[#This Row],[Attrition]] = "Yes",1,0)</f>
        <v>0</v>
      </c>
      <c r="AJ709">
        <f>IF(tbl_HRData[[#This Row],[Attrition]] = "No",1,0)</f>
        <v>1</v>
      </c>
      <c r="AK709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709" s="1" t="str">
        <f>IF(tbl_HRData[[#This Row],[MonthlyIncome]]&lt;5000,"Low",
IF(tbl_HRData[[#This Row],[MonthlyIncome]]&lt;10000,"Medium",
IF(tbl_HRData[[#This Row],[MonthlyIncome]]&lt;15000,"Upper Medium","High")))</f>
        <v>Medium</v>
      </c>
      <c r="AM709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710" spans="1:39" x14ac:dyDescent="0.35">
      <c r="A710" s="1">
        <v>709</v>
      </c>
      <c r="B710">
        <v>36</v>
      </c>
      <c r="C710" s="1" t="s">
        <v>40</v>
      </c>
      <c r="D710" s="1" t="s">
        <v>52</v>
      </c>
      <c r="E710">
        <v>1229</v>
      </c>
      <c r="F710" s="1" t="s">
        <v>35</v>
      </c>
      <c r="G710">
        <v>8</v>
      </c>
      <c r="H710">
        <v>4</v>
      </c>
      <c r="I710" s="1" t="s">
        <v>57</v>
      </c>
      <c r="J710">
        <v>990</v>
      </c>
      <c r="K710">
        <v>1</v>
      </c>
      <c r="L710" s="1" t="s">
        <v>43</v>
      </c>
      <c r="M710">
        <v>84</v>
      </c>
      <c r="N710">
        <v>3</v>
      </c>
      <c r="O710">
        <v>2</v>
      </c>
      <c r="P710" s="1" t="s">
        <v>38</v>
      </c>
      <c r="Q710">
        <v>4</v>
      </c>
      <c r="R710" s="1" t="s">
        <v>49</v>
      </c>
      <c r="S710">
        <v>5079</v>
      </c>
      <c r="T710">
        <v>25952</v>
      </c>
      <c r="U710">
        <v>4</v>
      </c>
      <c r="V710" s="1" t="s">
        <v>40</v>
      </c>
      <c r="W710">
        <v>13</v>
      </c>
      <c r="X710">
        <v>3</v>
      </c>
      <c r="Y710">
        <v>4</v>
      </c>
      <c r="Z710">
        <v>80</v>
      </c>
      <c r="AA710">
        <v>2</v>
      </c>
      <c r="AB710">
        <v>12</v>
      </c>
      <c r="AC710">
        <v>3</v>
      </c>
      <c r="AD710">
        <v>3</v>
      </c>
      <c r="AE710">
        <v>7</v>
      </c>
      <c r="AF710">
        <v>7</v>
      </c>
      <c r="AG710">
        <v>0</v>
      </c>
      <c r="AH710">
        <v>7</v>
      </c>
      <c r="AI710">
        <f>IF(tbl_HRData[[#This Row],[Attrition]] = "Yes",1,0)</f>
        <v>0</v>
      </c>
      <c r="AJ710">
        <f>IF(tbl_HRData[[#This Row],[Attrition]] = "No",1,0)</f>
        <v>1</v>
      </c>
      <c r="AK710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710" s="1" t="str">
        <f>IF(tbl_HRData[[#This Row],[MonthlyIncome]]&lt;5000,"Low",
IF(tbl_HRData[[#This Row],[MonthlyIncome]]&lt;10000,"Medium",
IF(tbl_HRData[[#This Row],[MonthlyIncome]]&lt;15000,"Upper Medium","High")))</f>
        <v>Medium</v>
      </c>
      <c r="AM710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711" spans="1:39" x14ac:dyDescent="0.35">
      <c r="A711" s="1">
        <v>710</v>
      </c>
      <c r="B711">
        <v>31</v>
      </c>
      <c r="C711" s="1" t="s">
        <v>33</v>
      </c>
      <c r="D711" s="1" t="s">
        <v>52</v>
      </c>
      <c r="E711">
        <v>335</v>
      </c>
      <c r="F711" s="1" t="s">
        <v>42</v>
      </c>
      <c r="G711">
        <v>9</v>
      </c>
      <c r="H711">
        <v>2</v>
      </c>
      <c r="I711" s="1" t="s">
        <v>48</v>
      </c>
      <c r="J711">
        <v>991</v>
      </c>
      <c r="K711">
        <v>3</v>
      </c>
      <c r="L711" s="1" t="s">
        <v>43</v>
      </c>
      <c r="M711">
        <v>46</v>
      </c>
      <c r="N711">
        <v>2</v>
      </c>
      <c r="O711">
        <v>1</v>
      </c>
      <c r="P711" s="1" t="s">
        <v>44</v>
      </c>
      <c r="Q711">
        <v>1</v>
      </c>
      <c r="R711" s="1" t="s">
        <v>39</v>
      </c>
      <c r="S711">
        <v>2321</v>
      </c>
      <c r="T711">
        <v>10322</v>
      </c>
      <c r="U711">
        <v>0</v>
      </c>
      <c r="V711" s="1" t="s">
        <v>33</v>
      </c>
      <c r="W711">
        <v>22</v>
      </c>
      <c r="X711">
        <v>4</v>
      </c>
      <c r="Y711">
        <v>1</v>
      </c>
      <c r="Z711">
        <v>80</v>
      </c>
      <c r="AA711">
        <v>0</v>
      </c>
      <c r="AB711">
        <v>4</v>
      </c>
      <c r="AC711">
        <v>0</v>
      </c>
      <c r="AD711">
        <v>3</v>
      </c>
      <c r="AE711">
        <v>3</v>
      </c>
      <c r="AF711">
        <v>2</v>
      </c>
      <c r="AG711">
        <v>1</v>
      </c>
      <c r="AH711">
        <v>2</v>
      </c>
      <c r="AI711">
        <f>IF(tbl_HRData[[#This Row],[Attrition]] = "Yes",1,0)</f>
        <v>1</v>
      </c>
      <c r="AJ711">
        <f>IF(tbl_HRData[[#This Row],[Attrition]] = "No",1,0)</f>
        <v>0</v>
      </c>
      <c r="AK711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711" s="1" t="str">
        <f>IF(tbl_HRData[[#This Row],[MonthlyIncome]]&lt;5000,"Low",
IF(tbl_HRData[[#This Row],[MonthlyIncome]]&lt;10000,"Medium",
IF(tbl_HRData[[#This Row],[MonthlyIncome]]&lt;15000,"Upper Medium","High")))</f>
        <v>Low</v>
      </c>
      <c r="AM711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712" spans="1:39" x14ac:dyDescent="0.35">
      <c r="A712" s="1">
        <v>711</v>
      </c>
      <c r="B712">
        <v>33</v>
      </c>
      <c r="C712" s="1" t="s">
        <v>40</v>
      </c>
      <c r="D712" s="1" t="s">
        <v>52</v>
      </c>
      <c r="E712">
        <v>722</v>
      </c>
      <c r="F712" s="1" t="s">
        <v>35</v>
      </c>
      <c r="G712">
        <v>17</v>
      </c>
      <c r="H712">
        <v>3</v>
      </c>
      <c r="I712" s="1" t="s">
        <v>36</v>
      </c>
      <c r="J712">
        <v>992</v>
      </c>
      <c r="K712">
        <v>4</v>
      </c>
      <c r="L712" s="1" t="s">
        <v>43</v>
      </c>
      <c r="M712">
        <v>38</v>
      </c>
      <c r="N712">
        <v>3</v>
      </c>
      <c r="O712">
        <v>4</v>
      </c>
      <c r="P712" s="1" t="s">
        <v>53</v>
      </c>
      <c r="Q712">
        <v>3</v>
      </c>
      <c r="R712" s="1" t="s">
        <v>39</v>
      </c>
      <c r="S712">
        <v>17444</v>
      </c>
      <c r="T712">
        <v>20489</v>
      </c>
      <c r="U712">
        <v>1</v>
      </c>
      <c r="V712" s="1" t="s">
        <v>40</v>
      </c>
      <c r="W712">
        <v>11</v>
      </c>
      <c r="X712">
        <v>3</v>
      </c>
      <c r="Y712">
        <v>4</v>
      </c>
      <c r="Z712">
        <v>80</v>
      </c>
      <c r="AA712">
        <v>0</v>
      </c>
      <c r="AB712">
        <v>10</v>
      </c>
      <c r="AC712">
        <v>2</v>
      </c>
      <c r="AD712">
        <v>3</v>
      </c>
      <c r="AE712">
        <v>10</v>
      </c>
      <c r="AF712">
        <v>8</v>
      </c>
      <c r="AG712">
        <v>6</v>
      </c>
      <c r="AH712">
        <v>0</v>
      </c>
      <c r="AI712">
        <f>IF(tbl_HRData[[#This Row],[Attrition]] = "Yes",1,0)</f>
        <v>0</v>
      </c>
      <c r="AJ712">
        <f>IF(tbl_HRData[[#This Row],[Attrition]] = "No",1,0)</f>
        <v>1</v>
      </c>
      <c r="AK712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712" s="1" t="str">
        <f>IF(tbl_HRData[[#This Row],[MonthlyIncome]]&lt;5000,"Low",
IF(tbl_HRData[[#This Row],[MonthlyIncome]]&lt;10000,"Medium",
IF(tbl_HRData[[#This Row],[MonthlyIncome]]&lt;15000,"Upper Medium","High")))</f>
        <v>High</v>
      </c>
      <c r="AM712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713" spans="1:39" x14ac:dyDescent="0.35">
      <c r="A713" s="1">
        <v>712</v>
      </c>
      <c r="B713">
        <v>29</v>
      </c>
      <c r="C713" s="1" t="s">
        <v>33</v>
      </c>
      <c r="D713" s="1" t="s">
        <v>34</v>
      </c>
      <c r="E713">
        <v>906</v>
      </c>
      <c r="F713" s="1" t="s">
        <v>42</v>
      </c>
      <c r="G713">
        <v>10</v>
      </c>
      <c r="H713">
        <v>3</v>
      </c>
      <c r="I713" s="1" t="s">
        <v>36</v>
      </c>
      <c r="J713">
        <v>994</v>
      </c>
      <c r="K713">
        <v>4</v>
      </c>
      <c r="L713" s="1" t="s">
        <v>37</v>
      </c>
      <c r="M713">
        <v>92</v>
      </c>
      <c r="N713">
        <v>2</v>
      </c>
      <c r="O713">
        <v>1</v>
      </c>
      <c r="P713" s="1" t="s">
        <v>44</v>
      </c>
      <c r="Q713">
        <v>1</v>
      </c>
      <c r="R713" s="1" t="s">
        <v>39</v>
      </c>
      <c r="S713">
        <v>2404</v>
      </c>
      <c r="T713">
        <v>11479</v>
      </c>
      <c r="U713">
        <v>6</v>
      </c>
      <c r="V713" s="1" t="s">
        <v>33</v>
      </c>
      <c r="W713">
        <v>20</v>
      </c>
      <c r="X713">
        <v>4</v>
      </c>
      <c r="Y713">
        <v>3</v>
      </c>
      <c r="Z713">
        <v>80</v>
      </c>
      <c r="AA713">
        <v>0</v>
      </c>
      <c r="AB713">
        <v>3</v>
      </c>
      <c r="AC713">
        <v>5</v>
      </c>
      <c r="AD713">
        <v>3</v>
      </c>
      <c r="AE713">
        <v>0</v>
      </c>
      <c r="AF713">
        <v>0</v>
      </c>
      <c r="AG713">
        <v>0</v>
      </c>
      <c r="AH713">
        <v>0</v>
      </c>
      <c r="AI713">
        <f>IF(tbl_HRData[[#This Row],[Attrition]] = "Yes",1,0)</f>
        <v>1</v>
      </c>
      <c r="AJ713">
        <f>IF(tbl_HRData[[#This Row],[Attrition]] = "No",1,0)</f>
        <v>0</v>
      </c>
      <c r="AK713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713" s="1" t="str">
        <f>IF(tbl_HRData[[#This Row],[MonthlyIncome]]&lt;5000,"Low",
IF(tbl_HRData[[#This Row],[MonthlyIncome]]&lt;10000,"Medium",
IF(tbl_HRData[[#This Row],[MonthlyIncome]]&lt;15000,"Upper Medium","High")))</f>
        <v>Low</v>
      </c>
      <c r="AM713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714" spans="1:39" x14ac:dyDescent="0.35">
      <c r="A714" s="1">
        <v>713</v>
      </c>
      <c r="B714">
        <v>33</v>
      </c>
      <c r="C714" s="1" t="s">
        <v>40</v>
      </c>
      <c r="D714" s="1" t="s">
        <v>34</v>
      </c>
      <c r="E714">
        <v>461</v>
      </c>
      <c r="F714" s="1" t="s">
        <v>42</v>
      </c>
      <c r="G714">
        <v>13</v>
      </c>
      <c r="H714">
        <v>1</v>
      </c>
      <c r="I714" s="1" t="s">
        <v>36</v>
      </c>
      <c r="J714">
        <v>995</v>
      </c>
      <c r="K714">
        <v>2</v>
      </c>
      <c r="L714" s="1" t="s">
        <v>37</v>
      </c>
      <c r="M714">
        <v>53</v>
      </c>
      <c r="N714">
        <v>3</v>
      </c>
      <c r="O714">
        <v>1</v>
      </c>
      <c r="P714" s="1" t="s">
        <v>44</v>
      </c>
      <c r="Q714">
        <v>4</v>
      </c>
      <c r="R714" s="1" t="s">
        <v>39</v>
      </c>
      <c r="S714">
        <v>3452</v>
      </c>
      <c r="T714">
        <v>17241</v>
      </c>
      <c r="U714">
        <v>3</v>
      </c>
      <c r="V714" s="1" t="s">
        <v>40</v>
      </c>
      <c r="W714">
        <v>18</v>
      </c>
      <c r="X714">
        <v>3</v>
      </c>
      <c r="Y714">
        <v>1</v>
      </c>
      <c r="Z714">
        <v>80</v>
      </c>
      <c r="AA714">
        <v>0</v>
      </c>
      <c r="AB714">
        <v>5</v>
      </c>
      <c r="AC714">
        <v>4</v>
      </c>
      <c r="AD714">
        <v>3</v>
      </c>
      <c r="AE714">
        <v>3</v>
      </c>
      <c r="AF714">
        <v>2</v>
      </c>
      <c r="AG714">
        <v>0</v>
      </c>
      <c r="AH714">
        <v>2</v>
      </c>
      <c r="AI714">
        <f>IF(tbl_HRData[[#This Row],[Attrition]] = "Yes",1,0)</f>
        <v>0</v>
      </c>
      <c r="AJ714">
        <f>IF(tbl_HRData[[#This Row],[Attrition]] = "No",1,0)</f>
        <v>1</v>
      </c>
      <c r="AK714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714" s="1" t="str">
        <f>IF(tbl_HRData[[#This Row],[MonthlyIncome]]&lt;5000,"Low",
IF(tbl_HRData[[#This Row],[MonthlyIncome]]&lt;10000,"Medium",
IF(tbl_HRData[[#This Row],[MonthlyIncome]]&lt;15000,"Upper Medium","High")))</f>
        <v>Low</v>
      </c>
      <c r="AM714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715" spans="1:39" x14ac:dyDescent="0.35">
      <c r="A715" s="1">
        <v>714</v>
      </c>
      <c r="B715">
        <v>45</v>
      </c>
      <c r="C715" s="1" t="s">
        <v>40</v>
      </c>
      <c r="D715" s="1" t="s">
        <v>34</v>
      </c>
      <c r="E715">
        <v>974</v>
      </c>
      <c r="F715" s="1" t="s">
        <v>42</v>
      </c>
      <c r="G715">
        <v>1</v>
      </c>
      <c r="H715">
        <v>4</v>
      </c>
      <c r="I715" s="1" t="s">
        <v>48</v>
      </c>
      <c r="J715">
        <v>996</v>
      </c>
      <c r="K715">
        <v>4</v>
      </c>
      <c r="L715" s="1" t="s">
        <v>37</v>
      </c>
      <c r="M715">
        <v>91</v>
      </c>
      <c r="N715">
        <v>3</v>
      </c>
      <c r="O715">
        <v>1</v>
      </c>
      <c r="P715" s="1" t="s">
        <v>47</v>
      </c>
      <c r="Q715">
        <v>4</v>
      </c>
      <c r="R715" s="1" t="s">
        <v>49</v>
      </c>
      <c r="S715">
        <v>2270</v>
      </c>
      <c r="T715">
        <v>11005</v>
      </c>
      <c r="U715">
        <v>3</v>
      </c>
      <c r="V715" s="1" t="s">
        <v>40</v>
      </c>
      <c r="W715">
        <v>14</v>
      </c>
      <c r="X715">
        <v>3</v>
      </c>
      <c r="Y715">
        <v>4</v>
      </c>
      <c r="Z715">
        <v>80</v>
      </c>
      <c r="AA715">
        <v>2</v>
      </c>
      <c r="AB715">
        <v>8</v>
      </c>
      <c r="AC715">
        <v>2</v>
      </c>
      <c r="AD715">
        <v>3</v>
      </c>
      <c r="AE715">
        <v>5</v>
      </c>
      <c r="AF715">
        <v>3</v>
      </c>
      <c r="AG715">
        <v>0</v>
      </c>
      <c r="AH715">
        <v>2</v>
      </c>
      <c r="AI715">
        <f>IF(tbl_HRData[[#This Row],[Attrition]] = "Yes",1,0)</f>
        <v>0</v>
      </c>
      <c r="AJ715">
        <f>IF(tbl_HRData[[#This Row],[Attrition]] = "No",1,0)</f>
        <v>1</v>
      </c>
      <c r="AK715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715" s="1" t="str">
        <f>IF(tbl_HRData[[#This Row],[MonthlyIncome]]&lt;5000,"Low",
IF(tbl_HRData[[#This Row],[MonthlyIncome]]&lt;10000,"Medium",
IF(tbl_HRData[[#This Row],[MonthlyIncome]]&lt;15000,"Upper Medium","High")))</f>
        <v>Low</v>
      </c>
      <c r="AM715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716" spans="1:39" x14ac:dyDescent="0.35">
      <c r="A716" s="1">
        <v>715</v>
      </c>
      <c r="B716">
        <v>50</v>
      </c>
      <c r="C716" s="1" t="s">
        <v>40</v>
      </c>
      <c r="D716" s="1" t="s">
        <v>34</v>
      </c>
      <c r="E716">
        <v>1126</v>
      </c>
      <c r="F716" s="1" t="s">
        <v>42</v>
      </c>
      <c r="G716">
        <v>1</v>
      </c>
      <c r="H716">
        <v>2</v>
      </c>
      <c r="I716" s="1" t="s">
        <v>48</v>
      </c>
      <c r="J716">
        <v>997</v>
      </c>
      <c r="K716">
        <v>4</v>
      </c>
      <c r="L716" s="1" t="s">
        <v>43</v>
      </c>
      <c r="M716">
        <v>66</v>
      </c>
      <c r="N716">
        <v>3</v>
      </c>
      <c r="O716">
        <v>4</v>
      </c>
      <c r="P716" s="1" t="s">
        <v>55</v>
      </c>
      <c r="Q716">
        <v>4</v>
      </c>
      <c r="R716" s="1" t="s">
        <v>49</v>
      </c>
      <c r="S716">
        <v>17399</v>
      </c>
      <c r="T716">
        <v>6615</v>
      </c>
      <c r="U716">
        <v>9</v>
      </c>
      <c r="V716" s="1" t="s">
        <v>40</v>
      </c>
      <c r="W716">
        <v>22</v>
      </c>
      <c r="X716">
        <v>4</v>
      </c>
      <c r="Y716">
        <v>3</v>
      </c>
      <c r="Z716">
        <v>80</v>
      </c>
      <c r="AA716">
        <v>1</v>
      </c>
      <c r="AB716">
        <v>32</v>
      </c>
      <c r="AC716">
        <v>1</v>
      </c>
      <c r="AD716">
        <v>2</v>
      </c>
      <c r="AE716">
        <v>5</v>
      </c>
      <c r="AF716">
        <v>4</v>
      </c>
      <c r="AG716">
        <v>1</v>
      </c>
      <c r="AH716">
        <v>3</v>
      </c>
      <c r="AI716">
        <f>IF(tbl_HRData[[#This Row],[Attrition]] = "Yes",1,0)</f>
        <v>0</v>
      </c>
      <c r="AJ716">
        <f>IF(tbl_HRData[[#This Row],[Attrition]] = "No",1,0)</f>
        <v>1</v>
      </c>
      <c r="AK716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716" s="1" t="str">
        <f>IF(tbl_HRData[[#This Row],[MonthlyIncome]]&lt;5000,"Low",
IF(tbl_HRData[[#This Row],[MonthlyIncome]]&lt;10000,"Medium",
IF(tbl_HRData[[#This Row],[MonthlyIncome]]&lt;15000,"Upper Medium","High")))</f>
        <v>High</v>
      </c>
      <c r="AM716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717" spans="1:39" x14ac:dyDescent="0.35">
      <c r="A717" s="1">
        <v>716</v>
      </c>
      <c r="B717">
        <v>33</v>
      </c>
      <c r="C717" s="1" t="s">
        <v>40</v>
      </c>
      <c r="D717" s="1" t="s">
        <v>41</v>
      </c>
      <c r="E717">
        <v>827</v>
      </c>
      <c r="F717" s="1" t="s">
        <v>42</v>
      </c>
      <c r="G717">
        <v>1</v>
      </c>
      <c r="H717">
        <v>4</v>
      </c>
      <c r="I717" s="1" t="s">
        <v>46</v>
      </c>
      <c r="J717">
        <v>998</v>
      </c>
      <c r="K717">
        <v>3</v>
      </c>
      <c r="L717" s="1" t="s">
        <v>37</v>
      </c>
      <c r="M717">
        <v>84</v>
      </c>
      <c r="N717">
        <v>4</v>
      </c>
      <c r="O717">
        <v>2</v>
      </c>
      <c r="P717" s="1" t="s">
        <v>51</v>
      </c>
      <c r="Q717">
        <v>2</v>
      </c>
      <c r="R717" s="1" t="s">
        <v>45</v>
      </c>
      <c r="S717">
        <v>5488</v>
      </c>
      <c r="T717">
        <v>20161</v>
      </c>
      <c r="U717">
        <v>1</v>
      </c>
      <c r="V717" s="1" t="s">
        <v>33</v>
      </c>
      <c r="W717">
        <v>13</v>
      </c>
      <c r="X717">
        <v>3</v>
      </c>
      <c r="Y717">
        <v>1</v>
      </c>
      <c r="Z717">
        <v>80</v>
      </c>
      <c r="AA717">
        <v>1</v>
      </c>
      <c r="AB717">
        <v>6</v>
      </c>
      <c r="AC717">
        <v>2</v>
      </c>
      <c r="AD717">
        <v>3</v>
      </c>
      <c r="AE717">
        <v>6</v>
      </c>
      <c r="AF717">
        <v>5</v>
      </c>
      <c r="AG717">
        <v>1</v>
      </c>
      <c r="AH717">
        <v>2</v>
      </c>
      <c r="AI717">
        <f>IF(tbl_HRData[[#This Row],[Attrition]] = "Yes",1,0)</f>
        <v>0</v>
      </c>
      <c r="AJ717">
        <f>IF(tbl_HRData[[#This Row],[Attrition]] = "No",1,0)</f>
        <v>1</v>
      </c>
      <c r="AK717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717" s="1" t="str">
        <f>IF(tbl_HRData[[#This Row],[MonthlyIncome]]&lt;5000,"Low",
IF(tbl_HRData[[#This Row],[MonthlyIncome]]&lt;10000,"Medium",
IF(tbl_HRData[[#This Row],[MonthlyIncome]]&lt;15000,"Upper Medium","High")))</f>
        <v>Medium</v>
      </c>
      <c r="AM717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718" spans="1:39" x14ac:dyDescent="0.35">
      <c r="A718" s="1">
        <v>717</v>
      </c>
      <c r="B718">
        <v>41</v>
      </c>
      <c r="C718" s="1" t="s">
        <v>40</v>
      </c>
      <c r="D718" s="1" t="s">
        <v>41</v>
      </c>
      <c r="E718">
        <v>840</v>
      </c>
      <c r="F718" s="1" t="s">
        <v>42</v>
      </c>
      <c r="G718">
        <v>9</v>
      </c>
      <c r="H718">
        <v>3</v>
      </c>
      <c r="I718" s="1" t="s">
        <v>48</v>
      </c>
      <c r="J718">
        <v>999</v>
      </c>
      <c r="K718">
        <v>1</v>
      </c>
      <c r="L718" s="1" t="s">
        <v>43</v>
      </c>
      <c r="M718">
        <v>64</v>
      </c>
      <c r="N718">
        <v>3</v>
      </c>
      <c r="O718">
        <v>5</v>
      </c>
      <c r="P718" s="1" t="s">
        <v>55</v>
      </c>
      <c r="Q718">
        <v>3</v>
      </c>
      <c r="R718" s="1" t="s">
        <v>49</v>
      </c>
      <c r="S718">
        <v>19419</v>
      </c>
      <c r="T718">
        <v>3735</v>
      </c>
      <c r="U718">
        <v>2</v>
      </c>
      <c r="V718" s="1" t="s">
        <v>40</v>
      </c>
      <c r="W718">
        <v>17</v>
      </c>
      <c r="X718">
        <v>3</v>
      </c>
      <c r="Y718">
        <v>2</v>
      </c>
      <c r="Z718">
        <v>80</v>
      </c>
      <c r="AA718">
        <v>1</v>
      </c>
      <c r="AB718">
        <v>21</v>
      </c>
      <c r="AC718">
        <v>2</v>
      </c>
      <c r="AD718">
        <v>4</v>
      </c>
      <c r="AE718">
        <v>18</v>
      </c>
      <c r="AF718">
        <v>16</v>
      </c>
      <c r="AG718">
        <v>0</v>
      </c>
      <c r="AH718">
        <v>11</v>
      </c>
      <c r="AI718">
        <f>IF(tbl_HRData[[#This Row],[Attrition]] = "Yes",1,0)</f>
        <v>0</v>
      </c>
      <c r="AJ718">
        <f>IF(tbl_HRData[[#This Row],[Attrition]] = "No",1,0)</f>
        <v>1</v>
      </c>
      <c r="AK718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718" s="1" t="str">
        <f>IF(tbl_HRData[[#This Row],[MonthlyIncome]]&lt;5000,"Low",
IF(tbl_HRData[[#This Row],[MonthlyIncome]]&lt;10000,"Medium",
IF(tbl_HRData[[#This Row],[MonthlyIncome]]&lt;15000,"Upper Medium","High")))</f>
        <v>High</v>
      </c>
      <c r="AM718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719" spans="1:39" x14ac:dyDescent="0.35">
      <c r="A719" s="1">
        <v>718</v>
      </c>
      <c r="B719">
        <v>27</v>
      </c>
      <c r="C719" s="1" t="s">
        <v>40</v>
      </c>
      <c r="D719" s="1" t="s">
        <v>34</v>
      </c>
      <c r="E719">
        <v>1134</v>
      </c>
      <c r="F719" s="1" t="s">
        <v>42</v>
      </c>
      <c r="G719">
        <v>16</v>
      </c>
      <c r="H719">
        <v>4</v>
      </c>
      <c r="I719" s="1" t="s">
        <v>57</v>
      </c>
      <c r="J719">
        <v>1001</v>
      </c>
      <c r="K719">
        <v>3</v>
      </c>
      <c r="L719" s="1" t="s">
        <v>37</v>
      </c>
      <c r="M719">
        <v>37</v>
      </c>
      <c r="N719">
        <v>3</v>
      </c>
      <c r="O719">
        <v>1</v>
      </c>
      <c r="P719" s="1" t="s">
        <v>47</v>
      </c>
      <c r="Q719">
        <v>2</v>
      </c>
      <c r="R719" s="1" t="s">
        <v>45</v>
      </c>
      <c r="S719">
        <v>2811</v>
      </c>
      <c r="T719">
        <v>12086</v>
      </c>
      <c r="U719">
        <v>9</v>
      </c>
      <c r="V719" s="1" t="s">
        <v>40</v>
      </c>
      <c r="W719">
        <v>14</v>
      </c>
      <c r="X719">
        <v>3</v>
      </c>
      <c r="Y719">
        <v>2</v>
      </c>
      <c r="Z719">
        <v>80</v>
      </c>
      <c r="AA719">
        <v>1</v>
      </c>
      <c r="AB719">
        <v>4</v>
      </c>
      <c r="AC719">
        <v>2</v>
      </c>
      <c r="AD719">
        <v>3</v>
      </c>
      <c r="AE719">
        <v>2</v>
      </c>
      <c r="AF719">
        <v>2</v>
      </c>
      <c r="AG719">
        <v>2</v>
      </c>
      <c r="AH719">
        <v>2</v>
      </c>
      <c r="AI719">
        <f>IF(tbl_HRData[[#This Row],[Attrition]] = "Yes",1,0)</f>
        <v>0</v>
      </c>
      <c r="AJ719">
        <f>IF(tbl_HRData[[#This Row],[Attrition]] = "No",1,0)</f>
        <v>1</v>
      </c>
      <c r="AK719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719" s="1" t="str">
        <f>IF(tbl_HRData[[#This Row],[MonthlyIncome]]&lt;5000,"Low",
IF(tbl_HRData[[#This Row],[MonthlyIncome]]&lt;10000,"Medium",
IF(tbl_HRData[[#This Row],[MonthlyIncome]]&lt;15000,"Upper Medium","High")))</f>
        <v>Low</v>
      </c>
      <c r="AM719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720" spans="1:39" x14ac:dyDescent="0.35">
      <c r="A720" s="1">
        <v>719</v>
      </c>
      <c r="B720">
        <v>45</v>
      </c>
      <c r="C720" s="1" t="s">
        <v>40</v>
      </c>
      <c r="D720" s="1" t="s">
        <v>52</v>
      </c>
      <c r="E720">
        <v>248</v>
      </c>
      <c r="F720" s="1" t="s">
        <v>42</v>
      </c>
      <c r="G720">
        <v>23</v>
      </c>
      <c r="H720">
        <v>2</v>
      </c>
      <c r="I720" s="1" t="s">
        <v>36</v>
      </c>
      <c r="J720">
        <v>1002</v>
      </c>
      <c r="K720">
        <v>4</v>
      </c>
      <c r="L720" s="1" t="s">
        <v>43</v>
      </c>
      <c r="M720">
        <v>42</v>
      </c>
      <c r="N720">
        <v>3</v>
      </c>
      <c r="O720">
        <v>2</v>
      </c>
      <c r="P720" s="1" t="s">
        <v>47</v>
      </c>
      <c r="Q720">
        <v>1</v>
      </c>
      <c r="R720" s="1" t="s">
        <v>45</v>
      </c>
      <c r="S720">
        <v>3633</v>
      </c>
      <c r="T720">
        <v>14039</v>
      </c>
      <c r="U720">
        <v>1</v>
      </c>
      <c r="V720" s="1" t="s">
        <v>33</v>
      </c>
      <c r="W720">
        <v>15</v>
      </c>
      <c r="X720">
        <v>3</v>
      </c>
      <c r="Y720">
        <v>3</v>
      </c>
      <c r="Z720">
        <v>80</v>
      </c>
      <c r="AA720">
        <v>1</v>
      </c>
      <c r="AB720">
        <v>9</v>
      </c>
      <c r="AC720">
        <v>2</v>
      </c>
      <c r="AD720">
        <v>3</v>
      </c>
      <c r="AE720">
        <v>9</v>
      </c>
      <c r="AF720">
        <v>8</v>
      </c>
      <c r="AG720">
        <v>0</v>
      </c>
      <c r="AH720">
        <v>8</v>
      </c>
      <c r="AI720">
        <f>IF(tbl_HRData[[#This Row],[Attrition]] = "Yes",1,0)</f>
        <v>0</v>
      </c>
      <c r="AJ720">
        <f>IF(tbl_HRData[[#This Row],[Attrition]] = "No",1,0)</f>
        <v>1</v>
      </c>
      <c r="AK720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720" s="1" t="str">
        <f>IF(tbl_HRData[[#This Row],[MonthlyIncome]]&lt;5000,"Low",
IF(tbl_HRData[[#This Row],[MonthlyIncome]]&lt;10000,"Medium",
IF(tbl_HRData[[#This Row],[MonthlyIncome]]&lt;15000,"Upper Medium","High")))</f>
        <v>Low</v>
      </c>
      <c r="AM720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721" spans="1:39" x14ac:dyDescent="0.35">
      <c r="A721" s="1">
        <v>720</v>
      </c>
      <c r="B721">
        <v>47</v>
      </c>
      <c r="C721" s="1" t="s">
        <v>40</v>
      </c>
      <c r="D721" s="1" t="s">
        <v>34</v>
      </c>
      <c r="E721">
        <v>955</v>
      </c>
      <c r="F721" s="1" t="s">
        <v>35</v>
      </c>
      <c r="G721">
        <v>4</v>
      </c>
      <c r="H721">
        <v>2</v>
      </c>
      <c r="I721" s="1" t="s">
        <v>36</v>
      </c>
      <c r="J721">
        <v>1003</v>
      </c>
      <c r="K721">
        <v>4</v>
      </c>
      <c r="L721" s="1" t="s">
        <v>37</v>
      </c>
      <c r="M721">
        <v>83</v>
      </c>
      <c r="N721">
        <v>3</v>
      </c>
      <c r="O721">
        <v>2</v>
      </c>
      <c r="P721" s="1" t="s">
        <v>38</v>
      </c>
      <c r="Q721">
        <v>4</v>
      </c>
      <c r="R721" s="1" t="s">
        <v>39</v>
      </c>
      <c r="S721">
        <v>4163</v>
      </c>
      <c r="T721">
        <v>8571</v>
      </c>
      <c r="U721">
        <v>1</v>
      </c>
      <c r="V721" s="1" t="s">
        <v>33</v>
      </c>
      <c r="W721">
        <v>17</v>
      </c>
      <c r="X721">
        <v>3</v>
      </c>
      <c r="Y721">
        <v>3</v>
      </c>
      <c r="Z721">
        <v>80</v>
      </c>
      <c r="AA721">
        <v>0</v>
      </c>
      <c r="AB721">
        <v>9</v>
      </c>
      <c r="AC721">
        <v>0</v>
      </c>
      <c r="AD721">
        <v>3</v>
      </c>
      <c r="AE721">
        <v>9</v>
      </c>
      <c r="AF721">
        <v>0</v>
      </c>
      <c r="AG721">
        <v>0</v>
      </c>
      <c r="AH721">
        <v>7</v>
      </c>
      <c r="AI721">
        <f>IF(tbl_HRData[[#This Row],[Attrition]] = "Yes",1,0)</f>
        <v>0</v>
      </c>
      <c r="AJ721">
        <f>IF(tbl_HRData[[#This Row],[Attrition]] = "No",1,0)</f>
        <v>1</v>
      </c>
      <c r="AK721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721" s="1" t="str">
        <f>IF(tbl_HRData[[#This Row],[MonthlyIncome]]&lt;5000,"Low",
IF(tbl_HRData[[#This Row],[MonthlyIncome]]&lt;10000,"Medium",
IF(tbl_HRData[[#This Row],[MonthlyIncome]]&lt;15000,"Upper Medium","High")))</f>
        <v>Low</v>
      </c>
      <c r="AM721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722" spans="1:39" x14ac:dyDescent="0.35">
      <c r="A722" s="1">
        <v>721</v>
      </c>
      <c r="B722">
        <v>30</v>
      </c>
      <c r="C722" s="1" t="s">
        <v>33</v>
      </c>
      <c r="D722" s="1" t="s">
        <v>34</v>
      </c>
      <c r="E722">
        <v>138</v>
      </c>
      <c r="F722" s="1" t="s">
        <v>42</v>
      </c>
      <c r="G722">
        <v>22</v>
      </c>
      <c r="H722">
        <v>3</v>
      </c>
      <c r="I722" s="1" t="s">
        <v>36</v>
      </c>
      <c r="J722">
        <v>1004</v>
      </c>
      <c r="K722">
        <v>1</v>
      </c>
      <c r="L722" s="1" t="s">
        <v>37</v>
      </c>
      <c r="M722">
        <v>48</v>
      </c>
      <c r="N722">
        <v>3</v>
      </c>
      <c r="O722">
        <v>1</v>
      </c>
      <c r="P722" s="1" t="s">
        <v>44</v>
      </c>
      <c r="Q722">
        <v>3</v>
      </c>
      <c r="R722" s="1" t="s">
        <v>45</v>
      </c>
      <c r="S722">
        <v>2132</v>
      </c>
      <c r="T722">
        <v>11539</v>
      </c>
      <c r="U722">
        <v>4</v>
      </c>
      <c r="V722" s="1" t="s">
        <v>33</v>
      </c>
      <c r="W722">
        <v>11</v>
      </c>
      <c r="X722">
        <v>3</v>
      </c>
      <c r="Y722">
        <v>2</v>
      </c>
      <c r="Z722">
        <v>80</v>
      </c>
      <c r="AA722">
        <v>0</v>
      </c>
      <c r="AB722">
        <v>7</v>
      </c>
      <c r="AC722">
        <v>2</v>
      </c>
      <c r="AD722">
        <v>3</v>
      </c>
      <c r="AE722">
        <v>5</v>
      </c>
      <c r="AF722">
        <v>2</v>
      </c>
      <c r="AG722">
        <v>0</v>
      </c>
      <c r="AH722">
        <v>1</v>
      </c>
      <c r="AI722">
        <f>IF(tbl_HRData[[#This Row],[Attrition]] = "Yes",1,0)</f>
        <v>1</v>
      </c>
      <c r="AJ722">
        <f>IF(tbl_HRData[[#This Row],[Attrition]] = "No",1,0)</f>
        <v>0</v>
      </c>
      <c r="AK722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722" s="1" t="str">
        <f>IF(tbl_HRData[[#This Row],[MonthlyIncome]]&lt;5000,"Low",
IF(tbl_HRData[[#This Row],[MonthlyIncome]]&lt;10000,"Medium",
IF(tbl_HRData[[#This Row],[MonthlyIncome]]&lt;15000,"Upper Medium","High")))</f>
        <v>Low</v>
      </c>
      <c r="AM722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723" spans="1:39" x14ac:dyDescent="0.35">
      <c r="A723" s="1">
        <v>722</v>
      </c>
      <c r="B723">
        <v>50</v>
      </c>
      <c r="C723" s="1" t="s">
        <v>40</v>
      </c>
      <c r="D723" s="1" t="s">
        <v>34</v>
      </c>
      <c r="E723">
        <v>939</v>
      </c>
      <c r="F723" s="1" t="s">
        <v>42</v>
      </c>
      <c r="G723">
        <v>24</v>
      </c>
      <c r="H723">
        <v>3</v>
      </c>
      <c r="I723" s="1" t="s">
        <v>36</v>
      </c>
      <c r="J723">
        <v>1005</v>
      </c>
      <c r="K723">
        <v>4</v>
      </c>
      <c r="L723" s="1" t="s">
        <v>43</v>
      </c>
      <c r="M723">
        <v>95</v>
      </c>
      <c r="N723">
        <v>3</v>
      </c>
      <c r="O723">
        <v>4</v>
      </c>
      <c r="P723" s="1" t="s">
        <v>50</v>
      </c>
      <c r="Q723">
        <v>3</v>
      </c>
      <c r="R723" s="1" t="s">
        <v>45</v>
      </c>
      <c r="S723">
        <v>13973</v>
      </c>
      <c r="T723">
        <v>4161</v>
      </c>
      <c r="U723">
        <v>3</v>
      </c>
      <c r="V723" s="1" t="s">
        <v>33</v>
      </c>
      <c r="W723">
        <v>18</v>
      </c>
      <c r="X723">
        <v>3</v>
      </c>
      <c r="Y723">
        <v>4</v>
      </c>
      <c r="Z723">
        <v>80</v>
      </c>
      <c r="AA723">
        <v>1</v>
      </c>
      <c r="AB723">
        <v>22</v>
      </c>
      <c r="AC723">
        <v>2</v>
      </c>
      <c r="AD723">
        <v>3</v>
      </c>
      <c r="AE723">
        <v>12</v>
      </c>
      <c r="AF723">
        <v>11</v>
      </c>
      <c r="AG723">
        <v>1</v>
      </c>
      <c r="AH723">
        <v>5</v>
      </c>
      <c r="AI723">
        <f>IF(tbl_HRData[[#This Row],[Attrition]] = "Yes",1,0)</f>
        <v>0</v>
      </c>
      <c r="AJ723">
        <f>IF(tbl_HRData[[#This Row],[Attrition]] = "No",1,0)</f>
        <v>1</v>
      </c>
      <c r="AK723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723" s="1" t="str">
        <f>IF(tbl_HRData[[#This Row],[MonthlyIncome]]&lt;5000,"Low",
IF(tbl_HRData[[#This Row],[MonthlyIncome]]&lt;10000,"Medium",
IF(tbl_HRData[[#This Row],[MonthlyIncome]]&lt;15000,"Upper Medium","High")))</f>
        <v>Upper Medium</v>
      </c>
      <c r="AM723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724" spans="1:39" x14ac:dyDescent="0.35">
      <c r="A724" s="1">
        <v>723</v>
      </c>
      <c r="B724">
        <v>38</v>
      </c>
      <c r="C724" s="1" t="s">
        <v>40</v>
      </c>
      <c r="D724" s="1" t="s">
        <v>41</v>
      </c>
      <c r="E724">
        <v>1391</v>
      </c>
      <c r="F724" s="1" t="s">
        <v>42</v>
      </c>
      <c r="G724">
        <v>10</v>
      </c>
      <c r="H724">
        <v>1</v>
      </c>
      <c r="I724" s="1" t="s">
        <v>48</v>
      </c>
      <c r="J724">
        <v>1006</v>
      </c>
      <c r="K724">
        <v>3</v>
      </c>
      <c r="L724" s="1" t="s">
        <v>43</v>
      </c>
      <c r="M724">
        <v>66</v>
      </c>
      <c r="N724">
        <v>3</v>
      </c>
      <c r="O724">
        <v>1</v>
      </c>
      <c r="P724" s="1" t="s">
        <v>44</v>
      </c>
      <c r="Q724">
        <v>3</v>
      </c>
      <c r="R724" s="1" t="s">
        <v>45</v>
      </c>
      <c r="S724">
        <v>2684</v>
      </c>
      <c r="T724">
        <v>12127</v>
      </c>
      <c r="U724">
        <v>0</v>
      </c>
      <c r="V724" s="1" t="s">
        <v>40</v>
      </c>
      <c r="W724">
        <v>17</v>
      </c>
      <c r="X724">
        <v>3</v>
      </c>
      <c r="Y724">
        <v>2</v>
      </c>
      <c r="Z724">
        <v>80</v>
      </c>
      <c r="AA724">
        <v>1</v>
      </c>
      <c r="AB724">
        <v>3</v>
      </c>
      <c r="AC724">
        <v>0</v>
      </c>
      <c r="AD724">
        <v>2</v>
      </c>
      <c r="AE724">
        <v>2</v>
      </c>
      <c r="AF724">
        <v>1</v>
      </c>
      <c r="AG724">
        <v>0</v>
      </c>
      <c r="AH724">
        <v>2</v>
      </c>
      <c r="AI724">
        <f>IF(tbl_HRData[[#This Row],[Attrition]] = "Yes",1,0)</f>
        <v>0</v>
      </c>
      <c r="AJ724">
        <f>IF(tbl_HRData[[#This Row],[Attrition]] = "No",1,0)</f>
        <v>1</v>
      </c>
      <c r="AK724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724" s="1" t="str">
        <f>IF(tbl_HRData[[#This Row],[MonthlyIncome]]&lt;5000,"Low",
IF(tbl_HRData[[#This Row],[MonthlyIncome]]&lt;10000,"Medium",
IF(tbl_HRData[[#This Row],[MonthlyIncome]]&lt;15000,"Upper Medium","High")))</f>
        <v>Low</v>
      </c>
      <c r="AM724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725" spans="1:39" x14ac:dyDescent="0.35">
      <c r="A725" s="1">
        <v>724</v>
      </c>
      <c r="B725">
        <v>46</v>
      </c>
      <c r="C725" s="1" t="s">
        <v>40</v>
      </c>
      <c r="D725" s="1" t="s">
        <v>34</v>
      </c>
      <c r="E725">
        <v>566</v>
      </c>
      <c r="F725" s="1" t="s">
        <v>42</v>
      </c>
      <c r="G725">
        <v>7</v>
      </c>
      <c r="H725">
        <v>2</v>
      </c>
      <c r="I725" s="1" t="s">
        <v>48</v>
      </c>
      <c r="J725">
        <v>1007</v>
      </c>
      <c r="K725">
        <v>4</v>
      </c>
      <c r="L725" s="1" t="s">
        <v>43</v>
      </c>
      <c r="M725">
        <v>75</v>
      </c>
      <c r="N725">
        <v>3</v>
      </c>
      <c r="O725">
        <v>3</v>
      </c>
      <c r="P725" s="1" t="s">
        <v>50</v>
      </c>
      <c r="Q725">
        <v>3</v>
      </c>
      <c r="R725" s="1" t="s">
        <v>49</v>
      </c>
      <c r="S725">
        <v>10845</v>
      </c>
      <c r="T725">
        <v>24208</v>
      </c>
      <c r="U725">
        <v>6</v>
      </c>
      <c r="V725" s="1" t="s">
        <v>40</v>
      </c>
      <c r="W725">
        <v>13</v>
      </c>
      <c r="X725">
        <v>3</v>
      </c>
      <c r="Y725">
        <v>2</v>
      </c>
      <c r="Z725">
        <v>80</v>
      </c>
      <c r="AA725">
        <v>1</v>
      </c>
      <c r="AB725">
        <v>13</v>
      </c>
      <c r="AC725">
        <v>3</v>
      </c>
      <c r="AD725">
        <v>3</v>
      </c>
      <c r="AE725">
        <v>8</v>
      </c>
      <c r="AF725">
        <v>7</v>
      </c>
      <c r="AG725">
        <v>0</v>
      </c>
      <c r="AH725">
        <v>7</v>
      </c>
      <c r="AI725">
        <f>IF(tbl_HRData[[#This Row],[Attrition]] = "Yes",1,0)</f>
        <v>0</v>
      </c>
      <c r="AJ725">
        <f>IF(tbl_HRData[[#This Row],[Attrition]] = "No",1,0)</f>
        <v>1</v>
      </c>
      <c r="AK725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725" s="1" t="str">
        <f>IF(tbl_HRData[[#This Row],[MonthlyIncome]]&lt;5000,"Low",
IF(tbl_HRData[[#This Row],[MonthlyIncome]]&lt;10000,"Medium",
IF(tbl_HRData[[#This Row],[MonthlyIncome]]&lt;15000,"Upper Medium","High")))</f>
        <v>Upper Medium</v>
      </c>
      <c r="AM725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726" spans="1:39" x14ac:dyDescent="0.35">
      <c r="A726" s="1">
        <v>725</v>
      </c>
      <c r="B726">
        <v>24</v>
      </c>
      <c r="C726" s="1" t="s">
        <v>40</v>
      </c>
      <c r="D726" s="1" t="s">
        <v>34</v>
      </c>
      <c r="E726">
        <v>1206</v>
      </c>
      <c r="F726" s="1" t="s">
        <v>42</v>
      </c>
      <c r="G726">
        <v>17</v>
      </c>
      <c r="H726">
        <v>1</v>
      </c>
      <c r="I726" s="1" t="s">
        <v>48</v>
      </c>
      <c r="J726">
        <v>1009</v>
      </c>
      <c r="K726">
        <v>4</v>
      </c>
      <c r="L726" s="1" t="s">
        <v>37</v>
      </c>
      <c r="M726">
        <v>41</v>
      </c>
      <c r="N726">
        <v>2</v>
      </c>
      <c r="O726">
        <v>2</v>
      </c>
      <c r="P726" s="1" t="s">
        <v>50</v>
      </c>
      <c r="Q726">
        <v>3</v>
      </c>
      <c r="R726" s="1" t="s">
        <v>49</v>
      </c>
      <c r="S726">
        <v>4377</v>
      </c>
      <c r="T726">
        <v>24117</v>
      </c>
      <c r="U726">
        <v>1</v>
      </c>
      <c r="V726" s="1" t="s">
        <v>40</v>
      </c>
      <c r="W726">
        <v>15</v>
      </c>
      <c r="X726">
        <v>3</v>
      </c>
      <c r="Y726">
        <v>2</v>
      </c>
      <c r="Z726">
        <v>80</v>
      </c>
      <c r="AA726">
        <v>2</v>
      </c>
      <c r="AB726">
        <v>5</v>
      </c>
      <c r="AC726">
        <v>6</v>
      </c>
      <c r="AD726">
        <v>3</v>
      </c>
      <c r="AE726">
        <v>4</v>
      </c>
      <c r="AF726">
        <v>2</v>
      </c>
      <c r="AG726">
        <v>3</v>
      </c>
      <c r="AH726">
        <v>2</v>
      </c>
      <c r="AI726">
        <f>IF(tbl_HRData[[#This Row],[Attrition]] = "Yes",1,0)</f>
        <v>0</v>
      </c>
      <c r="AJ726">
        <f>IF(tbl_HRData[[#This Row],[Attrition]] = "No",1,0)</f>
        <v>1</v>
      </c>
      <c r="AK726" t="str">
        <f>IF(tbl_HRData[[#This Row],[Age]] &lt; 25, "Under 25", IF(tbl_HRData[[#This Row],[Age]] &lt;= 34, "25-34", IF(tbl_HRData[[#This Row],[Age]] &lt;= 44, "35-44", IF(tbl_HRData[[#This Row],[Age]] &lt;= 54, "45-54", "55+"))))</f>
        <v>Under 25</v>
      </c>
      <c r="AL726" s="1" t="str">
        <f>IF(tbl_HRData[[#This Row],[MonthlyIncome]]&lt;5000,"Low",
IF(tbl_HRData[[#This Row],[MonthlyIncome]]&lt;10000,"Medium",
IF(tbl_HRData[[#This Row],[MonthlyIncome]]&lt;15000,"Upper Medium","High")))</f>
        <v>Low</v>
      </c>
      <c r="AM726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727" spans="1:39" x14ac:dyDescent="0.35">
      <c r="A727" s="1">
        <v>726</v>
      </c>
      <c r="B727">
        <v>35</v>
      </c>
      <c r="C727" s="1" t="s">
        <v>33</v>
      </c>
      <c r="D727" s="1" t="s">
        <v>34</v>
      </c>
      <c r="E727">
        <v>622</v>
      </c>
      <c r="F727" s="1" t="s">
        <v>42</v>
      </c>
      <c r="G727">
        <v>14</v>
      </c>
      <c r="H727">
        <v>4</v>
      </c>
      <c r="I727" s="1" t="s">
        <v>46</v>
      </c>
      <c r="J727">
        <v>1010</v>
      </c>
      <c r="K727">
        <v>3</v>
      </c>
      <c r="L727" s="1" t="s">
        <v>43</v>
      </c>
      <c r="M727">
        <v>39</v>
      </c>
      <c r="N727">
        <v>2</v>
      </c>
      <c r="O727">
        <v>1</v>
      </c>
      <c r="P727" s="1" t="s">
        <v>47</v>
      </c>
      <c r="Q727">
        <v>2</v>
      </c>
      <c r="R727" s="1" t="s">
        <v>49</v>
      </c>
      <c r="S727">
        <v>3743</v>
      </c>
      <c r="T727">
        <v>10074</v>
      </c>
      <c r="U727">
        <v>1</v>
      </c>
      <c r="V727" s="1" t="s">
        <v>33</v>
      </c>
      <c r="W727">
        <v>24</v>
      </c>
      <c r="X727">
        <v>4</v>
      </c>
      <c r="Y727">
        <v>4</v>
      </c>
      <c r="Z727">
        <v>80</v>
      </c>
      <c r="AA727">
        <v>1</v>
      </c>
      <c r="AB727">
        <v>5</v>
      </c>
      <c r="AC727">
        <v>2</v>
      </c>
      <c r="AD727">
        <v>1</v>
      </c>
      <c r="AE727">
        <v>4</v>
      </c>
      <c r="AF727">
        <v>2</v>
      </c>
      <c r="AG727">
        <v>0</v>
      </c>
      <c r="AH727">
        <v>2</v>
      </c>
      <c r="AI727">
        <f>IF(tbl_HRData[[#This Row],[Attrition]] = "Yes",1,0)</f>
        <v>1</v>
      </c>
      <c r="AJ727">
        <f>IF(tbl_HRData[[#This Row],[Attrition]] = "No",1,0)</f>
        <v>0</v>
      </c>
      <c r="AK727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727" s="1" t="str">
        <f>IF(tbl_HRData[[#This Row],[MonthlyIncome]]&lt;5000,"Low",
IF(tbl_HRData[[#This Row],[MonthlyIncome]]&lt;10000,"Medium",
IF(tbl_HRData[[#This Row],[MonthlyIncome]]&lt;15000,"Upper Medium","High")))</f>
        <v>Low</v>
      </c>
      <c r="AM727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728" spans="1:39" x14ac:dyDescent="0.35">
      <c r="A728" s="1">
        <v>727</v>
      </c>
      <c r="B728">
        <v>31</v>
      </c>
      <c r="C728" s="1" t="s">
        <v>40</v>
      </c>
      <c r="D728" s="1" t="s">
        <v>41</v>
      </c>
      <c r="E728">
        <v>853</v>
      </c>
      <c r="F728" s="1" t="s">
        <v>42</v>
      </c>
      <c r="G728">
        <v>1</v>
      </c>
      <c r="H728">
        <v>1</v>
      </c>
      <c r="I728" s="1" t="s">
        <v>36</v>
      </c>
      <c r="J728">
        <v>1011</v>
      </c>
      <c r="K728">
        <v>3</v>
      </c>
      <c r="L728" s="1" t="s">
        <v>37</v>
      </c>
      <c r="M728">
        <v>96</v>
      </c>
      <c r="N728">
        <v>3</v>
      </c>
      <c r="O728">
        <v>2</v>
      </c>
      <c r="P728" s="1" t="s">
        <v>50</v>
      </c>
      <c r="Q728">
        <v>1</v>
      </c>
      <c r="R728" s="1" t="s">
        <v>45</v>
      </c>
      <c r="S728">
        <v>4148</v>
      </c>
      <c r="T728">
        <v>11275</v>
      </c>
      <c r="U728">
        <v>1</v>
      </c>
      <c r="V728" s="1" t="s">
        <v>40</v>
      </c>
      <c r="W728">
        <v>12</v>
      </c>
      <c r="X728">
        <v>3</v>
      </c>
      <c r="Y728">
        <v>3</v>
      </c>
      <c r="Z728">
        <v>80</v>
      </c>
      <c r="AA728">
        <v>1</v>
      </c>
      <c r="AB728">
        <v>4</v>
      </c>
      <c r="AC728">
        <v>1</v>
      </c>
      <c r="AD728">
        <v>3</v>
      </c>
      <c r="AE728">
        <v>4</v>
      </c>
      <c r="AF728">
        <v>3</v>
      </c>
      <c r="AG728">
        <v>0</v>
      </c>
      <c r="AH728">
        <v>3</v>
      </c>
      <c r="AI728">
        <f>IF(tbl_HRData[[#This Row],[Attrition]] = "Yes",1,0)</f>
        <v>0</v>
      </c>
      <c r="AJ728">
        <f>IF(tbl_HRData[[#This Row],[Attrition]] = "No",1,0)</f>
        <v>1</v>
      </c>
      <c r="AK728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728" s="1" t="str">
        <f>IF(tbl_HRData[[#This Row],[MonthlyIncome]]&lt;5000,"Low",
IF(tbl_HRData[[#This Row],[MonthlyIncome]]&lt;10000,"Medium",
IF(tbl_HRData[[#This Row],[MonthlyIncome]]&lt;15000,"Upper Medium","High")))</f>
        <v>Low</v>
      </c>
      <c r="AM728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729" spans="1:39" x14ac:dyDescent="0.35">
      <c r="A729" s="1">
        <v>728</v>
      </c>
      <c r="B729">
        <v>18</v>
      </c>
      <c r="C729" s="1" t="s">
        <v>40</v>
      </c>
      <c r="D729" s="1" t="s">
        <v>52</v>
      </c>
      <c r="E729">
        <v>287</v>
      </c>
      <c r="F729" s="1" t="s">
        <v>42</v>
      </c>
      <c r="G729">
        <v>5</v>
      </c>
      <c r="H729">
        <v>2</v>
      </c>
      <c r="I729" s="1" t="s">
        <v>36</v>
      </c>
      <c r="J729">
        <v>1012</v>
      </c>
      <c r="K729">
        <v>2</v>
      </c>
      <c r="L729" s="1" t="s">
        <v>43</v>
      </c>
      <c r="M729">
        <v>73</v>
      </c>
      <c r="N729">
        <v>3</v>
      </c>
      <c r="O729">
        <v>1</v>
      </c>
      <c r="P729" s="1" t="s">
        <v>44</v>
      </c>
      <c r="Q729">
        <v>4</v>
      </c>
      <c r="R729" s="1" t="s">
        <v>39</v>
      </c>
      <c r="S729">
        <v>1051</v>
      </c>
      <c r="T729">
        <v>13493</v>
      </c>
      <c r="U729">
        <v>1</v>
      </c>
      <c r="V729" s="1" t="s">
        <v>40</v>
      </c>
      <c r="W729">
        <v>15</v>
      </c>
      <c r="X729">
        <v>3</v>
      </c>
      <c r="Y729">
        <v>4</v>
      </c>
      <c r="Z729">
        <v>80</v>
      </c>
      <c r="AA729">
        <v>0</v>
      </c>
      <c r="AB729">
        <v>0</v>
      </c>
      <c r="AC729">
        <v>2</v>
      </c>
      <c r="AD729">
        <v>3</v>
      </c>
      <c r="AE729">
        <v>0</v>
      </c>
      <c r="AF729">
        <v>0</v>
      </c>
      <c r="AG729">
        <v>0</v>
      </c>
      <c r="AH729">
        <v>0</v>
      </c>
      <c r="AI729">
        <f>IF(tbl_HRData[[#This Row],[Attrition]] = "Yes",1,0)</f>
        <v>0</v>
      </c>
      <c r="AJ729">
        <f>IF(tbl_HRData[[#This Row],[Attrition]] = "No",1,0)</f>
        <v>1</v>
      </c>
      <c r="AK729" t="str">
        <f>IF(tbl_HRData[[#This Row],[Age]] &lt; 25, "Under 25", IF(tbl_HRData[[#This Row],[Age]] &lt;= 34, "25-34", IF(tbl_HRData[[#This Row],[Age]] &lt;= 44, "35-44", IF(tbl_HRData[[#This Row],[Age]] &lt;= 54, "45-54", "55+"))))</f>
        <v>Under 25</v>
      </c>
      <c r="AL729" s="1" t="str">
        <f>IF(tbl_HRData[[#This Row],[MonthlyIncome]]&lt;5000,"Low",
IF(tbl_HRData[[#This Row],[MonthlyIncome]]&lt;10000,"Medium",
IF(tbl_HRData[[#This Row],[MonthlyIncome]]&lt;15000,"Upper Medium","High")))</f>
        <v>Low</v>
      </c>
      <c r="AM729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730" spans="1:39" x14ac:dyDescent="0.35">
      <c r="A730" s="1">
        <v>729</v>
      </c>
      <c r="B730">
        <v>54</v>
      </c>
      <c r="C730" s="1" t="s">
        <v>40</v>
      </c>
      <c r="D730" s="1" t="s">
        <v>34</v>
      </c>
      <c r="E730">
        <v>1441</v>
      </c>
      <c r="F730" s="1" t="s">
        <v>42</v>
      </c>
      <c r="G730">
        <v>17</v>
      </c>
      <c r="H730">
        <v>3</v>
      </c>
      <c r="I730" s="1" t="s">
        <v>57</v>
      </c>
      <c r="J730">
        <v>1013</v>
      </c>
      <c r="K730">
        <v>3</v>
      </c>
      <c r="L730" s="1" t="s">
        <v>37</v>
      </c>
      <c r="M730">
        <v>56</v>
      </c>
      <c r="N730">
        <v>3</v>
      </c>
      <c r="O730">
        <v>3</v>
      </c>
      <c r="P730" s="1" t="s">
        <v>50</v>
      </c>
      <c r="Q730">
        <v>3</v>
      </c>
      <c r="R730" s="1" t="s">
        <v>45</v>
      </c>
      <c r="S730">
        <v>10739</v>
      </c>
      <c r="T730">
        <v>13943</v>
      </c>
      <c r="U730">
        <v>8</v>
      </c>
      <c r="V730" s="1" t="s">
        <v>40</v>
      </c>
      <c r="W730">
        <v>11</v>
      </c>
      <c r="X730">
        <v>3</v>
      </c>
      <c r="Y730">
        <v>3</v>
      </c>
      <c r="Z730">
        <v>80</v>
      </c>
      <c r="AA730">
        <v>1</v>
      </c>
      <c r="AB730">
        <v>22</v>
      </c>
      <c r="AC730">
        <v>2</v>
      </c>
      <c r="AD730">
        <v>3</v>
      </c>
      <c r="AE730">
        <v>10</v>
      </c>
      <c r="AF730">
        <v>7</v>
      </c>
      <c r="AG730">
        <v>0</v>
      </c>
      <c r="AH730">
        <v>8</v>
      </c>
      <c r="AI730">
        <f>IF(tbl_HRData[[#This Row],[Attrition]] = "Yes",1,0)</f>
        <v>0</v>
      </c>
      <c r="AJ730">
        <f>IF(tbl_HRData[[#This Row],[Attrition]] = "No",1,0)</f>
        <v>1</v>
      </c>
      <c r="AK730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730" s="1" t="str">
        <f>IF(tbl_HRData[[#This Row],[MonthlyIncome]]&lt;5000,"Low",
IF(tbl_HRData[[#This Row],[MonthlyIncome]]&lt;10000,"Medium",
IF(tbl_HRData[[#This Row],[MonthlyIncome]]&lt;15000,"Upper Medium","High")))</f>
        <v>Upper Medium</v>
      </c>
      <c r="AM730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731" spans="1:39" x14ac:dyDescent="0.35">
      <c r="A731" s="1">
        <v>730</v>
      </c>
      <c r="B731">
        <v>35</v>
      </c>
      <c r="C731" s="1" t="s">
        <v>40</v>
      </c>
      <c r="D731" s="1" t="s">
        <v>34</v>
      </c>
      <c r="E731">
        <v>583</v>
      </c>
      <c r="F731" s="1" t="s">
        <v>42</v>
      </c>
      <c r="G731">
        <v>25</v>
      </c>
      <c r="H731">
        <v>4</v>
      </c>
      <c r="I731" s="1" t="s">
        <v>48</v>
      </c>
      <c r="J731">
        <v>1014</v>
      </c>
      <c r="K731">
        <v>3</v>
      </c>
      <c r="L731" s="1" t="s">
        <v>37</v>
      </c>
      <c r="M731">
        <v>57</v>
      </c>
      <c r="N731">
        <v>3</v>
      </c>
      <c r="O731">
        <v>3</v>
      </c>
      <c r="P731" s="1" t="s">
        <v>51</v>
      </c>
      <c r="Q731">
        <v>3</v>
      </c>
      <c r="R731" s="1" t="s">
        <v>49</v>
      </c>
      <c r="S731">
        <v>10388</v>
      </c>
      <c r="T731">
        <v>6975</v>
      </c>
      <c r="U731">
        <v>1</v>
      </c>
      <c r="V731" s="1" t="s">
        <v>33</v>
      </c>
      <c r="W731">
        <v>11</v>
      </c>
      <c r="X731">
        <v>3</v>
      </c>
      <c r="Y731">
        <v>3</v>
      </c>
      <c r="Z731">
        <v>80</v>
      </c>
      <c r="AA731">
        <v>1</v>
      </c>
      <c r="AB731">
        <v>16</v>
      </c>
      <c r="AC731">
        <v>3</v>
      </c>
      <c r="AD731">
        <v>2</v>
      </c>
      <c r="AE731">
        <v>16</v>
      </c>
      <c r="AF731">
        <v>10</v>
      </c>
      <c r="AG731">
        <v>10</v>
      </c>
      <c r="AH731">
        <v>1</v>
      </c>
      <c r="AI731">
        <f>IF(tbl_HRData[[#This Row],[Attrition]] = "Yes",1,0)</f>
        <v>0</v>
      </c>
      <c r="AJ731">
        <f>IF(tbl_HRData[[#This Row],[Attrition]] = "No",1,0)</f>
        <v>1</v>
      </c>
      <c r="AK731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731" s="1" t="str">
        <f>IF(tbl_HRData[[#This Row],[MonthlyIncome]]&lt;5000,"Low",
IF(tbl_HRData[[#This Row],[MonthlyIncome]]&lt;10000,"Medium",
IF(tbl_HRData[[#This Row],[MonthlyIncome]]&lt;15000,"Upper Medium","High")))</f>
        <v>Upper Medium</v>
      </c>
      <c r="AM731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732" spans="1:39" x14ac:dyDescent="0.35">
      <c r="A732" s="1">
        <v>731</v>
      </c>
      <c r="B732">
        <v>30</v>
      </c>
      <c r="C732" s="1" t="s">
        <v>40</v>
      </c>
      <c r="D732" s="1" t="s">
        <v>34</v>
      </c>
      <c r="E732">
        <v>153</v>
      </c>
      <c r="F732" s="1" t="s">
        <v>42</v>
      </c>
      <c r="G732">
        <v>8</v>
      </c>
      <c r="H732">
        <v>2</v>
      </c>
      <c r="I732" s="1" t="s">
        <v>36</v>
      </c>
      <c r="J732">
        <v>1015</v>
      </c>
      <c r="K732">
        <v>2</v>
      </c>
      <c r="L732" s="1" t="s">
        <v>37</v>
      </c>
      <c r="M732">
        <v>73</v>
      </c>
      <c r="N732">
        <v>4</v>
      </c>
      <c r="O732">
        <v>3</v>
      </c>
      <c r="P732" s="1" t="s">
        <v>55</v>
      </c>
      <c r="Q732">
        <v>1</v>
      </c>
      <c r="R732" s="1" t="s">
        <v>45</v>
      </c>
      <c r="S732">
        <v>11416</v>
      </c>
      <c r="T732">
        <v>17802</v>
      </c>
      <c r="U732">
        <v>0</v>
      </c>
      <c r="V732" s="1" t="s">
        <v>33</v>
      </c>
      <c r="W732">
        <v>12</v>
      </c>
      <c r="X732">
        <v>3</v>
      </c>
      <c r="Y732">
        <v>3</v>
      </c>
      <c r="Z732">
        <v>80</v>
      </c>
      <c r="AA732">
        <v>3</v>
      </c>
      <c r="AB732">
        <v>9</v>
      </c>
      <c r="AC732">
        <v>4</v>
      </c>
      <c r="AD732">
        <v>2</v>
      </c>
      <c r="AE732">
        <v>8</v>
      </c>
      <c r="AF732">
        <v>7</v>
      </c>
      <c r="AG732">
        <v>1</v>
      </c>
      <c r="AH732">
        <v>7</v>
      </c>
      <c r="AI732">
        <f>IF(tbl_HRData[[#This Row],[Attrition]] = "Yes",1,0)</f>
        <v>0</v>
      </c>
      <c r="AJ732">
        <f>IF(tbl_HRData[[#This Row],[Attrition]] = "No",1,0)</f>
        <v>1</v>
      </c>
      <c r="AK732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732" s="1" t="str">
        <f>IF(tbl_HRData[[#This Row],[MonthlyIncome]]&lt;5000,"Low",
IF(tbl_HRData[[#This Row],[MonthlyIncome]]&lt;10000,"Medium",
IF(tbl_HRData[[#This Row],[MonthlyIncome]]&lt;15000,"Upper Medium","High")))</f>
        <v>Upper Medium</v>
      </c>
      <c r="AM732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733" spans="1:39" x14ac:dyDescent="0.35">
      <c r="A733" s="1">
        <v>732</v>
      </c>
      <c r="B733">
        <v>20</v>
      </c>
      <c r="C733" s="1" t="s">
        <v>33</v>
      </c>
      <c r="D733" s="1" t="s">
        <v>34</v>
      </c>
      <c r="E733">
        <v>1097</v>
      </c>
      <c r="F733" s="1" t="s">
        <v>42</v>
      </c>
      <c r="G733">
        <v>11</v>
      </c>
      <c r="H733">
        <v>3</v>
      </c>
      <c r="I733" s="1" t="s">
        <v>48</v>
      </c>
      <c r="J733">
        <v>1016</v>
      </c>
      <c r="K733">
        <v>4</v>
      </c>
      <c r="L733" s="1" t="s">
        <v>37</v>
      </c>
      <c r="M733">
        <v>98</v>
      </c>
      <c r="N733">
        <v>2</v>
      </c>
      <c r="O733">
        <v>1</v>
      </c>
      <c r="P733" s="1" t="s">
        <v>44</v>
      </c>
      <c r="Q733">
        <v>1</v>
      </c>
      <c r="R733" s="1" t="s">
        <v>39</v>
      </c>
      <c r="S733">
        <v>2600</v>
      </c>
      <c r="T733">
        <v>18275</v>
      </c>
      <c r="U733">
        <v>1</v>
      </c>
      <c r="V733" s="1" t="s">
        <v>33</v>
      </c>
      <c r="W733">
        <v>15</v>
      </c>
      <c r="X733">
        <v>3</v>
      </c>
      <c r="Y733">
        <v>1</v>
      </c>
      <c r="Z733">
        <v>80</v>
      </c>
      <c r="AA733">
        <v>0</v>
      </c>
      <c r="AB733">
        <v>1</v>
      </c>
      <c r="AC733">
        <v>2</v>
      </c>
      <c r="AD733">
        <v>3</v>
      </c>
      <c r="AE733">
        <v>1</v>
      </c>
      <c r="AF733">
        <v>0</v>
      </c>
      <c r="AG733">
        <v>0</v>
      </c>
      <c r="AH733">
        <v>0</v>
      </c>
      <c r="AI733">
        <f>IF(tbl_HRData[[#This Row],[Attrition]] = "Yes",1,0)</f>
        <v>1</v>
      </c>
      <c r="AJ733">
        <f>IF(tbl_HRData[[#This Row],[Attrition]] = "No",1,0)</f>
        <v>0</v>
      </c>
      <c r="AK733" t="str">
        <f>IF(tbl_HRData[[#This Row],[Age]] &lt; 25, "Under 25", IF(tbl_HRData[[#This Row],[Age]] &lt;= 34, "25-34", IF(tbl_HRData[[#This Row],[Age]] &lt;= 44, "35-44", IF(tbl_HRData[[#This Row],[Age]] &lt;= 54, "45-54", "55+"))))</f>
        <v>Under 25</v>
      </c>
      <c r="AL733" s="1" t="str">
        <f>IF(tbl_HRData[[#This Row],[MonthlyIncome]]&lt;5000,"Low",
IF(tbl_HRData[[#This Row],[MonthlyIncome]]&lt;10000,"Medium",
IF(tbl_HRData[[#This Row],[MonthlyIncome]]&lt;15000,"Upper Medium","High")))</f>
        <v>Low</v>
      </c>
      <c r="AM733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734" spans="1:39" x14ac:dyDescent="0.35">
      <c r="A734" s="1">
        <v>733</v>
      </c>
      <c r="B734">
        <v>30</v>
      </c>
      <c r="C734" s="1" t="s">
        <v>33</v>
      </c>
      <c r="D734" s="1" t="s">
        <v>41</v>
      </c>
      <c r="E734">
        <v>109</v>
      </c>
      <c r="F734" s="1" t="s">
        <v>42</v>
      </c>
      <c r="G734">
        <v>5</v>
      </c>
      <c r="H734">
        <v>3</v>
      </c>
      <c r="I734" s="1" t="s">
        <v>48</v>
      </c>
      <c r="J734">
        <v>1017</v>
      </c>
      <c r="K734">
        <v>2</v>
      </c>
      <c r="L734" s="1" t="s">
        <v>37</v>
      </c>
      <c r="M734">
        <v>60</v>
      </c>
      <c r="N734">
        <v>3</v>
      </c>
      <c r="O734">
        <v>1</v>
      </c>
      <c r="P734" s="1" t="s">
        <v>47</v>
      </c>
      <c r="Q734">
        <v>2</v>
      </c>
      <c r="R734" s="1" t="s">
        <v>39</v>
      </c>
      <c r="S734">
        <v>2422</v>
      </c>
      <c r="T734">
        <v>25725</v>
      </c>
      <c r="U734">
        <v>0</v>
      </c>
      <c r="V734" s="1" t="s">
        <v>40</v>
      </c>
      <c r="W734">
        <v>17</v>
      </c>
      <c r="X734">
        <v>3</v>
      </c>
      <c r="Y734">
        <v>1</v>
      </c>
      <c r="Z734">
        <v>80</v>
      </c>
      <c r="AA734">
        <v>0</v>
      </c>
      <c r="AB734">
        <v>4</v>
      </c>
      <c r="AC734">
        <v>3</v>
      </c>
      <c r="AD734">
        <v>3</v>
      </c>
      <c r="AE734">
        <v>3</v>
      </c>
      <c r="AF734">
        <v>2</v>
      </c>
      <c r="AG734">
        <v>1</v>
      </c>
      <c r="AH734">
        <v>2</v>
      </c>
      <c r="AI734">
        <f>IF(tbl_HRData[[#This Row],[Attrition]] = "Yes",1,0)</f>
        <v>1</v>
      </c>
      <c r="AJ734">
        <f>IF(tbl_HRData[[#This Row],[Attrition]] = "No",1,0)</f>
        <v>0</v>
      </c>
      <c r="AK734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734" s="1" t="str">
        <f>IF(tbl_HRData[[#This Row],[MonthlyIncome]]&lt;5000,"Low",
IF(tbl_HRData[[#This Row],[MonthlyIncome]]&lt;10000,"Medium",
IF(tbl_HRData[[#This Row],[MonthlyIncome]]&lt;15000,"Upper Medium","High")))</f>
        <v>Low</v>
      </c>
      <c r="AM734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735" spans="1:39" x14ac:dyDescent="0.35">
      <c r="A735" s="1">
        <v>734</v>
      </c>
      <c r="B735">
        <v>26</v>
      </c>
      <c r="C735" s="1" t="s">
        <v>40</v>
      </c>
      <c r="D735" s="1" t="s">
        <v>34</v>
      </c>
      <c r="E735">
        <v>1066</v>
      </c>
      <c r="F735" s="1" t="s">
        <v>42</v>
      </c>
      <c r="G735">
        <v>2</v>
      </c>
      <c r="H735">
        <v>2</v>
      </c>
      <c r="I735" s="1" t="s">
        <v>48</v>
      </c>
      <c r="J735">
        <v>1018</v>
      </c>
      <c r="K735">
        <v>4</v>
      </c>
      <c r="L735" s="1" t="s">
        <v>43</v>
      </c>
      <c r="M735">
        <v>32</v>
      </c>
      <c r="N735">
        <v>4</v>
      </c>
      <c r="O735">
        <v>2</v>
      </c>
      <c r="P735" s="1" t="s">
        <v>50</v>
      </c>
      <c r="Q735">
        <v>4</v>
      </c>
      <c r="R735" s="1" t="s">
        <v>45</v>
      </c>
      <c r="S735">
        <v>5472</v>
      </c>
      <c r="T735">
        <v>3334</v>
      </c>
      <c r="U735">
        <v>1</v>
      </c>
      <c r="V735" s="1" t="s">
        <v>40</v>
      </c>
      <c r="W735">
        <v>12</v>
      </c>
      <c r="X735">
        <v>3</v>
      </c>
      <c r="Y735">
        <v>2</v>
      </c>
      <c r="Z735">
        <v>80</v>
      </c>
      <c r="AA735">
        <v>0</v>
      </c>
      <c r="AB735">
        <v>8</v>
      </c>
      <c r="AC735">
        <v>2</v>
      </c>
      <c r="AD735">
        <v>3</v>
      </c>
      <c r="AE735">
        <v>8</v>
      </c>
      <c r="AF735">
        <v>7</v>
      </c>
      <c r="AG735">
        <v>1</v>
      </c>
      <c r="AH735">
        <v>3</v>
      </c>
      <c r="AI735">
        <f>IF(tbl_HRData[[#This Row],[Attrition]] = "Yes",1,0)</f>
        <v>0</v>
      </c>
      <c r="AJ735">
        <f>IF(tbl_HRData[[#This Row],[Attrition]] = "No",1,0)</f>
        <v>1</v>
      </c>
      <c r="AK735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735" s="1" t="str">
        <f>IF(tbl_HRData[[#This Row],[MonthlyIncome]]&lt;5000,"Low",
IF(tbl_HRData[[#This Row],[MonthlyIncome]]&lt;10000,"Medium",
IF(tbl_HRData[[#This Row],[MonthlyIncome]]&lt;15000,"Upper Medium","High")))</f>
        <v>Medium</v>
      </c>
      <c r="AM735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736" spans="1:39" x14ac:dyDescent="0.35">
      <c r="A736" s="1">
        <v>735</v>
      </c>
      <c r="B736">
        <v>22</v>
      </c>
      <c r="C736" s="1" t="s">
        <v>40</v>
      </c>
      <c r="D736" s="1" t="s">
        <v>34</v>
      </c>
      <c r="E736">
        <v>217</v>
      </c>
      <c r="F736" s="1" t="s">
        <v>42</v>
      </c>
      <c r="G736">
        <v>8</v>
      </c>
      <c r="H736">
        <v>1</v>
      </c>
      <c r="I736" s="1" t="s">
        <v>36</v>
      </c>
      <c r="J736">
        <v>1019</v>
      </c>
      <c r="K736">
        <v>2</v>
      </c>
      <c r="L736" s="1" t="s">
        <v>43</v>
      </c>
      <c r="M736">
        <v>94</v>
      </c>
      <c r="N736">
        <v>1</v>
      </c>
      <c r="O736">
        <v>1</v>
      </c>
      <c r="P736" s="1" t="s">
        <v>47</v>
      </c>
      <c r="Q736">
        <v>1</v>
      </c>
      <c r="R736" s="1" t="s">
        <v>45</v>
      </c>
      <c r="S736">
        <v>2451</v>
      </c>
      <c r="T736">
        <v>6881</v>
      </c>
      <c r="U736">
        <v>1</v>
      </c>
      <c r="V736" s="1" t="s">
        <v>40</v>
      </c>
      <c r="W736">
        <v>15</v>
      </c>
      <c r="X736">
        <v>3</v>
      </c>
      <c r="Y736">
        <v>1</v>
      </c>
      <c r="Z736">
        <v>80</v>
      </c>
      <c r="AA736">
        <v>1</v>
      </c>
      <c r="AB736">
        <v>4</v>
      </c>
      <c r="AC736">
        <v>3</v>
      </c>
      <c r="AD736">
        <v>2</v>
      </c>
      <c r="AE736">
        <v>4</v>
      </c>
      <c r="AF736">
        <v>3</v>
      </c>
      <c r="AG736">
        <v>1</v>
      </c>
      <c r="AH736">
        <v>1</v>
      </c>
      <c r="AI736">
        <f>IF(tbl_HRData[[#This Row],[Attrition]] = "Yes",1,0)</f>
        <v>0</v>
      </c>
      <c r="AJ736">
        <f>IF(tbl_HRData[[#This Row],[Attrition]] = "No",1,0)</f>
        <v>1</v>
      </c>
      <c r="AK736" t="str">
        <f>IF(tbl_HRData[[#This Row],[Age]] &lt; 25, "Under 25", IF(tbl_HRData[[#This Row],[Age]] &lt;= 34, "25-34", IF(tbl_HRData[[#This Row],[Age]] &lt;= 44, "35-44", IF(tbl_HRData[[#This Row],[Age]] &lt;= 54, "45-54", "55+"))))</f>
        <v>Under 25</v>
      </c>
      <c r="AL736" s="1" t="str">
        <f>IF(tbl_HRData[[#This Row],[MonthlyIncome]]&lt;5000,"Low",
IF(tbl_HRData[[#This Row],[MonthlyIncome]]&lt;10000,"Medium",
IF(tbl_HRData[[#This Row],[MonthlyIncome]]&lt;15000,"Upper Medium","High")))</f>
        <v>Low</v>
      </c>
      <c r="AM736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737" spans="1:39" x14ac:dyDescent="0.35">
      <c r="A737" s="1">
        <v>736</v>
      </c>
      <c r="B737">
        <v>48</v>
      </c>
      <c r="C737" s="1" t="s">
        <v>40</v>
      </c>
      <c r="D737" s="1" t="s">
        <v>34</v>
      </c>
      <c r="E737">
        <v>277</v>
      </c>
      <c r="F737" s="1" t="s">
        <v>42</v>
      </c>
      <c r="G737">
        <v>6</v>
      </c>
      <c r="H737">
        <v>3</v>
      </c>
      <c r="I737" s="1" t="s">
        <v>36</v>
      </c>
      <c r="J737">
        <v>1022</v>
      </c>
      <c r="K737">
        <v>1</v>
      </c>
      <c r="L737" s="1" t="s">
        <v>43</v>
      </c>
      <c r="M737">
        <v>97</v>
      </c>
      <c r="N737">
        <v>2</v>
      </c>
      <c r="O737">
        <v>2</v>
      </c>
      <c r="P737" s="1" t="s">
        <v>51</v>
      </c>
      <c r="Q737">
        <v>3</v>
      </c>
      <c r="R737" s="1" t="s">
        <v>39</v>
      </c>
      <c r="S737">
        <v>4240</v>
      </c>
      <c r="T737">
        <v>13119</v>
      </c>
      <c r="U737">
        <v>2</v>
      </c>
      <c r="V737" s="1" t="s">
        <v>40</v>
      </c>
      <c r="W737">
        <v>13</v>
      </c>
      <c r="X737">
        <v>3</v>
      </c>
      <c r="Y737">
        <v>4</v>
      </c>
      <c r="Z737">
        <v>80</v>
      </c>
      <c r="AA737">
        <v>0</v>
      </c>
      <c r="AB737">
        <v>19</v>
      </c>
      <c r="AC737">
        <v>0</v>
      </c>
      <c r="AD737">
        <v>3</v>
      </c>
      <c r="AE737">
        <v>2</v>
      </c>
      <c r="AF737">
        <v>2</v>
      </c>
      <c r="AG737">
        <v>2</v>
      </c>
      <c r="AH737">
        <v>2</v>
      </c>
      <c r="AI737">
        <f>IF(tbl_HRData[[#This Row],[Attrition]] = "Yes",1,0)</f>
        <v>0</v>
      </c>
      <c r="AJ737">
        <f>IF(tbl_HRData[[#This Row],[Attrition]] = "No",1,0)</f>
        <v>1</v>
      </c>
      <c r="AK737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737" s="1" t="str">
        <f>IF(tbl_HRData[[#This Row],[MonthlyIncome]]&lt;5000,"Low",
IF(tbl_HRData[[#This Row],[MonthlyIncome]]&lt;10000,"Medium",
IF(tbl_HRData[[#This Row],[MonthlyIncome]]&lt;15000,"Upper Medium","High")))</f>
        <v>Low</v>
      </c>
      <c r="AM737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738" spans="1:39" x14ac:dyDescent="0.35">
      <c r="A738" s="1">
        <v>737</v>
      </c>
      <c r="B738">
        <v>48</v>
      </c>
      <c r="C738" s="1" t="s">
        <v>40</v>
      </c>
      <c r="D738" s="1" t="s">
        <v>34</v>
      </c>
      <c r="E738">
        <v>1355</v>
      </c>
      <c r="F738" s="1" t="s">
        <v>42</v>
      </c>
      <c r="G738">
        <v>4</v>
      </c>
      <c r="H738">
        <v>4</v>
      </c>
      <c r="I738" s="1" t="s">
        <v>36</v>
      </c>
      <c r="J738">
        <v>1024</v>
      </c>
      <c r="K738">
        <v>3</v>
      </c>
      <c r="L738" s="1" t="s">
        <v>43</v>
      </c>
      <c r="M738">
        <v>78</v>
      </c>
      <c r="N738">
        <v>2</v>
      </c>
      <c r="O738">
        <v>3</v>
      </c>
      <c r="P738" s="1" t="s">
        <v>51</v>
      </c>
      <c r="Q738">
        <v>3</v>
      </c>
      <c r="R738" s="1" t="s">
        <v>39</v>
      </c>
      <c r="S738">
        <v>10999</v>
      </c>
      <c r="T738">
        <v>22245</v>
      </c>
      <c r="U738">
        <v>7</v>
      </c>
      <c r="V738" s="1" t="s">
        <v>40</v>
      </c>
      <c r="W738">
        <v>14</v>
      </c>
      <c r="X738">
        <v>3</v>
      </c>
      <c r="Y738">
        <v>2</v>
      </c>
      <c r="Z738">
        <v>80</v>
      </c>
      <c r="AA738">
        <v>0</v>
      </c>
      <c r="AB738">
        <v>27</v>
      </c>
      <c r="AC738">
        <v>3</v>
      </c>
      <c r="AD738">
        <v>3</v>
      </c>
      <c r="AE738">
        <v>15</v>
      </c>
      <c r="AF738">
        <v>11</v>
      </c>
      <c r="AG738">
        <v>4</v>
      </c>
      <c r="AH738">
        <v>8</v>
      </c>
      <c r="AI738">
        <f>IF(tbl_HRData[[#This Row],[Attrition]] = "Yes",1,0)</f>
        <v>0</v>
      </c>
      <c r="AJ738">
        <f>IF(tbl_HRData[[#This Row],[Attrition]] = "No",1,0)</f>
        <v>1</v>
      </c>
      <c r="AK738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738" s="1" t="str">
        <f>IF(tbl_HRData[[#This Row],[MonthlyIncome]]&lt;5000,"Low",
IF(tbl_HRData[[#This Row],[MonthlyIncome]]&lt;10000,"Medium",
IF(tbl_HRData[[#This Row],[MonthlyIncome]]&lt;15000,"Upper Medium","High")))</f>
        <v>Upper Medium</v>
      </c>
      <c r="AM738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739" spans="1:39" x14ac:dyDescent="0.35">
      <c r="A739" s="1">
        <v>738</v>
      </c>
      <c r="B739">
        <v>41</v>
      </c>
      <c r="C739" s="1" t="s">
        <v>40</v>
      </c>
      <c r="D739" s="1" t="s">
        <v>34</v>
      </c>
      <c r="E739">
        <v>549</v>
      </c>
      <c r="F739" s="1" t="s">
        <v>42</v>
      </c>
      <c r="G739">
        <v>7</v>
      </c>
      <c r="H739">
        <v>2</v>
      </c>
      <c r="I739" s="1" t="s">
        <v>48</v>
      </c>
      <c r="J739">
        <v>1025</v>
      </c>
      <c r="K739">
        <v>4</v>
      </c>
      <c r="L739" s="1" t="s">
        <v>37</v>
      </c>
      <c r="M739">
        <v>42</v>
      </c>
      <c r="N739">
        <v>3</v>
      </c>
      <c r="O739">
        <v>2</v>
      </c>
      <c r="P739" s="1" t="s">
        <v>50</v>
      </c>
      <c r="Q739">
        <v>3</v>
      </c>
      <c r="R739" s="1" t="s">
        <v>39</v>
      </c>
      <c r="S739">
        <v>5003</v>
      </c>
      <c r="T739">
        <v>23371</v>
      </c>
      <c r="U739">
        <v>6</v>
      </c>
      <c r="V739" s="1" t="s">
        <v>40</v>
      </c>
      <c r="W739">
        <v>14</v>
      </c>
      <c r="X739">
        <v>3</v>
      </c>
      <c r="Y739">
        <v>2</v>
      </c>
      <c r="Z739">
        <v>80</v>
      </c>
      <c r="AA739">
        <v>0</v>
      </c>
      <c r="AB739">
        <v>8</v>
      </c>
      <c r="AC739">
        <v>6</v>
      </c>
      <c r="AD739">
        <v>3</v>
      </c>
      <c r="AE739">
        <v>2</v>
      </c>
      <c r="AF739">
        <v>2</v>
      </c>
      <c r="AG739">
        <v>2</v>
      </c>
      <c r="AH739">
        <v>1</v>
      </c>
      <c r="AI739">
        <f>IF(tbl_HRData[[#This Row],[Attrition]] = "Yes",1,0)</f>
        <v>0</v>
      </c>
      <c r="AJ739">
        <f>IF(tbl_HRData[[#This Row],[Attrition]] = "No",1,0)</f>
        <v>1</v>
      </c>
      <c r="AK739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739" s="1" t="str">
        <f>IF(tbl_HRData[[#This Row],[MonthlyIncome]]&lt;5000,"Low",
IF(tbl_HRData[[#This Row],[MonthlyIncome]]&lt;10000,"Medium",
IF(tbl_HRData[[#This Row],[MonthlyIncome]]&lt;15000,"Upper Medium","High")))</f>
        <v>Medium</v>
      </c>
      <c r="AM739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740" spans="1:39" x14ac:dyDescent="0.35">
      <c r="A740" s="1">
        <v>739</v>
      </c>
      <c r="B740">
        <v>39</v>
      </c>
      <c r="C740" s="1" t="s">
        <v>40</v>
      </c>
      <c r="D740" s="1" t="s">
        <v>34</v>
      </c>
      <c r="E740">
        <v>466</v>
      </c>
      <c r="F740" s="1" t="s">
        <v>42</v>
      </c>
      <c r="G740">
        <v>1</v>
      </c>
      <c r="H740">
        <v>1</v>
      </c>
      <c r="I740" s="1" t="s">
        <v>36</v>
      </c>
      <c r="J740">
        <v>1026</v>
      </c>
      <c r="K740">
        <v>4</v>
      </c>
      <c r="L740" s="1" t="s">
        <v>37</v>
      </c>
      <c r="M740">
        <v>65</v>
      </c>
      <c r="N740">
        <v>2</v>
      </c>
      <c r="O740">
        <v>4</v>
      </c>
      <c r="P740" s="1" t="s">
        <v>50</v>
      </c>
      <c r="Q740">
        <v>4</v>
      </c>
      <c r="R740" s="1" t="s">
        <v>45</v>
      </c>
      <c r="S740">
        <v>12742</v>
      </c>
      <c r="T740">
        <v>7060</v>
      </c>
      <c r="U740">
        <v>1</v>
      </c>
      <c r="V740" s="1" t="s">
        <v>40</v>
      </c>
      <c r="W740">
        <v>16</v>
      </c>
      <c r="X740">
        <v>3</v>
      </c>
      <c r="Y740">
        <v>3</v>
      </c>
      <c r="Z740">
        <v>80</v>
      </c>
      <c r="AA740">
        <v>1</v>
      </c>
      <c r="AB740">
        <v>21</v>
      </c>
      <c r="AC740">
        <v>3</v>
      </c>
      <c r="AD740">
        <v>3</v>
      </c>
      <c r="AE740">
        <v>21</v>
      </c>
      <c r="AF740">
        <v>6</v>
      </c>
      <c r="AG740">
        <v>11</v>
      </c>
      <c r="AH740">
        <v>8</v>
      </c>
      <c r="AI740">
        <f>IF(tbl_HRData[[#This Row],[Attrition]] = "Yes",1,0)</f>
        <v>0</v>
      </c>
      <c r="AJ740">
        <f>IF(tbl_HRData[[#This Row],[Attrition]] = "No",1,0)</f>
        <v>1</v>
      </c>
      <c r="AK740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740" s="1" t="str">
        <f>IF(tbl_HRData[[#This Row],[MonthlyIncome]]&lt;5000,"Low",
IF(tbl_HRData[[#This Row],[MonthlyIncome]]&lt;10000,"Medium",
IF(tbl_HRData[[#This Row],[MonthlyIncome]]&lt;15000,"Upper Medium","High")))</f>
        <v>Upper Medium</v>
      </c>
      <c r="AM740" s="1" t="str">
        <f>IF(tbl_HRData[[#This Row],[YearsAtCompany]]&lt;=5,"0-5 Years",
IF(tbl_HRData[[#This Row],[YearsAtCompany]]&lt;=10,"6-10 Years",
IF(tbl_HRData[[#This Row],[YearsAtCompany]]&lt;=20,"11-20 Years","21+ Years")))</f>
        <v>21+ Years</v>
      </c>
    </row>
    <row r="741" spans="1:39" x14ac:dyDescent="0.35">
      <c r="A741" s="1">
        <v>740</v>
      </c>
      <c r="B741">
        <v>27</v>
      </c>
      <c r="C741" s="1" t="s">
        <v>40</v>
      </c>
      <c r="D741" s="1" t="s">
        <v>34</v>
      </c>
      <c r="E741">
        <v>1055</v>
      </c>
      <c r="F741" s="1" t="s">
        <v>42</v>
      </c>
      <c r="G741">
        <v>2</v>
      </c>
      <c r="H741">
        <v>4</v>
      </c>
      <c r="I741" s="1" t="s">
        <v>36</v>
      </c>
      <c r="J741">
        <v>1027</v>
      </c>
      <c r="K741">
        <v>1</v>
      </c>
      <c r="L741" s="1" t="s">
        <v>37</v>
      </c>
      <c r="M741">
        <v>47</v>
      </c>
      <c r="N741">
        <v>3</v>
      </c>
      <c r="O741">
        <v>2</v>
      </c>
      <c r="P741" s="1" t="s">
        <v>50</v>
      </c>
      <c r="Q741">
        <v>4</v>
      </c>
      <c r="R741" s="1" t="s">
        <v>45</v>
      </c>
      <c r="S741">
        <v>4227</v>
      </c>
      <c r="T741">
        <v>4658</v>
      </c>
      <c r="U741">
        <v>0</v>
      </c>
      <c r="V741" s="1" t="s">
        <v>40</v>
      </c>
      <c r="W741">
        <v>18</v>
      </c>
      <c r="X741">
        <v>3</v>
      </c>
      <c r="Y741">
        <v>2</v>
      </c>
      <c r="Z741">
        <v>80</v>
      </c>
      <c r="AA741">
        <v>1</v>
      </c>
      <c r="AB741">
        <v>4</v>
      </c>
      <c r="AC741">
        <v>2</v>
      </c>
      <c r="AD741">
        <v>3</v>
      </c>
      <c r="AE741">
        <v>3</v>
      </c>
      <c r="AF741">
        <v>2</v>
      </c>
      <c r="AG741">
        <v>2</v>
      </c>
      <c r="AH741">
        <v>2</v>
      </c>
      <c r="AI741">
        <f>IF(tbl_HRData[[#This Row],[Attrition]] = "Yes",1,0)</f>
        <v>0</v>
      </c>
      <c r="AJ741">
        <f>IF(tbl_HRData[[#This Row],[Attrition]] = "No",1,0)</f>
        <v>1</v>
      </c>
      <c r="AK741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741" s="1" t="str">
        <f>IF(tbl_HRData[[#This Row],[MonthlyIncome]]&lt;5000,"Low",
IF(tbl_HRData[[#This Row],[MonthlyIncome]]&lt;10000,"Medium",
IF(tbl_HRData[[#This Row],[MonthlyIncome]]&lt;15000,"Upper Medium","High")))</f>
        <v>Low</v>
      </c>
      <c r="AM741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742" spans="1:39" x14ac:dyDescent="0.35">
      <c r="A742" s="1">
        <v>741</v>
      </c>
      <c r="B742">
        <v>35</v>
      </c>
      <c r="C742" s="1" t="s">
        <v>40</v>
      </c>
      <c r="D742" s="1" t="s">
        <v>34</v>
      </c>
      <c r="E742">
        <v>802</v>
      </c>
      <c r="F742" s="1" t="s">
        <v>42</v>
      </c>
      <c r="G742">
        <v>10</v>
      </c>
      <c r="H742">
        <v>3</v>
      </c>
      <c r="I742" s="1" t="s">
        <v>46</v>
      </c>
      <c r="J742">
        <v>1028</v>
      </c>
      <c r="K742">
        <v>2</v>
      </c>
      <c r="L742" s="1" t="s">
        <v>43</v>
      </c>
      <c r="M742">
        <v>45</v>
      </c>
      <c r="N742">
        <v>3</v>
      </c>
      <c r="O742">
        <v>1</v>
      </c>
      <c r="P742" s="1" t="s">
        <v>47</v>
      </c>
      <c r="Q742">
        <v>4</v>
      </c>
      <c r="R742" s="1" t="s">
        <v>49</v>
      </c>
      <c r="S742">
        <v>3917</v>
      </c>
      <c r="T742">
        <v>9541</v>
      </c>
      <c r="U742">
        <v>1</v>
      </c>
      <c r="V742" s="1" t="s">
        <v>40</v>
      </c>
      <c r="W742">
        <v>20</v>
      </c>
      <c r="X742">
        <v>4</v>
      </c>
      <c r="Y742">
        <v>1</v>
      </c>
      <c r="Z742">
        <v>80</v>
      </c>
      <c r="AA742">
        <v>1</v>
      </c>
      <c r="AB742">
        <v>3</v>
      </c>
      <c r="AC742">
        <v>4</v>
      </c>
      <c r="AD742">
        <v>2</v>
      </c>
      <c r="AE742">
        <v>3</v>
      </c>
      <c r="AF742">
        <v>2</v>
      </c>
      <c r="AG742">
        <v>1</v>
      </c>
      <c r="AH742">
        <v>2</v>
      </c>
      <c r="AI742">
        <f>IF(tbl_HRData[[#This Row],[Attrition]] = "Yes",1,0)</f>
        <v>0</v>
      </c>
      <c r="AJ742">
        <f>IF(tbl_HRData[[#This Row],[Attrition]] = "No",1,0)</f>
        <v>1</v>
      </c>
      <c r="AK742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742" s="1" t="str">
        <f>IF(tbl_HRData[[#This Row],[MonthlyIncome]]&lt;5000,"Low",
IF(tbl_HRData[[#This Row],[MonthlyIncome]]&lt;10000,"Medium",
IF(tbl_HRData[[#This Row],[MonthlyIncome]]&lt;15000,"Upper Medium","High")))</f>
        <v>Low</v>
      </c>
      <c r="AM742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743" spans="1:39" x14ac:dyDescent="0.35">
      <c r="A743" s="1">
        <v>742</v>
      </c>
      <c r="B743">
        <v>42</v>
      </c>
      <c r="C743" s="1" t="s">
        <v>40</v>
      </c>
      <c r="D743" s="1" t="s">
        <v>34</v>
      </c>
      <c r="E743">
        <v>265</v>
      </c>
      <c r="F743" s="1" t="s">
        <v>35</v>
      </c>
      <c r="G743">
        <v>5</v>
      </c>
      <c r="H743">
        <v>2</v>
      </c>
      <c r="I743" s="1" t="s">
        <v>56</v>
      </c>
      <c r="J743">
        <v>1029</v>
      </c>
      <c r="K743">
        <v>4</v>
      </c>
      <c r="L743" s="1" t="s">
        <v>43</v>
      </c>
      <c r="M743">
        <v>90</v>
      </c>
      <c r="N743">
        <v>3</v>
      </c>
      <c r="O743">
        <v>5</v>
      </c>
      <c r="P743" s="1" t="s">
        <v>53</v>
      </c>
      <c r="Q743">
        <v>3</v>
      </c>
      <c r="R743" s="1" t="s">
        <v>45</v>
      </c>
      <c r="S743">
        <v>18303</v>
      </c>
      <c r="T743">
        <v>7770</v>
      </c>
      <c r="U743">
        <v>6</v>
      </c>
      <c r="V743" s="1" t="s">
        <v>40</v>
      </c>
      <c r="W743">
        <v>13</v>
      </c>
      <c r="X743">
        <v>3</v>
      </c>
      <c r="Y743">
        <v>2</v>
      </c>
      <c r="Z743">
        <v>80</v>
      </c>
      <c r="AA743">
        <v>0</v>
      </c>
      <c r="AB743">
        <v>21</v>
      </c>
      <c r="AC743">
        <v>3</v>
      </c>
      <c r="AD743">
        <v>4</v>
      </c>
      <c r="AE743">
        <v>1</v>
      </c>
      <c r="AF743">
        <v>0</v>
      </c>
      <c r="AG743">
        <v>0</v>
      </c>
      <c r="AH743">
        <v>0</v>
      </c>
      <c r="AI743">
        <f>IF(tbl_HRData[[#This Row],[Attrition]] = "Yes",1,0)</f>
        <v>0</v>
      </c>
      <c r="AJ743">
        <f>IF(tbl_HRData[[#This Row],[Attrition]] = "No",1,0)</f>
        <v>1</v>
      </c>
      <c r="AK743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743" s="1" t="str">
        <f>IF(tbl_HRData[[#This Row],[MonthlyIncome]]&lt;5000,"Low",
IF(tbl_HRData[[#This Row],[MonthlyIncome]]&lt;10000,"Medium",
IF(tbl_HRData[[#This Row],[MonthlyIncome]]&lt;15000,"Upper Medium","High")))</f>
        <v>High</v>
      </c>
      <c r="AM743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744" spans="1:39" x14ac:dyDescent="0.35">
      <c r="A744" s="1">
        <v>743</v>
      </c>
      <c r="B744">
        <v>50</v>
      </c>
      <c r="C744" s="1" t="s">
        <v>40</v>
      </c>
      <c r="D744" s="1" t="s">
        <v>34</v>
      </c>
      <c r="E744">
        <v>804</v>
      </c>
      <c r="F744" s="1" t="s">
        <v>42</v>
      </c>
      <c r="G744">
        <v>9</v>
      </c>
      <c r="H744">
        <v>3</v>
      </c>
      <c r="I744" s="1" t="s">
        <v>36</v>
      </c>
      <c r="J744">
        <v>1030</v>
      </c>
      <c r="K744">
        <v>1</v>
      </c>
      <c r="L744" s="1" t="s">
        <v>43</v>
      </c>
      <c r="M744">
        <v>64</v>
      </c>
      <c r="N744">
        <v>3</v>
      </c>
      <c r="O744">
        <v>1</v>
      </c>
      <c r="P744" s="1" t="s">
        <v>47</v>
      </c>
      <c r="Q744">
        <v>4</v>
      </c>
      <c r="R744" s="1" t="s">
        <v>45</v>
      </c>
      <c r="S744">
        <v>2380</v>
      </c>
      <c r="T744">
        <v>20165</v>
      </c>
      <c r="U744">
        <v>4</v>
      </c>
      <c r="V744" s="1" t="s">
        <v>40</v>
      </c>
      <c r="W744">
        <v>18</v>
      </c>
      <c r="X744">
        <v>3</v>
      </c>
      <c r="Y744">
        <v>2</v>
      </c>
      <c r="Z744">
        <v>80</v>
      </c>
      <c r="AA744">
        <v>0</v>
      </c>
      <c r="AB744">
        <v>8</v>
      </c>
      <c r="AC744">
        <v>5</v>
      </c>
      <c r="AD744">
        <v>3</v>
      </c>
      <c r="AE744">
        <v>1</v>
      </c>
      <c r="AF744">
        <v>0</v>
      </c>
      <c r="AG744">
        <v>0</v>
      </c>
      <c r="AH744">
        <v>0</v>
      </c>
      <c r="AI744">
        <f>IF(tbl_HRData[[#This Row],[Attrition]] = "Yes",1,0)</f>
        <v>0</v>
      </c>
      <c r="AJ744">
        <f>IF(tbl_HRData[[#This Row],[Attrition]] = "No",1,0)</f>
        <v>1</v>
      </c>
      <c r="AK744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744" s="1" t="str">
        <f>IF(tbl_HRData[[#This Row],[MonthlyIncome]]&lt;5000,"Low",
IF(tbl_HRData[[#This Row],[MonthlyIncome]]&lt;10000,"Medium",
IF(tbl_HRData[[#This Row],[MonthlyIncome]]&lt;15000,"Upper Medium","High")))</f>
        <v>Low</v>
      </c>
      <c r="AM744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745" spans="1:39" x14ac:dyDescent="0.35">
      <c r="A745" s="1">
        <v>744</v>
      </c>
      <c r="B745">
        <v>59</v>
      </c>
      <c r="C745" s="1" t="s">
        <v>40</v>
      </c>
      <c r="D745" s="1" t="s">
        <v>34</v>
      </c>
      <c r="E745">
        <v>715</v>
      </c>
      <c r="F745" s="1" t="s">
        <v>42</v>
      </c>
      <c r="G745">
        <v>2</v>
      </c>
      <c r="H745">
        <v>3</v>
      </c>
      <c r="I745" s="1" t="s">
        <v>36</v>
      </c>
      <c r="J745">
        <v>1032</v>
      </c>
      <c r="K745">
        <v>3</v>
      </c>
      <c r="L745" s="1" t="s">
        <v>37</v>
      </c>
      <c r="M745">
        <v>69</v>
      </c>
      <c r="N745">
        <v>2</v>
      </c>
      <c r="O745">
        <v>4</v>
      </c>
      <c r="P745" s="1" t="s">
        <v>50</v>
      </c>
      <c r="Q745">
        <v>4</v>
      </c>
      <c r="R745" s="1" t="s">
        <v>39</v>
      </c>
      <c r="S745">
        <v>13726</v>
      </c>
      <c r="T745">
        <v>21829</v>
      </c>
      <c r="U745">
        <v>3</v>
      </c>
      <c r="V745" s="1" t="s">
        <v>33</v>
      </c>
      <c r="W745">
        <v>13</v>
      </c>
      <c r="X745">
        <v>3</v>
      </c>
      <c r="Y745">
        <v>1</v>
      </c>
      <c r="Z745">
        <v>80</v>
      </c>
      <c r="AA745">
        <v>0</v>
      </c>
      <c r="AB745">
        <v>30</v>
      </c>
      <c r="AC745">
        <v>4</v>
      </c>
      <c r="AD745">
        <v>3</v>
      </c>
      <c r="AE745">
        <v>5</v>
      </c>
      <c r="AF745">
        <v>3</v>
      </c>
      <c r="AG745">
        <v>4</v>
      </c>
      <c r="AH745">
        <v>3</v>
      </c>
      <c r="AI745">
        <f>IF(tbl_HRData[[#This Row],[Attrition]] = "Yes",1,0)</f>
        <v>0</v>
      </c>
      <c r="AJ745">
        <f>IF(tbl_HRData[[#This Row],[Attrition]] = "No",1,0)</f>
        <v>1</v>
      </c>
      <c r="AK745" t="str">
        <f>IF(tbl_HRData[[#This Row],[Age]] &lt; 25, "Under 25", IF(tbl_HRData[[#This Row],[Age]] &lt;= 34, "25-34", IF(tbl_HRData[[#This Row],[Age]] &lt;= 44, "35-44", IF(tbl_HRData[[#This Row],[Age]] &lt;= 54, "45-54", "55+"))))</f>
        <v>55+</v>
      </c>
      <c r="AL745" s="1" t="str">
        <f>IF(tbl_HRData[[#This Row],[MonthlyIncome]]&lt;5000,"Low",
IF(tbl_HRData[[#This Row],[MonthlyIncome]]&lt;10000,"Medium",
IF(tbl_HRData[[#This Row],[MonthlyIncome]]&lt;15000,"Upper Medium","High")))</f>
        <v>Upper Medium</v>
      </c>
      <c r="AM745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746" spans="1:39" x14ac:dyDescent="0.35">
      <c r="A746" s="1">
        <v>745</v>
      </c>
      <c r="B746">
        <v>37</v>
      </c>
      <c r="C746" s="1" t="s">
        <v>33</v>
      </c>
      <c r="D746" s="1" t="s">
        <v>34</v>
      </c>
      <c r="E746">
        <v>1141</v>
      </c>
      <c r="F746" s="1" t="s">
        <v>42</v>
      </c>
      <c r="G746">
        <v>11</v>
      </c>
      <c r="H746">
        <v>2</v>
      </c>
      <c r="I746" s="1" t="s">
        <v>48</v>
      </c>
      <c r="J746">
        <v>1033</v>
      </c>
      <c r="K746">
        <v>1</v>
      </c>
      <c r="L746" s="1" t="s">
        <v>37</v>
      </c>
      <c r="M746">
        <v>61</v>
      </c>
      <c r="N746">
        <v>1</v>
      </c>
      <c r="O746">
        <v>2</v>
      </c>
      <c r="P746" s="1" t="s">
        <v>51</v>
      </c>
      <c r="Q746">
        <v>2</v>
      </c>
      <c r="R746" s="1" t="s">
        <v>45</v>
      </c>
      <c r="S746">
        <v>4777</v>
      </c>
      <c r="T746">
        <v>14382</v>
      </c>
      <c r="U746">
        <v>5</v>
      </c>
      <c r="V746" s="1" t="s">
        <v>40</v>
      </c>
      <c r="W746">
        <v>15</v>
      </c>
      <c r="X746">
        <v>3</v>
      </c>
      <c r="Y746">
        <v>1</v>
      </c>
      <c r="Z746">
        <v>80</v>
      </c>
      <c r="AA746">
        <v>0</v>
      </c>
      <c r="AB746">
        <v>15</v>
      </c>
      <c r="AC746">
        <v>2</v>
      </c>
      <c r="AD746">
        <v>1</v>
      </c>
      <c r="AE746">
        <v>1</v>
      </c>
      <c r="AF746">
        <v>0</v>
      </c>
      <c r="AG746">
        <v>0</v>
      </c>
      <c r="AH746">
        <v>0</v>
      </c>
      <c r="AI746">
        <f>IF(tbl_HRData[[#This Row],[Attrition]] = "Yes",1,0)</f>
        <v>1</v>
      </c>
      <c r="AJ746">
        <f>IF(tbl_HRData[[#This Row],[Attrition]] = "No",1,0)</f>
        <v>0</v>
      </c>
      <c r="AK746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746" s="1" t="str">
        <f>IF(tbl_HRData[[#This Row],[MonthlyIncome]]&lt;5000,"Low",
IF(tbl_HRData[[#This Row],[MonthlyIncome]]&lt;10000,"Medium",
IF(tbl_HRData[[#This Row],[MonthlyIncome]]&lt;15000,"Upper Medium","High")))</f>
        <v>Low</v>
      </c>
      <c r="AM746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747" spans="1:39" x14ac:dyDescent="0.35">
      <c r="A747" s="1">
        <v>746</v>
      </c>
      <c r="B747">
        <v>55</v>
      </c>
      <c r="C747" s="1" t="s">
        <v>40</v>
      </c>
      <c r="D747" s="1" t="s">
        <v>41</v>
      </c>
      <c r="E747">
        <v>135</v>
      </c>
      <c r="F747" s="1" t="s">
        <v>42</v>
      </c>
      <c r="G747">
        <v>18</v>
      </c>
      <c r="H747">
        <v>4</v>
      </c>
      <c r="I747" s="1" t="s">
        <v>48</v>
      </c>
      <c r="J747">
        <v>1034</v>
      </c>
      <c r="K747">
        <v>3</v>
      </c>
      <c r="L747" s="1" t="s">
        <v>43</v>
      </c>
      <c r="M747">
        <v>62</v>
      </c>
      <c r="N747">
        <v>3</v>
      </c>
      <c r="O747">
        <v>2</v>
      </c>
      <c r="P747" s="1" t="s">
        <v>51</v>
      </c>
      <c r="Q747">
        <v>2</v>
      </c>
      <c r="R747" s="1" t="s">
        <v>45</v>
      </c>
      <c r="S747">
        <v>6385</v>
      </c>
      <c r="T747">
        <v>12992</v>
      </c>
      <c r="U747">
        <v>3</v>
      </c>
      <c r="V747" s="1" t="s">
        <v>33</v>
      </c>
      <c r="W747">
        <v>14</v>
      </c>
      <c r="X747">
        <v>3</v>
      </c>
      <c r="Y747">
        <v>4</v>
      </c>
      <c r="Z747">
        <v>80</v>
      </c>
      <c r="AA747">
        <v>2</v>
      </c>
      <c r="AB747">
        <v>17</v>
      </c>
      <c r="AC747">
        <v>3</v>
      </c>
      <c r="AD747">
        <v>3</v>
      </c>
      <c r="AE747">
        <v>8</v>
      </c>
      <c r="AF747">
        <v>7</v>
      </c>
      <c r="AG747">
        <v>6</v>
      </c>
      <c r="AH747">
        <v>7</v>
      </c>
      <c r="AI747">
        <f>IF(tbl_HRData[[#This Row],[Attrition]] = "Yes",1,0)</f>
        <v>0</v>
      </c>
      <c r="AJ747">
        <f>IF(tbl_HRData[[#This Row],[Attrition]] = "No",1,0)</f>
        <v>1</v>
      </c>
      <c r="AK747" t="str">
        <f>IF(tbl_HRData[[#This Row],[Age]] &lt; 25, "Under 25", IF(tbl_HRData[[#This Row],[Age]] &lt;= 34, "25-34", IF(tbl_HRData[[#This Row],[Age]] &lt;= 44, "35-44", IF(tbl_HRData[[#This Row],[Age]] &lt;= 54, "45-54", "55+"))))</f>
        <v>55+</v>
      </c>
      <c r="AL747" s="1" t="str">
        <f>IF(tbl_HRData[[#This Row],[MonthlyIncome]]&lt;5000,"Low",
IF(tbl_HRData[[#This Row],[MonthlyIncome]]&lt;10000,"Medium",
IF(tbl_HRData[[#This Row],[MonthlyIncome]]&lt;15000,"Upper Medium","High")))</f>
        <v>Medium</v>
      </c>
      <c r="AM747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748" spans="1:39" x14ac:dyDescent="0.35">
      <c r="A748" s="1">
        <v>747</v>
      </c>
      <c r="B748">
        <v>41</v>
      </c>
      <c r="C748" s="1" t="s">
        <v>40</v>
      </c>
      <c r="D748" s="1" t="s">
        <v>52</v>
      </c>
      <c r="E748">
        <v>247</v>
      </c>
      <c r="F748" s="1" t="s">
        <v>42</v>
      </c>
      <c r="G748">
        <v>7</v>
      </c>
      <c r="H748">
        <v>1</v>
      </c>
      <c r="I748" s="1" t="s">
        <v>36</v>
      </c>
      <c r="J748">
        <v>1035</v>
      </c>
      <c r="K748">
        <v>2</v>
      </c>
      <c r="L748" s="1" t="s">
        <v>37</v>
      </c>
      <c r="M748">
        <v>55</v>
      </c>
      <c r="N748">
        <v>1</v>
      </c>
      <c r="O748">
        <v>5</v>
      </c>
      <c r="P748" s="1" t="s">
        <v>55</v>
      </c>
      <c r="Q748">
        <v>3</v>
      </c>
      <c r="R748" s="1" t="s">
        <v>49</v>
      </c>
      <c r="S748">
        <v>19973</v>
      </c>
      <c r="T748">
        <v>20284</v>
      </c>
      <c r="U748">
        <v>1</v>
      </c>
      <c r="V748" s="1" t="s">
        <v>40</v>
      </c>
      <c r="W748">
        <v>22</v>
      </c>
      <c r="X748">
        <v>4</v>
      </c>
      <c r="Y748">
        <v>2</v>
      </c>
      <c r="Z748">
        <v>80</v>
      </c>
      <c r="AA748">
        <v>2</v>
      </c>
      <c r="AB748">
        <v>21</v>
      </c>
      <c r="AC748">
        <v>3</v>
      </c>
      <c r="AD748">
        <v>3</v>
      </c>
      <c r="AE748">
        <v>21</v>
      </c>
      <c r="AF748">
        <v>16</v>
      </c>
      <c r="AG748">
        <v>5</v>
      </c>
      <c r="AH748">
        <v>10</v>
      </c>
      <c r="AI748">
        <f>IF(tbl_HRData[[#This Row],[Attrition]] = "Yes",1,0)</f>
        <v>0</v>
      </c>
      <c r="AJ748">
        <f>IF(tbl_HRData[[#This Row],[Attrition]] = "No",1,0)</f>
        <v>1</v>
      </c>
      <c r="AK748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748" s="1" t="str">
        <f>IF(tbl_HRData[[#This Row],[MonthlyIncome]]&lt;5000,"Low",
IF(tbl_HRData[[#This Row],[MonthlyIncome]]&lt;10000,"Medium",
IF(tbl_HRData[[#This Row],[MonthlyIncome]]&lt;15000,"Upper Medium","High")))</f>
        <v>High</v>
      </c>
      <c r="AM748" s="1" t="str">
        <f>IF(tbl_HRData[[#This Row],[YearsAtCompany]]&lt;=5,"0-5 Years",
IF(tbl_HRData[[#This Row],[YearsAtCompany]]&lt;=10,"6-10 Years",
IF(tbl_HRData[[#This Row],[YearsAtCompany]]&lt;=20,"11-20 Years","21+ Years")))</f>
        <v>21+ Years</v>
      </c>
    </row>
    <row r="749" spans="1:39" x14ac:dyDescent="0.35">
      <c r="A749" s="1">
        <v>748</v>
      </c>
      <c r="B749">
        <v>38</v>
      </c>
      <c r="C749" s="1" t="s">
        <v>40</v>
      </c>
      <c r="D749" s="1" t="s">
        <v>34</v>
      </c>
      <c r="E749">
        <v>1035</v>
      </c>
      <c r="F749" s="1" t="s">
        <v>35</v>
      </c>
      <c r="G749">
        <v>3</v>
      </c>
      <c r="H749">
        <v>4</v>
      </c>
      <c r="I749" s="1" t="s">
        <v>36</v>
      </c>
      <c r="J749">
        <v>1036</v>
      </c>
      <c r="K749">
        <v>2</v>
      </c>
      <c r="L749" s="1" t="s">
        <v>43</v>
      </c>
      <c r="M749">
        <v>42</v>
      </c>
      <c r="N749">
        <v>3</v>
      </c>
      <c r="O749">
        <v>2</v>
      </c>
      <c r="P749" s="1" t="s">
        <v>38</v>
      </c>
      <c r="Q749">
        <v>4</v>
      </c>
      <c r="R749" s="1" t="s">
        <v>39</v>
      </c>
      <c r="S749">
        <v>6861</v>
      </c>
      <c r="T749">
        <v>4981</v>
      </c>
      <c r="U749">
        <v>8</v>
      </c>
      <c r="V749" s="1" t="s">
        <v>33</v>
      </c>
      <c r="W749">
        <v>12</v>
      </c>
      <c r="X749">
        <v>3</v>
      </c>
      <c r="Y749">
        <v>3</v>
      </c>
      <c r="Z749">
        <v>80</v>
      </c>
      <c r="AA749">
        <v>0</v>
      </c>
      <c r="AB749">
        <v>19</v>
      </c>
      <c r="AC749">
        <v>1</v>
      </c>
      <c r="AD749">
        <v>3</v>
      </c>
      <c r="AE749">
        <v>1</v>
      </c>
      <c r="AF749">
        <v>0</v>
      </c>
      <c r="AG749">
        <v>0</v>
      </c>
      <c r="AH749">
        <v>0</v>
      </c>
      <c r="AI749">
        <f>IF(tbl_HRData[[#This Row],[Attrition]] = "Yes",1,0)</f>
        <v>0</v>
      </c>
      <c r="AJ749">
        <f>IF(tbl_HRData[[#This Row],[Attrition]] = "No",1,0)</f>
        <v>1</v>
      </c>
      <c r="AK749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749" s="1" t="str">
        <f>IF(tbl_HRData[[#This Row],[MonthlyIncome]]&lt;5000,"Low",
IF(tbl_HRData[[#This Row],[MonthlyIncome]]&lt;10000,"Medium",
IF(tbl_HRData[[#This Row],[MonthlyIncome]]&lt;15000,"Upper Medium","High")))</f>
        <v>Medium</v>
      </c>
      <c r="AM749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750" spans="1:39" x14ac:dyDescent="0.35">
      <c r="A750" s="1">
        <v>749</v>
      </c>
      <c r="B750">
        <v>26</v>
      </c>
      <c r="C750" s="1" t="s">
        <v>33</v>
      </c>
      <c r="D750" s="1" t="s">
        <v>52</v>
      </c>
      <c r="E750">
        <v>265</v>
      </c>
      <c r="F750" s="1" t="s">
        <v>35</v>
      </c>
      <c r="G750">
        <v>29</v>
      </c>
      <c r="H750">
        <v>2</v>
      </c>
      <c r="I750" s="1" t="s">
        <v>48</v>
      </c>
      <c r="J750">
        <v>1037</v>
      </c>
      <c r="K750">
        <v>2</v>
      </c>
      <c r="L750" s="1" t="s">
        <v>43</v>
      </c>
      <c r="M750">
        <v>79</v>
      </c>
      <c r="N750">
        <v>1</v>
      </c>
      <c r="O750">
        <v>2</v>
      </c>
      <c r="P750" s="1" t="s">
        <v>38</v>
      </c>
      <c r="Q750">
        <v>1</v>
      </c>
      <c r="R750" s="1" t="s">
        <v>39</v>
      </c>
      <c r="S750">
        <v>4969</v>
      </c>
      <c r="T750">
        <v>21813</v>
      </c>
      <c r="U750">
        <v>8</v>
      </c>
      <c r="V750" s="1" t="s">
        <v>40</v>
      </c>
      <c r="W750">
        <v>18</v>
      </c>
      <c r="X750">
        <v>3</v>
      </c>
      <c r="Y750">
        <v>4</v>
      </c>
      <c r="Z750">
        <v>80</v>
      </c>
      <c r="AA750">
        <v>0</v>
      </c>
      <c r="AB750">
        <v>7</v>
      </c>
      <c r="AC750">
        <v>6</v>
      </c>
      <c r="AD750">
        <v>3</v>
      </c>
      <c r="AE750">
        <v>2</v>
      </c>
      <c r="AF750">
        <v>2</v>
      </c>
      <c r="AG750">
        <v>2</v>
      </c>
      <c r="AH750">
        <v>2</v>
      </c>
      <c r="AI750">
        <f>IF(tbl_HRData[[#This Row],[Attrition]] = "Yes",1,0)</f>
        <v>1</v>
      </c>
      <c r="AJ750">
        <f>IF(tbl_HRData[[#This Row],[Attrition]] = "No",1,0)</f>
        <v>0</v>
      </c>
      <c r="AK750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750" s="1" t="str">
        <f>IF(tbl_HRData[[#This Row],[MonthlyIncome]]&lt;5000,"Low",
IF(tbl_HRData[[#This Row],[MonthlyIncome]]&lt;10000,"Medium",
IF(tbl_HRData[[#This Row],[MonthlyIncome]]&lt;15000,"Upper Medium","High")))</f>
        <v>Low</v>
      </c>
      <c r="AM750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751" spans="1:39" x14ac:dyDescent="0.35">
      <c r="A751" s="1">
        <v>750</v>
      </c>
      <c r="B751">
        <v>52</v>
      </c>
      <c r="C751" s="1" t="s">
        <v>33</v>
      </c>
      <c r="D751" s="1" t="s">
        <v>34</v>
      </c>
      <c r="E751">
        <v>266</v>
      </c>
      <c r="F751" s="1" t="s">
        <v>35</v>
      </c>
      <c r="G751">
        <v>2</v>
      </c>
      <c r="H751">
        <v>1</v>
      </c>
      <c r="I751" s="1" t="s">
        <v>56</v>
      </c>
      <c r="J751">
        <v>1038</v>
      </c>
      <c r="K751">
        <v>1</v>
      </c>
      <c r="L751" s="1" t="s">
        <v>37</v>
      </c>
      <c r="M751">
        <v>57</v>
      </c>
      <c r="N751">
        <v>1</v>
      </c>
      <c r="O751">
        <v>5</v>
      </c>
      <c r="P751" s="1" t="s">
        <v>53</v>
      </c>
      <c r="Q751">
        <v>4</v>
      </c>
      <c r="R751" s="1" t="s">
        <v>45</v>
      </c>
      <c r="S751">
        <v>19845</v>
      </c>
      <c r="T751">
        <v>25846</v>
      </c>
      <c r="U751">
        <v>1</v>
      </c>
      <c r="V751" s="1" t="s">
        <v>40</v>
      </c>
      <c r="W751">
        <v>15</v>
      </c>
      <c r="X751">
        <v>3</v>
      </c>
      <c r="Y751">
        <v>4</v>
      </c>
      <c r="Z751">
        <v>80</v>
      </c>
      <c r="AA751">
        <v>1</v>
      </c>
      <c r="AB751">
        <v>33</v>
      </c>
      <c r="AC751">
        <v>3</v>
      </c>
      <c r="AD751">
        <v>3</v>
      </c>
      <c r="AE751">
        <v>32</v>
      </c>
      <c r="AF751">
        <v>14</v>
      </c>
      <c r="AG751">
        <v>6</v>
      </c>
      <c r="AH751">
        <v>9</v>
      </c>
      <c r="AI751">
        <f>IF(tbl_HRData[[#This Row],[Attrition]] = "Yes",1,0)</f>
        <v>1</v>
      </c>
      <c r="AJ751">
        <f>IF(tbl_HRData[[#This Row],[Attrition]] = "No",1,0)</f>
        <v>0</v>
      </c>
      <c r="AK751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751" s="1" t="str">
        <f>IF(tbl_HRData[[#This Row],[MonthlyIncome]]&lt;5000,"Low",
IF(tbl_HRData[[#This Row],[MonthlyIncome]]&lt;10000,"Medium",
IF(tbl_HRData[[#This Row],[MonthlyIncome]]&lt;15000,"Upper Medium","High")))</f>
        <v>High</v>
      </c>
      <c r="AM751" s="1" t="str">
        <f>IF(tbl_HRData[[#This Row],[YearsAtCompany]]&lt;=5,"0-5 Years",
IF(tbl_HRData[[#This Row],[YearsAtCompany]]&lt;=10,"6-10 Years",
IF(tbl_HRData[[#This Row],[YearsAtCompany]]&lt;=20,"11-20 Years","21+ Years")))</f>
        <v>21+ Years</v>
      </c>
    </row>
    <row r="752" spans="1:39" x14ac:dyDescent="0.35">
      <c r="A752" s="1">
        <v>751</v>
      </c>
      <c r="B752">
        <v>44</v>
      </c>
      <c r="C752" s="1" t="s">
        <v>40</v>
      </c>
      <c r="D752" s="1" t="s">
        <v>34</v>
      </c>
      <c r="E752">
        <v>1448</v>
      </c>
      <c r="F752" s="1" t="s">
        <v>35</v>
      </c>
      <c r="G752">
        <v>28</v>
      </c>
      <c r="H752">
        <v>3</v>
      </c>
      <c r="I752" s="1" t="s">
        <v>48</v>
      </c>
      <c r="J752">
        <v>1039</v>
      </c>
      <c r="K752">
        <v>4</v>
      </c>
      <c r="L752" s="1" t="s">
        <v>37</v>
      </c>
      <c r="M752">
        <v>53</v>
      </c>
      <c r="N752">
        <v>4</v>
      </c>
      <c r="O752">
        <v>4</v>
      </c>
      <c r="P752" s="1" t="s">
        <v>38</v>
      </c>
      <c r="Q752">
        <v>4</v>
      </c>
      <c r="R752" s="1" t="s">
        <v>45</v>
      </c>
      <c r="S752">
        <v>13320</v>
      </c>
      <c r="T752">
        <v>11737</v>
      </c>
      <c r="U752">
        <v>3</v>
      </c>
      <c r="V752" s="1" t="s">
        <v>33</v>
      </c>
      <c r="W752">
        <v>18</v>
      </c>
      <c r="X752">
        <v>3</v>
      </c>
      <c r="Y752">
        <v>3</v>
      </c>
      <c r="Z752">
        <v>80</v>
      </c>
      <c r="AA752">
        <v>1</v>
      </c>
      <c r="AB752">
        <v>23</v>
      </c>
      <c r="AC752">
        <v>2</v>
      </c>
      <c r="AD752">
        <v>3</v>
      </c>
      <c r="AE752">
        <v>12</v>
      </c>
      <c r="AF752">
        <v>11</v>
      </c>
      <c r="AG752">
        <v>11</v>
      </c>
      <c r="AH752">
        <v>11</v>
      </c>
      <c r="AI752">
        <f>IF(tbl_HRData[[#This Row],[Attrition]] = "Yes",1,0)</f>
        <v>0</v>
      </c>
      <c r="AJ752">
        <f>IF(tbl_HRData[[#This Row],[Attrition]] = "No",1,0)</f>
        <v>1</v>
      </c>
      <c r="AK752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752" s="1" t="str">
        <f>IF(tbl_HRData[[#This Row],[MonthlyIncome]]&lt;5000,"Low",
IF(tbl_HRData[[#This Row],[MonthlyIncome]]&lt;10000,"Medium",
IF(tbl_HRData[[#This Row],[MonthlyIncome]]&lt;15000,"Upper Medium","High")))</f>
        <v>Upper Medium</v>
      </c>
      <c r="AM752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753" spans="1:39" x14ac:dyDescent="0.35">
      <c r="A753" s="1">
        <v>752</v>
      </c>
      <c r="B753">
        <v>50</v>
      </c>
      <c r="C753" s="1" t="s">
        <v>40</v>
      </c>
      <c r="D753" s="1" t="s">
        <v>52</v>
      </c>
      <c r="E753">
        <v>145</v>
      </c>
      <c r="F753" s="1" t="s">
        <v>35</v>
      </c>
      <c r="G753">
        <v>1</v>
      </c>
      <c r="H753">
        <v>3</v>
      </c>
      <c r="I753" s="1" t="s">
        <v>36</v>
      </c>
      <c r="J753">
        <v>1040</v>
      </c>
      <c r="K753">
        <v>4</v>
      </c>
      <c r="L753" s="1" t="s">
        <v>37</v>
      </c>
      <c r="M753">
        <v>95</v>
      </c>
      <c r="N753">
        <v>3</v>
      </c>
      <c r="O753">
        <v>2</v>
      </c>
      <c r="P753" s="1" t="s">
        <v>38</v>
      </c>
      <c r="Q753">
        <v>3</v>
      </c>
      <c r="R753" s="1" t="s">
        <v>45</v>
      </c>
      <c r="S753">
        <v>6347</v>
      </c>
      <c r="T753">
        <v>24920</v>
      </c>
      <c r="U753">
        <v>0</v>
      </c>
      <c r="V753" s="1" t="s">
        <v>40</v>
      </c>
      <c r="W753">
        <v>12</v>
      </c>
      <c r="X753">
        <v>3</v>
      </c>
      <c r="Y753">
        <v>1</v>
      </c>
      <c r="Z753">
        <v>80</v>
      </c>
      <c r="AA753">
        <v>1</v>
      </c>
      <c r="AB753">
        <v>19</v>
      </c>
      <c r="AC753">
        <v>3</v>
      </c>
      <c r="AD753">
        <v>3</v>
      </c>
      <c r="AE753">
        <v>18</v>
      </c>
      <c r="AF753">
        <v>7</v>
      </c>
      <c r="AG753">
        <v>0</v>
      </c>
      <c r="AH753">
        <v>13</v>
      </c>
      <c r="AI753">
        <f>IF(tbl_HRData[[#This Row],[Attrition]] = "Yes",1,0)</f>
        <v>0</v>
      </c>
      <c r="AJ753">
        <f>IF(tbl_HRData[[#This Row],[Attrition]] = "No",1,0)</f>
        <v>1</v>
      </c>
      <c r="AK753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753" s="1" t="str">
        <f>IF(tbl_HRData[[#This Row],[MonthlyIncome]]&lt;5000,"Low",
IF(tbl_HRData[[#This Row],[MonthlyIncome]]&lt;10000,"Medium",
IF(tbl_HRData[[#This Row],[MonthlyIncome]]&lt;15000,"Upper Medium","High")))</f>
        <v>Medium</v>
      </c>
      <c r="AM753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754" spans="1:39" x14ac:dyDescent="0.35">
      <c r="A754" s="1">
        <v>753</v>
      </c>
      <c r="B754">
        <v>36</v>
      </c>
      <c r="C754" s="1" t="s">
        <v>33</v>
      </c>
      <c r="D754" s="1" t="s">
        <v>34</v>
      </c>
      <c r="E754">
        <v>885</v>
      </c>
      <c r="F754" s="1" t="s">
        <v>42</v>
      </c>
      <c r="G754">
        <v>16</v>
      </c>
      <c r="H754">
        <v>4</v>
      </c>
      <c r="I754" s="1" t="s">
        <v>36</v>
      </c>
      <c r="J754">
        <v>1042</v>
      </c>
      <c r="K754">
        <v>3</v>
      </c>
      <c r="L754" s="1" t="s">
        <v>37</v>
      </c>
      <c r="M754">
        <v>43</v>
      </c>
      <c r="N754">
        <v>4</v>
      </c>
      <c r="O754">
        <v>1</v>
      </c>
      <c r="P754" s="1" t="s">
        <v>47</v>
      </c>
      <c r="Q754">
        <v>1</v>
      </c>
      <c r="R754" s="1" t="s">
        <v>39</v>
      </c>
      <c r="S754">
        <v>2743</v>
      </c>
      <c r="T754">
        <v>8269</v>
      </c>
      <c r="U754">
        <v>1</v>
      </c>
      <c r="V754" s="1" t="s">
        <v>40</v>
      </c>
      <c r="W754">
        <v>16</v>
      </c>
      <c r="X754">
        <v>3</v>
      </c>
      <c r="Y754">
        <v>3</v>
      </c>
      <c r="Z754">
        <v>80</v>
      </c>
      <c r="AA754">
        <v>0</v>
      </c>
      <c r="AB754">
        <v>18</v>
      </c>
      <c r="AC754">
        <v>1</v>
      </c>
      <c r="AD754">
        <v>3</v>
      </c>
      <c r="AE754">
        <v>17</v>
      </c>
      <c r="AF754">
        <v>13</v>
      </c>
      <c r="AG754">
        <v>15</v>
      </c>
      <c r="AH754">
        <v>14</v>
      </c>
      <c r="AI754">
        <f>IF(tbl_HRData[[#This Row],[Attrition]] = "Yes",1,0)</f>
        <v>1</v>
      </c>
      <c r="AJ754">
        <f>IF(tbl_HRData[[#This Row],[Attrition]] = "No",1,0)</f>
        <v>0</v>
      </c>
      <c r="AK754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754" s="1" t="str">
        <f>IF(tbl_HRData[[#This Row],[MonthlyIncome]]&lt;5000,"Low",
IF(tbl_HRData[[#This Row],[MonthlyIncome]]&lt;10000,"Medium",
IF(tbl_HRData[[#This Row],[MonthlyIncome]]&lt;15000,"Upper Medium","High")))</f>
        <v>Low</v>
      </c>
      <c r="AM754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755" spans="1:39" x14ac:dyDescent="0.35">
      <c r="A755" s="1">
        <v>754</v>
      </c>
      <c r="B755">
        <v>39</v>
      </c>
      <c r="C755" s="1" t="s">
        <v>40</v>
      </c>
      <c r="D755" s="1" t="s">
        <v>41</v>
      </c>
      <c r="E755">
        <v>945</v>
      </c>
      <c r="F755" s="1" t="s">
        <v>42</v>
      </c>
      <c r="G755">
        <v>22</v>
      </c>
      <c r="H755">
        <v>3</v>
      </c>
      <c r="I755" s="1" t="s">
        <v>48</v>
      </c>
      <c r="J755">
        <v>1043</v>
      </c>
      <c r="K755">
        <v>4</v>
      </c>
      <c r="L755" s="1" t="s">
        <v>37</v>
      </c>
      <c r="M755">
        <v>82</v>
      </c>
      <c r="N755">
        <v>3</v>
      </c>
      <c r="O755">
        <v>3</v>
      </c>
      <c r="P755" s="1" t="s">
        <v>50</v>
      </c>
      <c r="Q755">
        <v>1</v>
      </c>
      <c r="R755" s="1" t="s">
        <v>39</v>
      </c>
      <c r="S755">
        <v>10880</v>
      </c>
      <c r="T755">
        <v>5083</v>
      </c>
      <c r="U755">
        <v>1</v>
      </c>
      <c r="V755" s="1" t="s">
        <v>33</v>
      </c>
      <c r="W755">
        <v>13</v>
      </c>
      <c r="X755">
        <v>3</v>
      </c>
      <c r="Y755">
        <v>3</v>
      </c>
      <c r="Z755">
        <v>80</v>
      </c>
      <c r="AA755">
        <v>0</v>
      </c>
      <c r="AB755">
        <v>21</v>
      </c>
      <c r="AC755">
        <v>2</v>
      </c>
      <c r="AD755">
        <v>3</v>
      </c>
      <c r="AE755">
        <v>21</v>
      </c>
      <c r="AF755">
        <v>6</v>
      </c>
      <c r="AG755">
        <v>2</v>
      </c>
      <c r="AH755">
        <v>8</v>
      </c>
      <c r="AI755">
        <f>IF(tbl_HRData[[#This Row],[Attrition]] = "Yes",1,0)</f>
        <v>0</v>
      </c>
      <c r="AJ755">
        <f>IF(tbl_HRData[[#This Row],[Attrition]] = "No",1,0)</f>
        <v>1</v>
      </c>
      <c r="AK755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755" s="1" t="str">
        <f>IF(tbl_HRData[[#This Row],[MonthlyIncome]]&lt;5000,"Low",
IF(tbl_HRData[[#This Row],[MonthlyIncome]]&lt;10000,"Medium",
IF(tbl_HRData[[#This Row],[MonthlyIncome]]&lt;15000,"Upper Medium","High")))</f>
        <v>Upper Medium</v>
      </c>
      <c r="AM755" s="1" t="str">
        <f>IF(tbl_HRData[[#This Row],[YearsAtCompany]]&lt;=5,"0-5 Years",
IF(tbl_HRData[[#This Row],[YearsAtCompany]]&lt;=10,"6-10 Years",
IF(tbl_HRData[[#This Row],[YearsAtCompany]]&lt;=20,"11-20 Years","21+ Years")))</f>
        <v>21+ Years</v>
      </c>
    </row>
    <row r="756" spans="1:39" x14ac:dyDescent="0.35">
      <c r="A756" s="1">
        <v>755</v>
      </c>
      <c r="B756">
        <v>33</v>
      </c>
      <c r="C756" s="1" t="s">
        <v>40</v>
      </c>
      <c r="D756" s="1" t="s">
        <v>52</v>
      </c>
      <c r="E756">
        <v>1038</v>
      </c>
      <c r="F756" s="1" t="s">
        <v>35</v>
      </c>
      <c r="G756">
        <v>8</v>
      </c>
      <c r="H756">
        <v>1</v>
      </c>
      <c r="I756" s="1" t="s">
        <v>36</v>
      </c>
      <c r="J756">
        <v>1044</v>
      </c>
      <c r="K756">
        <v>2</v>
      </c>
      <c r="L756" s="1" t="s">
        <v>37</v>
      </c>
      <c r="M756">
        <v>88</v>
      </c>
      <c r="N756">
        <v>2</v>
      </c>
      <c r="O756">
        <v>1</v>
      </c>
      <c r="P756" s="1" t="s">
        <v>54</v>
      </c>
      <c r="Q756">
        <v>4</v>
      </c>
      <c r="R756" s="1" t="s">
        <v>39</v>
      </c>
      <c r="S756">
        <v>2342</v>
      </c>
      <c r="T756">
        <v>21437</v>
      </c>
      <c r="U756">
        <v>0</v>
      </c>
      <c r="V756" s="1" t="s">
        <v>40</v>
      </c>
      <c r="W756">
        <v>19</v>
      </c>
      <c r="X756">
        <v>3</v>
      </c>
      <c r="Y756">
        <v>4</v>
      </c>
      <c r="Z756">
        <v>80</v>
      </c>
      <c r="AA756">
        <v>0</v>
      </c>
      <c r="AB756">
        <v>3</v>
      </c>
      <c r="AC756">
        <v>2</v>
      </c>
      <c r="AD756">
        <v>2</v>
      </c>
      <c r="AE756">
        <v>2</v>
      </c>
      <c r="AF756">
        <v>2</v>
      </c>
      <c r="AG756">
        <v>2</v>
      </c>
      <c r="AH756">
        <v>2</v>
      </c>
      <c r="AI756">
        <f>IF(tbl_HRData[[#This Row],[Attrition]] = "Yes",1,0)</f>
        <v>0</v>
      </c>
      <c r="AJ756">
        <f>IF(tbl_HRData[[#This Row],[Attrition]] = "No",1,0)</f>
        <v>1</v>
      </c>
      <c r="AK756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756" s="1" t="str">
        <f>IF(tbl_HRData[[#This Row],[MonthlyIncome]]&lt;5000,"Low",
IF(tbl_HRData[[#This Row],[MonthlyIncome]]&lt;10000,"Medium",
IF(tbl_HRData[[#This Row],[MonthlyIncome]]&lt;15000,"Upper Medium","High")))</f>
        <v>Low</v>
      </c>
      <c r="AM756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757" spans="1:39" x14ac:dyDescent="0.35">
      <c r="A757" s="1">
        <v>756</v>
      </c>
      <c r="B757">
        <v>45</v>
      </c>
      <c r="C757" s="1" t="s">
        <v>40</v>
      </c>
      <c r="D757" s="1" t="s">
        <v>34</v>
      </c>
      <c r="E757">
        <v>1234</v>
      </c>
      <c r="F757" s="1" t="s">
        <v>35</v>
      </c>
      <c r="G757">
        <v>11</v>
      </c>
      <c r="H757">
        <v>2</v>
      </c>
      <c r="I757" s="1" t="s">
        <v>36</v>
      </c>
      <c r="J757">
        <v>1045</v>
      </c>
      <c r="K757">
        <v>4</v>
      </c>
      <c r="L757" s="1" t="s">
        <v>37</v>
      </c>
      <c r="M757">
        <v>90</v>
      </c>
      <c r="N757">
        <v>3</v>
      </c>
      <c r="O757">
        <v>4</v>
      </c>
      <c r="P757" s="1" t="s">
        <v>53</v>
      </c>
      <c r="Q757">
        <v>4</v>
      </c>
      <c r="R757" s="1" t="s">
        <v>45</v>
      </c>
      <c r="S757">
        <v>17650</v>
      </c>
      <c r="T757">
        <v>5404</v>
      </c>
      <c r="U757">
        <v>3</v>
      </c>
      <c r="V757" s="1" t="s">
        <v>40</v>
      </c>
      <c r="W757">
        <v>13</v>
      </c>
      <c r="X757">
        <v>3</v>
      </c>
      <c r="Y757">
        <v>2</v>
      </c>
      <c r="Z757">
        <v>80</v>
      </c>
      <c r="AA757">
        <v>1</v>
      </c>
      <c r="AB757">
        <v>26</v>
      </c>
      <c r="AC757">
        <v>4</v>
      </c>
      <c r="AD757">
        <v>4</v>
      </c>
      <c r="AE757">
        <v>9</v>
      </c>
      <c r="AF757">
        <v>3</v>
      </c>
      <c r="AG757">
        <v>1</v>
      </c>
      <c r="AH757">
        <v>1</v>
      </c>
      <c r="AI757">
        <f>IF(tbl_HRData[[#This Row],[Attrition]] = "Yes",1,0)</f>
        <v>0</v>
      </c>
      <c r="AJ757">
        <f>IF(tbl_HRData[[#This Row],[Attrition]] = "No",1,0)</f>
        <v>1</v>
      </c>
      <c r="AK757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757" s="1" t="str">
        <f>IF(tbl_HRData[[#This Row],[MonthlyIncome]]&lt;5000,"Low",
IF(tbl_HRData[[#This Row],[MonthlyIncome]]&lt;10000,"Medium",
IF(tbl_HRData[[#This Row],[MonthlyIncome]]&lt;15000,"Upper Medium","High")))</f>
        <v>High</v>
      </c>
      <c r="AM757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758" spans="1:39" x14ac:dyDescent="0.35">
      <c r="A758" s="1">
        <v>757</v>
      </c>
      <c r="B758">
        <v>32</v>
      </c>
      <c r="C758" s="1" t="s">
        <v>40</v>
      </c>
      <c r="D758" s="1" t="s">
        <v>52</v>
      </c>
      <c r="E758">
        <v>1109</v>
      </c>
      <c r="F758" s="1" t="s">
        <v>42</v>
      </c>
      <c r="G758">
        <v>29</v>
      </c>
      <c r="H758">
        <v>4</v>
      </c>
      <c r="I758" s="1" t="s">
        <v>48</v>
      </c>
      <c r="J758">
        <v>1046</v>
      </c>
      <c r="K758">
        <v>4</v>
      </c>
      <c r="L758" s="1" t="s">
        <v>37</v>
      </c>
      <c r="M758">
        <v>69</v>
      </c>
      <c r="N758">
        <v>3</v>
      </c>
      <c r="O758">
        <v>1</v>
      </c>
      <c r="P758" s="1" t="s">
        <v>47</v>
      </c>
      <c r="Q758">
        <v>3</v>
      </c>
      <c r="R758" s="1" t="s">
        <v>39</v>
      </c>
      <c r="S758">
        <v>4025</v>
      </c>
      <c r="T758">
        <v>11135</v>
      </c>
      <c r="U758">
        <v>9</v>
      </c>
      <c r="V758" s="1" t="s">
        <v>40</v>
      </c>
      <c r="W758">
        <v>12</v>
      </c>
      <c r="X758">
        <v>3</v>
      </c>
      <c r="Y758">
        <v>2</v>
      </c>
      <c r="Z758">
        <v>80</v>
      </c>
      <c r="AA758">
        <v>0</v>
      </c>
      <c r="AB758">
        <v>10</v>
      </c>
      <c r="AC758">
        <v>2</v>
      </c>
      <c r="AD758">
        <v>3</v>
      </c>
      <c r="AE758">
        <v>8</v>
      </c>
      <c r="AF758">
        <v>7</v>
      </c>
      <c r="AG758">
        <v>7</v>
      </c>
      <c r="AH758">
        <v>7</v>
      </c>
      <c r="AI758">
        <f>IF(tbl_HRData[[#This Row],[Attrition]] = "Yes",1,0)</f>
        <v>0</v>
      </c>
      <c r="AJ758">
        <f>IF(tbl_HRData[[#This Row],[Attrition]] = "No",1,0)</f>
        <v>1</v>
      </c>
      <c r="AK758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758" s="1" t="str">
        <f>IF(tbl_HRData[[#This Row],[MonthlyIncome]]&lt;5000,"Low",
IF(tbl_HRData[[#This Row],[MonthlyIncome]]&lt;10000,"Medium",
IF(tbl_HRData[[#This Row],[MonthlyIncome]]&lt;15000,"Upper Medium","High")))</f>
        <v>Low</v>
      </c>
      <c r="AM758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759" spans="1:39" x14ac:dyDescent="0.35">
      <c r="A759" s="1">
        <v>758</v>
      </c>
      <c r="B759">
        <v>34</v>
      </c>
      <c r="C759" s="1" t="s">
        <v>40</v>
      </c>
      <c r="D759" s="1" t="s">
        <v>34</v>
      </c>
      <c r="E759">
        <v>216</v>
      </c>
      <c r="F759" s="1" t="s">
        <v>35</v>
      </c>
      <c r="G759">
        <v>1</v>
      </c>
      <c r="H759">
        <v>4</v>
      </c>
      <c r="I759" s="1" t="s">
        <v>56</v>
      </c>
      <c r="J759">
        <v>1047</v>
      </c>
      <c r="K759">
        <v>2</v>
      </c>
      <c r="L759" s="1" t="s">
        <v>43</v>
      </c>
      <c r="M759">
        <v>75</v>
      </c>
      <c r="N759">
        <v>4</v>
      </c>
      <c r="O759">
        <v>2</v>
      </c>
      <c r="P759" s="1" t="s">
        <v>38</v>
      </c>
      <c r="Q759">
        <v>4</v>
      </c>
      <c r="R759" s="1" t="s">
        <v>49</v>
      </c>
      <c r="S759">
        <v>9725</v>
      </c>
      <c r="T759">
        <v>12278</v>
      </c>
      <c r="U759">
        <v>0</v>
      </c>
      <c r="V759" s="1" t="s">
        <v>40</v>
      </c>
      <c r="W759">
        <v>11</v>
      </c>
      <c r="X759">
        <v>3</v>
      </c>
      <c r="Y759">
        <v>4</v>
      </c>
      <c r="Z759">
        <v>80</v>
      </c>
      <c r="AA759">
        <v>1</v>
      </c>
      <c r="AB759">
        <v>16</v>
      </c>
      <c r="AC759">
        <v>2</v>
      </c>
      <c r="AD759">
        <v>2</v>
      </c>
      <c r="AE759">
        <v>15</v>
      </c>
      <c r="AF759">
        <v>1</v>
      </c>
      <c r="AG759">
        <v>0</v>
      </c>
      <c r="AH759">
        <v>9</v>
      </c>
      <c r="AI759">
        <f>IF(tbl_HRData[[#This Row],[Attrition]] = "Yes",1,0)</f>
        <v>0</v>
      </c>
      <c r="AJ759">
        <f>IF(tbl_HRData[[#This Row],[Attrition]] = "No",1,0)</f>
        <v>1</v>
      </c>
      <c r="AK759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759" s="1" t="str">
        <f>IF(tbl_HRData[[#This Row],[MonthlyIncome]]&lt;5000,"Low",
IF(tbl_HRData[[#This Row],[MonthlyIncome]]&lt;10000,"Medium",
IF(tbl_HRData[[#This Row],[MonthlyIncome]]&lt;15000,"Upper Medium","High")))</f>
        <v>Medium</v>
      </c>
      <c r="AM759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760" spans="1:39" x14ac:dyDescent="0.35">
      <c r="A760" s="1">
        <v>759</v>
      </c>
      <c r="B760">
        <v>59</v>
      </c>
      <c r="C760" s="1" t="s">
        <v>40</v>
      </c>
      <c r="D760" s="1" t="s">
        <v>34</v>
      </c>
      <c r="E760">
        <v>1089</v>
      </c>
      <c r="F760" s="1" t="s">
        <v>35</v>
      </c>
      <c r="G760">
        <v>1</v>
      </c>
      <c r="H760">
        <v>2</v>
      </c>
      <c r="I760" s="1" t="s">
        <v>57</v>
      </c>
      <c r="J760">
        <v>1048</v>
      </c>
      <c r="K760">
        <v>2</v>
      </c>
      <c r="L760" s="1" t="s">
        <v>43</v>
      </c>
      <c r="M760">
        <v>66</v>
      </c>
      <c r="N760">
        <v>3</v>
      </c>
      <c r="O760">
        <v>3</v>
      </c>
      <c r="P760" s="1" t="s">
        <v>53</v>
      </c>
      <c r="Q760">
        <v>4</v>
      </c>
      <c r="R760" s="1" t="s">
        <v>45</v>
      </c>
      <c r="S760">
        <v>11904</v>
      </c>
      <c r="T760">
        <v>11038</v>
      </c>
      <c r="U760">
        <v>3</v>
      </c>
      <c r="V760" s="1" t="s">
        <v>33</v>
      </c>
      <c r="W760">
        <v>14</v>
      </c>
      <c r="X760">
        <v>3</v>
      </c>
      <c r="Y760">
        <v>3</v>
      </c>
      <c r="Z760">
        <v>80</v>
      </c>
      <c r="AA760">
        <v>1</v>
      </c>
      <c r="AB760">
        <v>14</v>
      </c>
      <c r="AC760">
        <v>1</v>
      </c>
      <c r="AD760">
        <v>1</v>
      </c>
      <c r="AE760">
        <v>6</v>
      </c>
      <c r="AF760">
        <v>4</v>
      </c>
      <c r="AG760">
        <v>0</v>
      </c>
      <c r="AH760">
        <v>4</v>
      </c>
      <c r="AI760">
        <f>IF(tbl_HRData[[#This Row],[Attrition]] = "Yes",1,0)</f>
        <v>0</v>
      </c>
      <c r="AJ760">
        <f>IF(tbl_HRData[[#This Row],[Attrition]] = "No",1,0)</f>
        <v>1</v>
      </c>
      <c r="AK760" t="str">
        <f>IF(tbl_HRData[[#This Row],[Age]] &lt; 25, "Under 25", IF(tbl_HRData[[#This Row],[Age]] &lt;= 34, "25-34", IF(tbl_HRData[[#This Row],[Age]] &lt;= 44, "35-44", IF(tbl_HRData[[#This Row],[Age]] &lt;= 54, "45-54", "55+"))))</f>
        <v>55+</v>
      </c>
      <c r="AL760" s="1" t="str">
        <f>IF(tbl_HRData[[#This Row],[MonthlyIncome]]&lt;5000,"Low",
IF(tbl_HRData[[#This Row],[MonthlyIncome]]&lt;10000,"Medium",
IF(tbl_HRData[[#This Row],[MonthlyIncome]]&lt;15000,"Upper Medium","High")))</f>
        <v>Upper Medium</v>
      </c>
      <c r="AM760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761" spans="1:39" x14ac:dyDescent="0.35">
      <c r="A761" s="1">
        <v>760</v>
      </c>
      <c r="B761">
        <v>45</v>
      </c>
      <c r="C761" s="1" t="s">
        <v>40</v>
      </c>
      <c r="D761" s="1" t="s">
        <v>34</v>
      </c>
      <c r="E761">
        <v>788</v>
      </c>
      <c r="F761" s="1" t="s">
        <v>58</v>
      </c>
      <c r="G761">
        <v>24</v>
      </c>
      <c r="H761">
        <v>4</v>
      </c>
      <c r="I761" s="1" t="s">
        <v>48</v>
      </c>
      <c r="J761">
        <v>1049</v>
      </c>
      <c r="K761">
        <v>2</v>
      </c>
      <c r="L761" s="1" t="s">
        <v>43</v>
      </c>
      <c r="M761">
        <v>36</v>
      </c>
      <c r="N761">
        <v>3</v>
      </c>
      <c r="O761">
        <v>1</v>
      </c>
      <c r="P761" s="1" t="s">
        <v>58</v>
      </c>
      <c r="Q761">
        <v>2</v>
      </c>
      <c r="R761" s="1" t="s">
        <v>39</v>
      </c>
      <c r="S761">
        <v>2177</v>
      </c>
      <c r="T761">
        <v>8318</v>
      </c>
      <c r="U761">
        <v>1</v>
      </c>
      <c r="V761" s="1" t="s">
        <v>40</v>
      </c>
      <c r="W761">
        <v>16</v>
      </c>
      <c r="X761">
        <v>3</v>
      </c>
      <c r="Y761">
        <v>1</v>
      </c>
      <c r="Z761">
        <v>80</v>
      </c>
      <c r="AA761">
        <v>0</v>
      </c>
      <c r="AB761">
        <v>6</v>
      </c>
      <c r="AC761">
        <v>3</v>
      </c>
      <c r="AD761">
        <v>3</v>
      </c>
      <c r="AE761">
        <v>6</v>
      </c>
      <c r="AF761">
        <v>3</v>
      </c>
      <c r="AG761">
        <v>0</v>
      </c>
      <c r="AH761">
        <v>4</v>
      </c>
      <c r="AI761">
        <f>IF(tbl_HRData[[#This Row],[Attrition]] = "Yes",1,0)</f>
        <v>0</v>
      </c>
      <c r="AJ761">
        <f>IF(tbl_HRData[[#This Row],[Attrition]] = "No",1,0)</f>
        <v>1</v>
      </c>
      <c r="AK761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761" s="1" t="str">
        <f>IF(tbl_HRData[[#This Row],[MonthlyIncome]]&lt;5000,"Low",
IF(tbl_HRData[[#This Row],[MonthlyIncome]]&lt;10000,"Medium",
IF(tbl_HRData[[#This Row],[MonthlyIncome]]&lt;15000,"Upper Medium","High")))</f>
        <v>Low</v>
      </c>
      <c r="AM761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762" spans="1:39" x14ac:dyDescent="0.35">
      <c r="A762" s="1">
        <v>761</v>
      </c>
      <c r="B762">
        <v>53</v>
      </c>
      <c r="C762" s="1" t="s">
        <v>40</v>
      </c>
      <c r="D762" s="1" t="s">
        <v>41</v>
      </c>
      <c r="E762">
        <v>124</v>
      </c>
      <c r="F762" s="1" t="s">
        <v>35</v>
      </c>
      <c r="G762">
        <v>2</v>
      </c>
      <c r="H762">
        <v>3</v>
      </c>
      <c r="I762" s="1" t="s">
        <v>56</v>
      </c>
      <c r="J762">
        <v>1050</v>
      </c>
      <c r="K762">
        <v>3</v>
      </c>
      <c r="L762" s="1" t="s">
        <v>37</v>
      </c>
      <c r="M762">
        <v>38</v>
      </c>
      <c r="N762">
        <v>2</v>
      </c>
      <c r="O762">
        <v>3</v>
      </c>
      <c r="P762" s="1" t="s">
        <v>38</v>
      </c>
      <c r="Q762">
        <v>2</v>
      </c>
      <c r="R762" s="1" t="s">
        <v>45</v>
      </c>
      <c r="S762">
        <v>7525</v>
      </c>
      <c r="T762">
        <v>23537</v>
      </c>
      <c r="U762">
        <v>2</v>
      </c>
      <c r="V762" s="1" t="s">
        <v>40</v>
      </c>
      <c r="W762">
        <v>12</v>
      </c>
      <c r="X762">
        <v>3</v>
      </c>
      <c r="Y762">
        <v>1</v>
      </c>
      <c r="Z762">
        <v>80</v>
      </c>
      <c r="AA762">
        <v>1</v>
      </c>
      <c r="AB762">
        <v>30</v>
      </c>
      <c r="AC762">
        <v>2</v>
      </c>
      <c r="AD762">
        <v>3</v>
      </c>
      <c r="AE762">
        <v>15</v>
      </c>
      <c r="AF762">
        <v>7</v>
      </c>
      <c r="AG762">
        <v>6</v>
      </c>
      <c r="AH762">
        <v>12</v>
      </c>
      <c r="AI762">
        <f>IF(tbl_HRData[[#This Row],[Attrition]] = "Yes",1,0)</f>
        <v>0</v>
      </c>
      <c r="AJ762">
        <f>IF(tbl_HRData[[#This Row],[Attrition]] = "No",1,0)</f>
        <v>1</v>
      </c>
      <c r="AK762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762" s="1" t="str">
        <f>IF(tbl_HRData[[#This Row],[MonthlyIncome]]&lt;5000,"Low",
IF(tbl_HRData[[#This Row],[MonthlyIncome]]&lt;10000,"Medium",
IF(tbl_HRData[[#This Row],[MonthlyIncome]]&lt;15000,"Upper Medium","High")))</f>
        <v>Medium</v>
      </c>
      <c r="AM762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763" spans="1:39" x14ac:dyDescent="0.35">
      <c r="A763" s="1">
        <v>762</v>
      </c>
      <c r="B763">
        <v>36</v>
      </c>
      <c r="C763" s="1" t="s">
        <v>33</v>
      </c>
      <c r="D763" s="1" t="s">
        <v>34</v>
      </c>
      <c r="E763">
        <v>660</v>
      </c>
      <c r="F763" s="1" t="s">
        <v>42</v>
      </c>
      <c r="G763">
        <v>15</v>
      </c>
      <c r="H763">
        <v>3</v>
      </c>
      <c r="I763" s="1" t="s">
        <v>46</v>
      </c>
      <c r="J763">
        <v>1052</v>
      </c>
      <c r="K763">
        <v>1</v>
      </c>
      <c r="L763" s="1" t="s">
        <v>43</v>
      </c>
      <c r="M763">
        <v>81</v>
      </c>
      <c r="N763">
        <v>3</v>
      </c>
      <c r="O763">
        <v>2</v>
      </c>
      <c r="P763" s="1" t="s">
        <v>47</v>
      </c>
      <c r="Q763">
        <v>3</v>
      </c>
      <c r="R763" s="1" t="s">
        <v>49</v>
      </c>
      <c r="S763">
        <v>4834</v>
      </c>
      <c r="T763">
        <v>7858</v>
      </c>
      <c r="U763">
        <v>7</v>
      </c>
      <c r="V763" s="1" t="s">
        <v>40</v>
      </c>
      <c r="W763">
        <v>14</v>
      </c>
      <c r="X763">
        <v>3</v>
      </c>
      <c r="Y763">
        <v>2</v>
      </c>
      <c r="Z763">
        <v>80</v>
      </c>
      <c r="AA763">
        <v>1</v>
      </c>
      <c r="AB763">
        <v>9</v>
      </c>
      <c r="AC763">
        <v>3</v>
      </c>
      <c r="AD763">
        <v>2</v>
      </c>
      <c r="AE763">
        <v>1</v>
      </c>
      <c r="AF763">
        <v>0</v>
      </c>
      <c r="AG763">
        <v>0</v>
      </c>
      <c r="AH763">
        <v>0</v>
      </c>
      <c r="AI763">
        <f>IF(tbl_HRData[[#This Row],[Attrition]] = "Yes",1,0)</f>
        <v>1</v>
      </c>
      <c r="AJ763">
        <f>IF(tbl_HRData[[#This Row],[Attrition]] = "No",1,0)</f>
        <v>0</v>
      </c>
      <c r="AK763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763" s="1" t="str">
        <f>IF(tbl_HRData[[#This Row],[MonthlyIncome]]&lt;5000,"Low",
IF(tbl_HRData[[#This Row],[MonthlyIncome]]&lt;10000,"Medium",
IF(tbl_HRData[[#This Row],[MonthlyIncome]]&lt;15000,"Upper Medium","High")))</f>
        <v>Low</v>
      </c>
      <c r="AM763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764" spans="1:39" x14ac:dyDescent="0.35">
      <c r="A764" s="1">
        <v>763</v>
      </c>
      <c r="B764">
        <v>26</v>
      </c>
      <c r="C764" s="1" t="s">
        <v>33</v>
      </c>
      <c r="D764" s="1" t="s">
        <v>41</v>
      </c>
      <c r="E764">
        <v>342</v>
      </c>
      <c r="F764" s="1" t="s">
        <v>42</v>
      </c>
      <c r="G764">
        <v>2</v>
      </c>
      <c r="H764">
        <v>3</v>
      </c>
      <c r="I764" s="1" t="s">
        <v>36</v>
      </c>
      <c r="J764">
        <v>1053</v>
      </c>
      <c r="K764">
        <v>1</v>
      </c>
      <c r="L764" s="1" t="s">
        <v>43</v>
      </c>
      <c r="M764">
        <v>57</v>
      </c>
      <c r="N764">
        <v>3</v>
      </c>
      <c r="O764">
        <v>1</v>
      </c>
      <c r="P764" s="1" t="s">
        <v>44</v>
      </c>
      <c r="Q764">
        <v>1</v>
      </c>
      <c r="R764" s="1" t="s">
        <v>45</v>
      </c>
      <c r="S764">
        <v>2042</v>
      </c>
      <c r="T764">
        <v>15346</v>
      </c>
      <c r="U764">
        <v>6</v>
      </c>
      <c r="V764" s="1" t="s">
        <v>33</v>
      </c>
      <c r="W764">
        <v>14</v>
      </c>
      <c r="X764">
        <v>3</v>
      </c>
      <c r="Y764">
        <v>2</v>
      </c>
      <c r="Z764">
        <v>80</v>
      </c>
      <c r="AA764">
        <v>1</v>
      </c>
      <c r="AB764">
        <v>6</v>
      </c>
      <c r="AC764">
        <v>2</v>
      </c>
      <c r="AD764">
        <v>3</v>
      </c>
      <c r="AE764">
        <v>3</v>
      </c>
      <c r="AF764">
        <v>2</v>
      </c>
      <c r="AG764">
        <v>1</v>
      </c>
      <c r="AH764">
        <v>2</v>
      </c>
      <c r="AI764">
        <f>IF(tbl_HRData[[#This Row],[Attrition]] = "Yes",1,0)</f>
        <v>1</v>
      </c>
      <c r="AJ764">
        <f>IF(tbl_HRData[[#This Row],[Attrition]] = "No",1,0)</f>
        <v>0</v>
      </c>
      <c r="AK764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764" s="1" t="str">
        <f>IF(tbl_HRData[[#This Row],[MonthlyIncome]]&lt;5000,"Low",
IF(tbl_HRData[[#This Row],[MonthlyIncome]]&lt;10000,"Medium",
IF(tbl_HRData[[#This Row],[MonthlyIncome]]&lt;15000,"Upper Medium","High")))</f>
        <v>Low</v>
      </c>
      <c r="AM764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765" spans="1:39" x14ac:dyDescent="0.35">
      <c r="A765" s="1">
        <v>764</v>
      </c>
      <c r="B765">
        <v>34</v>
      </c>
      <c r="C765" s="1" t="s">
        <v>40</v>
      </c>
      <c r="D765" s="1" t="s">
        <v>34</v>
      </c>
      <c r="E765">
        <v>1333</v>
      </c>
      <c r="F765" s="1" t="s">
        <v>35</v>
      </c>
      <c r="G765">
        <v>10</v>
      </c>
      <c r="H765">
        <v>4</v>
      </c>
      <c r="I765" s="1" t="s">
        <v>36</v>
      </c>
      <c r="J765">
        <v>1055</v>
      </c>
      <c r="K765">
        <v>3</v>
      </c>
      <c r="L765" s="1" t="s">
        <v>37</v>
      </c>
      <c r="M765">
        <v>87</v>
      </c>
      <c r="N765">
        <v>3</v>
      </c>
      <c r="O765">
        <v>1</v>
      </c>
      <c r="P765" s="1" t="s">
        <v>54</v>
      </c>
      <c r="Q765">
        <v>3</v>
      </c>
      <c r="R765" s="1" t="s">
        <v>45</v>
      </c>
      <c r="S765">
        <v>2220</v>
      </c>
      <c r="T765">
        <v>18410</v>
      </c>
      <c r="U765">
        <v>1</v>
      </c>
      <c r="V765" s="1" t="s">
        <v>33</v>
      </c>
      <c r="W765">
        <v>19</v>
      </c>
      <c r="X765">
        <v>3</v>
      </c>
      <c r="Y765">
        <v>4</v>
      </c>
      <c r="Z765">
        <v>80</v>
      </c>
      <c r="AA765">
        <v>1</v>
      </c>
      <c r="AB765">
        <v>1</v>
      </c>
      <c r="AC765">
        <v>2</v>
      </c>
      <c r="AD765">
        <v>3</v>
      </c>
      <c r="AE765">
        <v>1</v>
      </c>
      <c r="AF765">
        <v>1</v>
      </c>
      <c r="AG765">
        <v>0</v>
      </c>
      <c r="AH765">
        <v>0</v>
      </c>
      <c r="AI765">
        <f>IF(tbl_HRData[[#This Row],[Attrition]] = "Yes",1,0)</f>
        <v>0</v>
      </c>
      <c r="AJ765">
        <f>IF(tbl_HRData[[#This Row],[Attrition]] = "No",1,0)</f>
        <v>1</v>
      </c>
      <c r="AK765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765" s="1" t="str">
        <f>IF(tbl_HRData[[#This Row],[MonthlyIncome]]&lt;5000,"Low",
IF(tbl_HRData[[#This Row],[MonthlyIncome]]&lt;10000,"Medium",
IF(tbl_HRData[[#This Row],[MonthlyIncome]]&lt;15000,"Upper Medium","High")))</f>
        <v>Low</v>
      </c>
      <c r="AM765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766" spans="1:39" x14ac:dyDescent="0.35">
      <c r="A766" s="1">
        <v>765</v>
      </c>
      <c r="B766">
        <v>28</v>
      </c>
      <c r="C766" s="1" t="s">
        <v>40</v>
      </c>
      <c r="D766" s="1" t="s">
        <v>34</v>
      </c>
      <c r="E766">
        <v>1144</v>
      </c>
      <c r="F766" s="1" t="s">
        <v>35</v>
      </c>
      <c r="G766">
        <v>10</v>
      </c>
      <c r="H766">
        <v>1</v>
      </c>
      <c r="I766" s="1" t="s">
        <v>48</v>
      </c>
      <c r="J766">
        <v>1056</v>
      </c>
      <c r="K766">
        <v>4</v>
      </c>
      <c r="L766" s="1" t="s">
        <v>43</v>
      </c>
      <c r="M766">
        <v>74</v>
      </c>
      <c r="N766">
        <v>3</v>
      </c>
      <c r="O766">
        <v>1</v>
      </c>
      <c r="P766" s="1" t="s">
        <v>54</v>
      </c>
      <c r="Q766">
        <v>2</v>
      </c>
      <c r="R766" s="1" t="s">
        <v>45</v>
      </c>
      <c r="S766">
        <v>1052</v>
      </c>
      <c r="T766">
        <v>23384</v>
      </c>
      <c r="U766">
        <v>1</v>
      </c>
      <c r="V766" s="1" t="s">
        <v>40</v>
      </c>
      <c r="W766">
        <v>22</v>
      </c>
      <c r="X766">
        <v>4</v>
      </c>
      <c r="Y766">
        <v>2</v>
      </c>
      <c r="Z766">
        <v>80</v>
      </c>
      <c r="AA766">
        <v>0</v>
      </c>
      <c r="AB766">
        <v>1</v>
      </c>
      <c r="AC766">
        <v>5</v>
      </c>
      <c r="AD766">
        <v>3</v>
      </c>
      <c r="AE766">
        <v>1</v>
      </c>
      <c r="AF766">
        <v>0</v>
      </c>
      <c r="AG766">
        <v>0</v>
      </c>
      <c r="AH766">
        <v>0</v>
      </c>
      <c r="AI766">
        <f>IF(tbl_HRData[[#This Row],[Attrition]] = "Yes",1,0)</f>
        <v>0</v>
      </c>
      <c r="AJ766">
        <f>IF(tbl_HRData[[#This Row],[Attrition]] = "No",1,0)</f>
        <v>1</v>
      </c>
      <c r="AK766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766" s="1" t="str">
        <f>IF(tbl_HRData[[#This Row],[MonthlyIncome]]&lt;5000,"Low",
IF(tbl_HRData[[#This Row],[MonthlyIncome]]&lt;10000,"Medium",
IF(tbl_HRData[[#This Row],[MonthlyIncome]]&lt;15000,"Upper Medium","High")))</f>
        <v>Low</v>
      </c>
      <c r="AM766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767" spans="1:39" x14ac:dyDescent="0.35">
      <c r="A767" s="1">
        <v>766</v>
      </c>
      <c r="B767">
        <v>38</v>
      </c>
      <c r="C767" s="1" t="s">
        <v>40</v>
      </c>
      <c r="D767" s="1" t="s">
        <v>41</v>
      </c>
      <c r="E767">
        <v>1186</v>
      </c>
      <c r="F767" s="1" t="s">
        <v>42</v>
      </c>
      <c r="G767">
        <v>3</v>
      </c>
      <c r="H767">
        <v>4</v>
      </c>
      <c r="I767" s="1" t="s">
        <v>46</v>
      </c>
      <c r="J767">
        <v>1060</v>
      </c>
      <c r="K767">
        <v>3</v>
      </c>
      <c r="L767" s="1" t="s">
        <v>43</v>
      </c>
      <c r="M767">
        <v>44</v>
      </c>
      <c r="N767">
        <v>3</v>
      </c>
      <c r="O767">
        <v>1</v>
      </c>
      <c r="P767" s="1" t="s">
        <v>44</v>
      </c>
      <c r="Q767">
        <v>3</v>
      </c>
      <c r="R767" s="1" t="s">
        <v>45</v>
      </c>
      <c r="S767">
        <v>2821</v>
      </c>
      <c r="T767">
        <v>2997</v>
      </c>
      <c r="U767">
        <v>3</v>
      </c>
      <c r="V767" s="1" t="s">
        <v>40</v>
      </c>
      <c r="W767">
        <v>16</v>
      </c>
      <c r="X767">
        <v>3</v>
      </c>
      <c r="Y767">
        <v>1</v>
      </c>
      <c r="Z767">
        <v>80</v>
      </c>
      <c r="AA767">
        <v>1</v>
      </c>
      <c r="AB767">
        <v>8</v>
      </c>
      <c r="AC767">
        <v>2</v>
      </c>
      <c r="AD767">
        <v>3</v>
      </c>
      <c r="AE767">
        <v>2</v>
      </c>
      <c r="AF767">
        <v>2</v>
      </c>
      <c r="AG767">
        <v>2</v>
      </c>
      <c r="AH767">
        <v>2</v>
      </c>
      <c r="AI767">
        <f>IF(tbl_HRData[[#This Row],[Attrition]] = "Yes",1,0)</f>
        <v>0</v>
      </c>
      <c r="AJ767">
        <f>IF(tbl_HRData[[#This Row],[Attrition]] = "No",1,0)</f>
        <v>1</v>
      </c>
      <c r="AK767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767" s="1" t="str">
        <f>IF(tbl_HRData[[#This Row],[MonthlyIncome]]&lt;5000,"Low",
IF(tbl_HRData[[#This Row],[MonthlyIncome]]&lt;10000,"Medium",
IF(tbl_HRData[[#This Row],[MonthlyIncome]]&lt;15000,"Upper Medium","High")))</f>
        <v>Low</v>
      </c>
      <c r="AM767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768" spans="1:39" x14ac:dyDescent="0.35">
      <c r="A768" s="1">
        <v>767</v>
      </c>
      <c r="B768">
        <v>50</v>
      </c>
      <c r="C768" s="1" t="s">
        <v>40</v>
      </c>
      <c r="D768" s="1" t="s">
        <v>34</v>
      </c>
      <c r="E768">
        <v>1464</v>
      </c>
      <c r="F768" s="1" t="s">
        <v>42</v>
      </c>
      <c r="G768">
        <v>2</v>
      </c>
      <c r="H768">
        <v>4</v>
      </c>
      <c r="I768" s="1" t="s">
        <v>48</v>
      </c>
      <c r="J768">
        <v>1061</v>
      </c>
      <c r="K768">
        <v>2</v>
      </c>
      <c r="L768" s="1" t="s">
        <v>43</v>
      </c>
      <c r="M768">
        <v>62</v>
      </c>
      <c r="N768">
        <v>3</v>
      </c>
      <c r="O768">
        <v>5</v>
      </c>
      <c r="P768" s="1" t="s">
        <v>55</v>
      </c>
      <c r="Q768">
        <v>3</v>
      </c>
      <c r="R768" s="1" t="s">
        <v>45</v>
      </c>
      <c r="S768">
        <v>19237</v>
      </c>
      <c r="T768">
        <v>12853</v>
      </c>
      <c r="U768">
        <v>2</v>
      </c>
      <c r="V768" s="1" t="s">
        <v>33</v>
      </c>
      <c r="W768">
        <v>11</v>
      </c>
      <c r="X768">
        <v>3</v>
      </c>
      <c r="Y768">
        <v>4</v>
      </c>
      <c r="Z768">
        <v>80</v>
      </c>
      <c r="AA768">
        <v>1</v>
      </c>
      <c r="AB768">
        <v>29</v>
      </c>
      <c r="AC768">
        <v>2</v>
      </c>
      <c r="AD768">
        <v>2</v>
      </c>
      <c r="AE768">
        <v>8</v>
      </c>
      <c r="AF768">
        <v>1</v>
      </c>
      <c r="AG768">
        <v>7</v>
      </c>
      <c r="AH768">
        <v>7</v>
      </c>
      <c r="AI768">
        <f>IF(tbl_HRData[[#This Row],[Attrition]] = "Yes",1,0)</f>
        <v>0</v>
      </c>
      <c r="AJ768">
        <f>IF(tbl_HRData[[#This Row],[Attrition]] = "No",1,0)</f>
        <v>1</v>
      </c>
      <c r="AK768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768" s="1" t="str">
        <f>IF(tbl_HRData[[#This Row],[MonthlyIncome]]&lt;5000,"Low",
IF(tbl_HRData[[#This Row],[MonthlyIncome]]&lt;10000,"Medium",
IF(tbl_HRData[[#This Row],[MonthlyIncome]]&lt;15000,"Upper Medium","High")))</f>
        <v>High</v>
      </c>
      <c r="AM768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769" spans="1:39" x14ac:dyDescent="0.35">
      <c r="A769" s="1">
        <v>768</v>
      </c>
      <c r="B769">
        <v>37</v>
      </c>
      <c r="C769" s="1" t="s">
        <v>40</v>
      </c>
      <c r="D769" s="1" t="s">
        <v>34</v>
      </c>
      <c r="E769">
        <v>124</v>
      </c>
      <c r="F769" s="1" t="s">
        <v>42</v>
      </c>
      <c r="G769">
        <v>3</v>
      </c>
      <c r="H769">
        <v>3</v>
      </c>
      <c r="I769" s="1" t="s">
        <v>46</v>
      </c>
      <c r="J769">
        <v>1062</v>
      </c>
      <c r="K769">
        <v>4</v>
      </c>
      <c r="L769" s="1" t="s">
        <v>37</v>
      </c>
      <c r="M769">
        <v>35</v>
      </c>
      <c r="N769">
        <v>3</v>
      </c>
      <c r="O769">
        <v>2</v>
      </c>
      <c r="P769" s="1" t="s">
        <v>51</v>
      </c>
      <c r="Q769">
        <v>2</v>
      </c>
      <c r="R769" s="1" t="s">
        <v>39</v>
      </c>
      <c r="S769">
        <v>4107</v>
      </c>
      <c r="T769">
        <v>13848</v>
      </c>
      <c r="U769">
        <v>3</v>
      </c>
      <c r="V769" s="1" t="s">
        <v>40</v>
      </c>
      <c r="W769">
        <v>15</v>
      </c>
      <c r="X769">
        <v>3</v>
      </c>
      <c r="Y769">
        <v>1</v>
      </c>
      <c r="Z769">
        <v>80</v>
      </c>
      <c r="AA769">
        <v>0</v>
      </c>
      <c r="AB769">
        <v>8</v>
      </c>
      <c r="AC769">
        <v>3</v>
      </c>
      <c r="AD769">
        <v>2</v>
      </c>
      <c r="AE769">
        <v>4</v>
      </c>
      <c r="AF769">
        <v>3</v>
      </c>
      <c r="AG769">
        <v>0</v>
      </c>
      <c r="AH769">
        <v>1</v>
      </c>
      <c r="AI769">
        <f>IF(tbl_HRData[[#This Row],[Attrition]] = "Yes",1,0)</f>
        <v>0</v>
      </c>
      <c r="AJ769">
        <f>IF(tbl_HRData[[#This Row],[Attrition]] = "No",1,0)</f>
        <v>1</v>
      </c>
      <c r="AK769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769" s="1" t="str">
        <f>IF(tbl_HRData[[#This Row],[MonthlyIncome]]&lt;5000,"Low",
IF(tbl_HRData[[#This Row],[MonthlyIncome]]&lt;10000,"Medium",
IF(tbl_HRData[[#This Row],[MonthlyIncome]]&lt;15000,"Upper Medium","High")))</f>
        <v>Low</v>
      </c>
      <c r="AM769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770" spans="1:39" x14ac:dyDescent="0.35">
      <c r="A770" s="1">
        <v>769</v>
      </c>
      <c r="B770">
        <v>40</v>
      </c>
      <c r="C770" s="1" t="s">
        <v>40</v>
      </c>
      <c r="D770" s="1" t="s">
        <v>34</v>
      </c>
      <c r="E770">
        <v>300</v>
      </c>
      <c r="F770" s="1" t="s">
        <v>35</v>
      </c>
      <c r="G770">
        <v>26</v>
      </c>
      <c r="H770">
        <v>3</v>
      </c>
      <c r="I770" s="1" t="s">
        <v>56</v>
      </c>
      <c r="J770">
        <v>1066</v>
      </c>
      <c r="K770">
        <v>3</v>
      </c>
      <c r="L770" s="1" t="s">
        <v>43</v>
      </c>
      <c r="M770">
        <v>74</v>
      </c>
      <c r="N770">
        <v>3</v>
      </c>
      <c r="O770">
        <v>2</v>
      </c>
      <c r="P770" s="1" t="s">
        <v>38</v>
      </c>
      <c r="Q770">
        <v>1</v>
      </c>
      <c r="R770" s="1" t="s">
        <v>45</v>
      </c>
      <c r="S770">
        <v>8396</v>
      </c>
      <c r="T770">
        <v>22217</v>
      </c>
      <c r="U770">
        <v>1</v>
      </c>
      <c r="V770" s="1" t="s">
        <v>40</v>
      </c>
      <c r="W770">
        <v>14</v>
      </c>
      <c r="X770">
        <v>3</v>
      </c>
      <c r="Y770">
        <v>2</v>
      </c>
      <c r="Z770">
        <v>80</v>
      </c>
      <c r="AA770">
        <v>1</v>
      </c>
      <c r="AB770">
        <v>8</v>
      </c>
      <c r="AC770">
        <v>3</v>
      </c>
      <c r="AD770">
        <v>2</v>
      </c>
      <c r="AE770">
        <v>7</v>
      </c>
      <c r="AF770">
        <v>7</v>
      </c>
      <c r="AG770">
        <v>7</v>
      </c>
      <c r="AH770">
        <v>5</v>
      </c>
      <c r="AI770">
        <f>IF(tbl_HRData[[#This Row],[Attrition]] = "Yes",1,0)</f>
        <v>0</v>
      </c>
      <c r="AJ770">
        <f>IF(tbl_HRData[[#This Row],[Attrition]] = "No",1,0)</f>
        <v>1</v>
      </c>
      <c r="AK770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770" s="1" t="str">
        <f>IF(tbl_HRData[[#This Row],[MonthlyIncome]]&lt;5000,"Low",
IF(tbl_HRData[[#This Row],[MonthlyIncome]]&lt;10000,"Medium",
IF(tbl_HRData[[#This Row],[MonthlyIncome]]&lt;15000,"Upper Medium","High")))</f>
        <v>Medium</v>
      </c>
      <c r="AM770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771" spans="1:39" x14ac:dyDescent="0.35">
      <c r="A771" s="1">
        <v>770</v>
      </c>
      <c r="B771">
        <v>26</v>
      </c>
      <c r="C771" s="1" t="s">
        <v>40</v>
      </c>
      <c r="D771" s="1" t="s">
        <v>41</v>
      </c>
      <c r="E771">
        <v>921</v>
      </c>
      <c r="F771" s="1" t="s">
        <v>42</v>
      </c>
      <c r="G771">
        <v>1</v>
      </c>
      <c r="H771">
        <v>1</v>
      </c>
      <c r="I771" s="1" t="s">
        <v>48</v>
      </c>
      <c r="J771">
        <v>1068</v>
      </c>
      <c r="K771">
        <v>1</v>
      </c>
      <c r="L771" s="1" t="s">
        <v>37</v>
      </c>
      <c r="M771">
        <v>66</v>
      </c>
      <c r="N771">
        <v>2</v>
      </c>
      <c r="O771">
        <v>1</v>
      </c>
      <c r="P771" s="1" t="s">
        <v>44</v>
      </c>
      <c r="Q771">
        <v>3</v>
      </c>
      <c r="R771" s="1" t="s">
        <v>49</v>
      </c>
      <c r="S771">
        <v>2007</v>
      </c>
      <c r="T771">
        <v>25265</v>
      </c>
      <c r="U771">
        <v>1</v>
      </c>
      <c r="V771" s="1" t="s">
        <v>40</v>
      </c>
      <c r="W771">
        <v>13</v>
      </c>
      <c r="X771">
        <v>3</v>
      </c>
      <c r="Y771">
        <v>3</v>
      </c>
      <c r="Z771">
        <v>80</v>
      </c>
      <c r="AA771">
        <v>2</v>
      </c>
      <c r="AB771">
        <v>5</v>
      </c>
      <c r="AC771">
        <v>5</v>
      </c>
      <c r="AD771">
        <v>3</v>
      </c>
      <c r="AE771">
        <v>5</v>
      </c>
      <c r="AF771">
        <v>3</v>
      </c>
      <c r="AG771">
        <v>1</v>
      </c>
      <c r="AH771">
        <v>3</v>
      </c>
      <c r="AI771">
        <f>IF(tbl_HRData[[#This Row],[Attrition]] = "Yes",1,0)</f>
        <v>0</v>
      </c>
      <c r="AJ771">
        <f>IF(tbl_HRData[[#This Row],[Attrition]] = "No",1,0)</f>
        <v>1</v>
      </c>
      <c r="AK771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771" s="1" t="str">
        <f>IF(tbl_HRData[[#This Row],[MonthlyIncome]]&lt;5000,"Low",
IF(tbl_HRData[[#This Row],[MonthlyIncome]]&lt;10000,"Medium",
IF(tbl_HRData[[#This Row],[MonthlyIncome]]&lt;15000,"Upper Medium","High")))</f>
        <v>Low</v>
      </c>
      <c r="AM771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772" spans="1:39" x14ac:dyDescent="0.35">
      <c r="A772" s="1">
        <v>771</v>
      </c>
      <c r="B772">
        <v>46</v>
      </c>
      <c r="C772" s="1" t="s">
        <v>40</v>
      </c>
      <c r="D772" s="1" t="s">
        <v>34</v>
      </c>
      <c r="E772">
        <v>430</v>
      </c>
      <c r="F772" s="1" t="s">
        <v>42</v>
      </c>
      <c r="G772">
        <v>1</v>
      </c>
      <c r="H772">
        <v>4</v>
      </c>
      <c r="I772" s="1" t="s">
        <v>48</v>
      </c>
      <c r="J772">
        <v>1069</v>
      </c>
      <c r="K772">
        <v>4</v>
      </c>
      <c r="L772" s="1" t="s">
        <v>43</v>
      </c>
      <c r="M772">
        <v>40</v>
      </c>
      <c r="N772">
        <v>3</v>
      </c>
      <c r="O772">
        <v>5</v>
      </c>
      <c r="P772" s="1" t="s">
        <v>55</v>
      </c>
      <c r="Q772">
        <v>4</v>
      </c>
      <c r="R772" s="1" t="s">
        <v>49</v>
      </c>
      <c r="S772">
        <v>19627</v>
      </c>
      <c r="T772">
        <v>21445</v>
      </c>
      <c r="U772">
        <v>9</v>
      </c>
      <c r="V772" s="1" t="s">
        <v>40</v>
      </c>
      <c r="W772">
        <v>17</v>
      </c>
      <c r="X772">
        <v>3</v>
      </c>
      <c r="Y772">
        <v>4</v>
      </c>
      <c r="Z772">
        <v>80</v>
      </c>
      <c r="AA772">
        <v>2</v>
      </c>
      <c r="AB772">
        <v>23</v>
      </c>
      <c r="AC772">
        <v>0</v>
      </c>
      <c r="AD772">
        <v>3</v>
      </c>
      <c r="AE772">
        <v>2</v>
      </c>
      <c r="AF772">
        <v>2</v>
      </c>
      <c r="AG772">
        <v>2</v>
      </c>
      <c r="AH772">
        <v>2</v>
      </c>
      <c r="AI772">
        <f>IF(tbl_HRData[[#This Row],[Attrition]] = "Yes",1,0)</f>
        <v>0</v>
      </c>
      <c r="AJ772">
        <f>IF(tbl_HRData[[#This Row],[Attrition]] = "No",1,0)</f>
        <v>1</v>
      </c>
      <c r="AK772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772" s="1" t="str">
        <f>IF(tbl_HRData[[#This Row],[MonthlyIncome]]&lt;5000,"Low",
IF(tbl_HRData[[#This Row],[MonthlyIncome]]&lt;10000,"Medium",
IF(tbl_HRData[[#This Row],[MonthlyIncome]]&lt;15000,"Upper Medium","High")))</f>
        <v>High</v>
      </c>
      <c r="AM772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773" spans="1:39" x14ac:dyDescent="0.35">
      <c r="A773" s="1">
        <v>772</v>
      </c>
      <c r="B773">
        <v>54</v>
      </c>
      <c r="C773" s="1" t="s">
        <v>40</v>
      </c>
      <c r="D773" s="1" t="s">
        <v>34</v>
      </c>
      <c r="E773">
        <v>1082</v>
      </c>
      <c r="F773" s="1" t="s">
        <v>35</v>
      </c>
      <c r="G773">
        <v>2</v>
      </c>
      <c r="H773">
        <v>4</v>
      </c>
      <c r="I773" s="1" t="s">
        <v>36</v>
      </c>
      <c r="J773">
        <v>1070</v>
      </c>
      <c r="K773">
        <v>3</v>
      </c>
      <c r="L773" s="1" t="s">
        <v>37</v>
      </c>
      <c r="M773">
        <v>41</v>
      </c>
      <c r="N773">
        <v>2</v>
      </c>
      <c r="O773">
        <v>3</v>
      </c>
      <c r="P773" s="1" t="s">
        <v>38</v>
      </c>
      <c r="Q773">
        <v>3</v>
      </c>
      <c r="R773" s="1" t="s">
        <v>45</v>
      </c>
      <c r="S773">
        <v>10686</v>
      </c>
      <c r="T773">
        <v>8392</v>
      </c>
      <c r="U773">
        <v>6</v>
      </c>
      <c r="V773" s="1" t="s">
        <v>40</v>
      </c>
      <c r="W773">
        <v>11</v>
      </c>
      <c r="X773">
        <v>3</v>
      </c>
      <c r="Y773">
        <v>2</v>
      </c>
      <c r="Z773">
        <v>80</v>
      </c>
      <c r="AA773">
        <v>1</v>
      </c>
      <c r="AB773">
        <v>13</v>
      </c>
      <c r="AC773">
        <v>4</v>
      </c>
      <c r="AD773">
        <v>3</v>
      </c>
      <c r="AE773">
        <v>9</v>
      </c>
      <c r="AF773">
        <v>4</v>
      </c>
      <c r="AG773">
        <v>7</v>
      </c>
      <c r="AH773">
        <v>0</v>
      </c>
      <c r="AI773">
        <f>IF(tbl_HRData[[#This Row],[Attrition]] = "Yes",1,0)</f>
        <v>0</v>
      </c>
      <c r="AJ773">
        <f>IF(tbl_HRData[[#This Row],[Attrition]] = "No",1,0)</f>
        <v>1</v>
      </c>
      <c r="AK773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773" s="1" t="str">
        <f>IF(tbl_HRData[[#This Row],[MonthlyIncome]]&lt;5000,"Low",
IF(tbl_HRData[[#This Row],[MonthlyIncome]]&lt;10000,"Medium",
IF(tbl_HRData[[#This Row],[MonthlyIncome]]&lt;15000,"Upper Medium","High")))</f>
        <v>Upper Medium</v>
      </c>
      <c r="AM773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774" spans="1:39" x14ac:dyDescent="0.35">
      <c r="A774" s="1">
        <v>773</v>
      </c>
      <c r="B774">
        <v>56</v>
      </c>
      <c r="C774" s="1" t="s">
        <v>40</v>
      </c>
      <c r="D774" s="1" t="s">
        <v>41</v>
      </c>
      <c r="E774">
        <v>1240</v>
      </c>
      <c r="F774" s="1" t="s">
        <v>42</v>
      </c>
      <c r="G774">
        <v>9</v>
      </c>
      <c r="H774">
        <v>3</v>
      </c>
      <c r="I774" s="1" t="s">
        <v>48</v>
      </c>
      <c r="J774">
        <v>1071</v>
      </c>
      <c r="K774">
        <v>1</v>
      </c>
      <c r="L774" s="1" t="s">
        <v>37</v>
      </c>
      <c r="M774">
        <v>63</v>
      </c>
      <c r="N774">
        <v>3</v>
      </c>
      <c r="O774">
        <v>1</v>
      </c>
      <c r="P774" s="1" t="s">
        <v>44</v>
      </c>
      <c r="Q774">
        <v>3</v>
      </c>
      <c r="R774" s="1" t="s">
        <v>45</v>
      </c>
      <c r="S774">
        <v>2942</v>
      </c>
      <c r="T774">
        <v>12154</v>
      </c>
      <c r="U774">
        <v>2</v>
      </c>
      <c r="V774" s="1" t="s">
        <v>40</v>
      </c>
      <c r="W774">
        <v>19</v>
      </c>
      <c r="X774">
        <v>3</v>
      </c>
      <c r="Y774">
        <v>2</v>
      </c>
      <c r="Z774">
        <v>80</v>
      </c>
      <c r="AA774">
        <v>1</v>
      </c>
      <c r="AB774">
        <v>18</v>
      </c>
      <c r="AC774">
        <v>4</v>
      </c>
      <c r="AD774">
        <v>3</v>
      </c>
      <c r="AE774">
        <v>5</v>
      </c>
      <c r="AF774">
        <v>4</v>
      </c>
      <c r="AG774">
        <v>0</v>
      </c>
      <c r="AH774">
        <v>3</v>
      </c>
      <c r="AI774">
        <f>IF(tbl_HRData[[#This Row],[Attrition]] = "Yes",1,0)</f>
        <v>0</v>
      </c>
      <c r="AJ774">
        <f>IF(tbl_HRData[[#This Row],[Attrition]] = "No",1,0)</f>
        <v>1</v>
      </c>
      <c r="AK774" t="str">
        <f>IF(tbl_HRData[[#This Row],[Age]] &lt; 25, "Under 25", IF(tbl_HRData[[#This Row],[Age]] &lt;= 34, "25-34", IF(tbl_HRData[[#This Row],[Age]] &lt;= 44, "35-44", IF(tbl_HRData[[#This Row],[Age]] &lt;= 54, "45-54", "55+"))))</f>
        <v>55+</v>
      </c>
      <c r="AL774" s="1" t="str">
        <f>IF(tbl_HRData[[#This Row],[MonthlyIncome]]&lt;5000,"Low",
IF(tbl_HRData[[#This Row],[MonthlyIncome]]&lt;10000,"Medium",
IF(tbl_HRData[[#This Row],[MonthlyIncome]]&lt;15000,"Upper Medium","High")))</f>
        <v>Low</v>
      </c>
      <c r="AM774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775" spans="1:39" x14ac:dyDescent="0.35">
      <c r="A775" s="1">
        <v>774</v>
      </c>
      <c r="B775">
        <v>36</v>
      </c>
      <c r="C775" s="1" t="s">
        <v>40</v>
      </c>
      <c r="D775" s="1" t="s">
        <v>34</v>
      </c>
      <c r="E775">
        <v>796</v>
      </c>
      <c r="F775" s="1" t="s">
        <v>42</v>
      </c>
      <c r="G775">
        <v>12</v>
      </c>
      <c r="H775">
        <v>5</v>
      </c>
      <c r="I775" s="1" t="s">
        <v>48</v>
      </c>
      <c r="J775">
        <v>1073</v>
      </c>
      <c r="K775">
        <v>4</v>
      </c>
      <c r="L775" s="1" t="s">
        <v>37</v>
      </c>
      <c r="M775">
        <v>51</v>
      </c>
      <c r="N775">
        <v>2</v>
      </c>
      <c r="O775">
        <v>3</v>
      </c>
      <c r="P775" s="1" t="s">
        <v>50</v>
      </c>
      <c r="Q775">
        <v>4</v>
      </c>
      <c r="R775" s="1" t="s">
        <v>39</v>
      </c>
      <c r="S775">
        <v>8858</v>
      </c>
      <c r="T775">
        <v>15669</v>
      </c>
      <c r="U775">
        <v>0</v>
      </c>
      <c r="V775" s="1" t="s">
        <v>40</v>
      </c>
      <c r="W775">
        <v>11</v>
      </c>
      <c r="X775">
        <v>3</v>
      </c>
      <c r="Y775">
        <v>2</v>
      </c>
      <c r="Z775">
        <v>80</v>
      </c>
      <c r="AA775">
        <v>0</v>
      </c>
      <c r="AB775">
        <v>15</v>
      </c>
      <c r="AC775">
        <v>2</v>
      </c>
      <c r="AD775">
        <v>2</v>
      </c>
      <c r="AE775">
        <v>14</v>
      </c>
      <c r="AF775">
        <v>8</v>
      </c>
      <c r="AG775">
        <v>7</v>
      </c>
      <c r="AH775">
        <v>8</v>
      </c>
      <c r="AI775">
        <f>IF(tbl_HRData[[#This Row],[Attrition]] = "Yes",1,0)</f>
        <v>0</v>
      </c>
      <c r="AJ775">
        <f>IF(tbl_HRData[[#This Row],[Attrition]] = "No",1,0)</f>
        <v>1</v>
      </c>
      <c r="AK775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775" s="1" t="str">
        <f>IF(tbl_HRData[[#This Row],[MonthlyIncome]]&lt;5000,"Low",
IF(tbl_HRData[[#This Row],[MonthlyIncome]]&lt;10000,"Medium",
IF(tbl_HRData[[#This Row],[MonthlyIncome]]&lt;15000,"Upper Medium","High")))</f>
        <v>Medium</v>
      </c>
      <c r="AM775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776" spans="1:39" x14ac:dyDescent="0.35">
      <c r="A776" s="1">
        <v>775</v>
      </c>
      <c r="B776">
        <v>55</v>
      </c>
      <c r="C776" s="1" t="s">
        <v>40</v>
      </c>
      <c r="D776" s="1" t="s">
        <v>52</v>
      </c>
      <c r="E776">
        <v>444</v>
      </c>
      <c r="F776" s="1" t="s">
        <v>42</v>
      </c>
      <c r="G776">
        <v>2</v>
      </c>
      <c r="H776">
        <v>1</v>
      </c>
      <c r="I776" s="1" t="s">
        <v>48</v>
      </c>
      <c r="J776">
        <v>1074</v>
      </c>
      <c r="K776">
        <v>3</v>
      </c>
      <c r="L776" s="1" t="s">
        <v>43</v>
      </c>
      <c r="M776">
        <v>40</v>
      </c>
      <c r="N776">
        <v>2</v>
      </c>
      <c r="O776">
        <v>4</v>
      </c>
      <c r="P776" s="1" t="s">
        <v>53</v>
      </c>
      <c r="Q776">
        <v>1</v>
      </c>
      <c r="R776" s="1" t="s">
        <v>39</v>
      </c>
      <c r="S776">
        <v>16756</v>
      </c>
      <c r="T776">
        <v>17323</v>
      </c>
      <c r="U776">
        <v>7</v>
      </c>
      <c r="V776" s="1" t="s">
        <v>40</v>
      </c>
      <c r="W776">
        <v>15</v>
      </c>
      <c r="X776">
        <v>3</v>
      </c>
      <c r="Y776">
        <v>2</v>
      </c>
      <c r="Z776">
        <v>80</v>
      </c>
      <c r="AA776">
        <v>0</v>
      </c>
      <c r="AB776">
        <v>31</v>
      </c>
      <c r="AC776">
        <v>3</v>
      </c>
      <c r="AD776">
        <v>4</v>
      </c>
      <c r="AE776">
        <v>9</v>
      </c>
      <c r="AF776">
        <v>7</v>
      </c>
      <c r="AG776">
        <v>6</v>
      </c>
      <c r="AH776">
        <v>2</v>
      </c>
      <c r="AI776">
        <f>IF(tbl_HRData[[#This Row],[Attrition]] = "Yes",1,0)</f>
        <v>0</v>
      </c>
      <c r="AJ776">
        <f>IF(tbl_HRData[[#This Row],[Attrition]] = "No",1,0)</f>
        <v>1</v>
      </c>
      <c r="AK776" t="str">
        <f>IF(tbl_HRData[[#This Row],[Age]] &lt; 25, "Under 25", IF(tbl_HRData[[#This Row],[Age]] &lt;= 34, "25-34", IF(tbl_HRData[[#This Row],[Age]] &lt;= 44, "35-44", IF(tbl_HRData[[#This Row],[Age]] &lt;= 54, "45-54", "55+"))))</f>
        <v>55+</v>
      </c>
      <c r="AL776" s="1" t="str">
        <f>IF(tbl_HRData[[#This Row],[MonthlyIncome]]&lt;5000,"Low",
IF(tbl_HRData[[#This Row],[MonthlyIncome]]&lt;10000,"Medium",
IF(tbl_HRData[[#This Row],[MonthlyIncome]]&lt;15000,"Upper Medium","High")))</f>
        <v>High</v>
      </c>
      <c r="AM776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777" spans="1:39" x14ac:dyDescent="0.35">
      <c r="A777" s="1">
        <v>776</v>
      </c>
      <c r="B777">
        <v>43</v>
      </c>
      <c r="C777" s="1" t="s">
        <v>40</v>
      </c>
      <c r="D777" s="1" t="s">
        <v>34</v>
      </c>
      <c r="E777">
        <v>415</v>
      </c>
      <c r="F777" s="1" t="s">
        <v>35</v>
      </c>
      <c r="G777">
        <v>25</v>
      </c>
      <c r="H777">
        <v>3</v>
      </c>
      <c r="I777" s="1" t="s">
        <v>48</v>
      </c>
      <c r="J777">
        <v>1076</v>
      </c>
      <c r="K777">
        <v>3</v>
      </c>
      <c r="L777" s="1" t="s">
        <v>43</v>
      </c>
      <c r="M777">
        <v>79</v>
      </c>
      <c r="N777">
        <v>2</v>
      </c>
      <c r="O777">
        <v>3</v>
      </c>
      <c r="P777" s="1" t="s">
        <v>38</v>
      </c>
      <c r="Q777">
        <v>4</v>
      </c>
      <c r="R777" s="1" t="s">
        <v>49</v>
      </c>
      <c r="S777">
        <v>10798</v>
      </c>
      <c r="T777">
        <v>5268</v>
      </c>
      <c r="U777">
        <v>5</v>
      </c>
      <c r="V777" s="1" t="s">
        <v>40</v>
      </c>
      <c r="W777">
        <v>13</v>
      </c>
      <c r="X777">
        <v>3</v>
      </c>
      <c r="Y777">
        <v>3</v>
      </c>
      <c r="Z777">
        <v>80</v>
      </c>
      <c r="AA777">
        <v>1</v>
      </c>
      <c r="AB777">
        <v>18</v>
      </c>
      <c r="AC777">
        <v>5</v>
      </c>
      <c r="AD777">
        <v>3</v>
      </c>
      <c r="AE777">
        <v>1</v>
      </c>
      <c r="AF777">
        <v>0</v>
      </c>
      <c r="AG777">
        <v>0</v>
      </c>
      <c r="AH777">
        <v>0</v>
      </c>
      <c r="AI777">
        <f>IF(tbl_HRData[[#This Row],[Attrition]] = "Yes",1,0)</f>
        <v>0</v>
      </c>
      <c r="AJ777">
        <f>IF(tbl_HRData[[#This Row],[Attrition]] = "No",1,0)</f>
        <v>1</v>
      </c>
      <c r="AK777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777" s="1" t="str">
        <f>IF(tbl_HRData[[#This Row],[MonthlyIncome]]&lt;5000,"Low",
IF(tbl_HRData[[#This Row],[MonthlyIncome]]&lt;10000,"Medium",
IF(tbl_HRData[[#This Row],[MonthlyIncome]]&lt;15000,"Upper Medium","High")))</f>
        <v>Upper Medium</v>
      </c>
      <c r="AM777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778" spans="1:39" x14ac:dyDescent="0.35">
      <c r="A778" s="1">
        <v>777</v>
      </c>
      <c r="B778">
        <v>20</v>
      </c>
      <c r="C778" s="1" t="s">
        <v>33</v>
      </c>
      <c r="D778" s="1" t="s">
        <v>41</v>
      </c>
      <c r="E778">
        <v>769</v>
      </c>
      <c r="F778" s="1" t="s">
        <v>35</v>
      </c>
      <c r="G778">
        <v>9</v>
      </c>
      <c r="H778">
        <v>3</v>
      </c>
      <c r="I778" s="1" t="s">
        <v>56</v>
      </c>
      <c r="J778">
        <v>1077</v>
      </c>
      <c r="K778">
        <v>4</v>
      </c>
      <c r="L778" s="1" t="s">
        <v>37</v>
      </c>
      <c r="M778">
        <v>54</v>
      </c>
      <c r="N778">
        <v>3</v>
      </c>
      <c r="O778">
        <v>1</v>
      </c>
      <c r="P778" s="1" t="s">
        <v>54</v>
      </c>
      <c r="Q778">
        <v>4</v>
      </c>
      <c r="R778" s="1" t="s">
        <v>39</v>
      </c>
      <c r="S778">
        <v>2323</v>
      </c>
      <c r="T778">
        <v>17205</v>
      </c>
      <c r="U778">
        <v>1</v>
      </c>
      <c r="V778" s="1" t="s">
        <v>33</v>
      </c>
      <c r="W778">
        <v>14</v>
      </c>
      <c r="X778">
        <v>3</v>
      </c>
      <c r="Y778">
        <v>2</v>
      </c>
      <c r="Z778">
        <v>80</v>
      </c>
      <c r="AA778">
        <v>0</v>
      </c>
      <c r="AB778">
        <v>2</v>
      </c>
      <c r="AC778">
        <v>3</v>
      </c>
      <c r="AD778">
        <v>3</v>
      </c>
      <c r="AE778">
        <v>2</v>
      </c>
      <c r="AF778">
        <v>2</v>
      </c>
      <c r="AG778">
        <v>0</v>
      </c>
      <c r="AH778">
        <v>2</v>
      </c>
      <c r="AI778">
        <f>IF(tbl_HRData[[#This Row],[Attrition]] = "Yes",1,0)</f>
        <v>1</v>
      </c>
      <c r="AJ778">
        <f>IF(tbl_HRData[[#This Row],[Attrition]] = "No",1,0)</f>
        <v>0</v>
      </c>
      <c r="AK778" t="str">
        <f>IF(tbl_HRData[[#This Row],[Age]] &lt; 25, "Under 25", IF(tbl_HRData[[#This Row],[Age]] &lt;= 34, "25-34", IF(tbl_HRData[[#This Row],[Age]] &lt;= 44, "35-44", IF(tbl_HRData[[#This Row],[Age]] &lt;= 54, "45-54", "55+"))))</f>
        <v>Under 25</v>
      </c>
      <c r="AL778" s="1" t="str">
        <f>IF(tbl_HRData[[#This Row],[MonthlyIncome]]&lt;5000,"Low",
IF(tbl_HRData[[#This Row],[MonthlyIncome]]&lt;10000,"Medium",
IF(tbl_HRData[[#This Row],[MonthlyIncome]]&lt;15000,"Upper Medium","High")))</f>
        <v>Low</v>
      </c>
      <c r="AM778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779" spans="1:39" x14ac:dyDescent="0.35">
      <c r="A779" s="1">
        <v>778</v>
      </c>
      <c r="B779">
        <v>21</v>
      </c>
      <c r="C779" s="1" t="s">
        <v>33</v>
      </c>
      <c r="D779" s="1" t="s">
        <v>34</v>
      </c>
      <c r="E779">
        <v>1334</v>
      </c>
      <c r="F779" s="1" t="s">
        <v>42</v>
      </c>
      <c r="G779">
        <v>10</v>
      </c>
      <c r="H779">
        <v>3</v>
      </c>
      <c r="I779" s="1" t="s">
        <v>36</v>
      </c>
      <c r="J779">
        <v>1079</v>
      </c>
      <c r="K779">
        <v>3</v>
      </c>
      <c r="L779" s="1" t="s">
        <v>37</v>
      </c>
      <c r="M779">
        <v>36</v>
      </c>
      <c r="N779">
        <v>2</v>
      </c>
      <c r="O779">
        <v>1</v>
      </c>
      <c r="P779" s="1" t="s">
        <v>47</v>
      </c>
      <c r="Q779">
        <v>1</v>
      </c>
      <c r="R779" s="1" t="s">
        <v>39</v>
      </c>
      <c r="S779">
        <v>1416</v>
      </c>
      <c r="T779">
        <v>17258</v>
      </c>
      <c r="U779">
        <v>1</v>
      </c>
      <c r="V779" s="1" t="s">
        <v>40</v>
      </c>
      <c r="W779">
        <v>13</v>
      </c>
      <c r="X779">
        <v>3</v>
      </c>
      <c r="Y779">
        <v>1</v>
      </c>
      <c r="Z779">
        <v>80</v>
      </c>
      <c r="AA779">
        <v>0</v>
      </c>
      <c r="AB779">
        <v>1</v>
      </c>
      <c r="AC779">
        <v>6</v>
      </c>
      <c r="AD779">
        <v>2</v>
      </c>
      <c r="AE779">
        <v>1</v>
      </c>
      <c r="AF779">
        <v>0</v>
      </c>
      <c r="AG779">
        <v>1</v>
      </c>
      <c r="AH779">
        <v>0</v>
      </c>
      <c r="AI779">
        <f>IF(tbl_HRData[[#This Row],[Attrition]] = "Yes",1,0)</f>
        <v>1</v>
      </c>
      <c r="AJ779">
        <f>IF(tbl_HRData[[#This Row],[Attrition]] = "No",1,0)</f>
        <v>0</v>
      </c>
      <c r="AK779" t="str">
        <f>IF(tbl_HRData[[#This Row],[Age]] &lt; 25, "Under 25", IF(tbl_HRData[[#This Row],[Age]] &lt;= 34, "25-34", IF(tbl_HRData[[#This Row],[Age]] &lt;= 44, "35-44", IF(tbl_HRData[[#This Row],[Age]] &lt;= 54, "45-54", "55+"))))</f>
        <v>Under 25</v>
      </c>
      <c r="AL779" s="1" t="str">
        <f>IF(tbl_HRData[[#This Row],[MonthlyIncome]]&lt;5000,"Low",
IF(tbl_HRData[[#This Row],[MonthlyIncome]]&lt;10000,"Medium",
IF(tbl_HRData[[#This Row],[MonthlyIncome]]&lt;15000,"Upper Medium","High")))</f>
        <v>Low</v>
      </c>
      <c r="AM779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780" spans="1:39" x14ac:dyDescent="0.35">
      <c r="A780" s="1">
        <v>779</v>
      </c>
      <c r="B780">
        <v>46</v>
      </c>
      <c r="C780" s="1" t="s">
        <v>40</v>
      </c>
      <c r="D780" s="1" t="s">
        <v>34</v>
      </c>
      <c r="E780">
        <v>1003</v>
      </c>
      <c r="F780" s="1" t="s">
        <v>42</v>
      </c>
      <c r="G780">
        <v>8</v>
      </c>
      <c r="H780">
        <v>4</v>
      </c>
      <c r="I780" s="1" t="s">
        <v>36</v>
      </c>
      <c r="J780">
        <v>1080</v>
      </c>
      <c r="K780">
        <v>4</v>
      </c>
      <c r="L780" s="1" t="s">
        <v>37</v>
      </c>
      <c r="M780">
        <v>74</v>
      </c>
      <c r="N780">
        <v>2</v>
      </c>
      <c r="O780">
        <v>2</v>
      </c>
      <c r="P780" s="1" t="s">
        <v>44</v>
      </c>
      <c r="Q780">
        <v>1</v>
      </c>
      <c r="R780" s="1" t="s">
        <v>49</v>
      </c>
      <c r="S780">
        <v>4615</v>
      </c>
      <c r="T780">
        <v>21029</v>
      </c>
      <c r="U780">
        <v>8</v>
      </c>
      <c r="V780" s="1" t="s">
        <v>33</v>
      </c>
      <c r="W780">
        <v>23</v>
      </c>
      <c r="X780">
        <v>4</v>
      </c>
      <c r="Y780">
        <v>1</v>
      </c>
      <c r="Z780">
        <v>80</v>
      </c>
      <c r="AA780">
        <v>3</v>
      </c>
      <c r="AB780">
        <v>19</v>
      </c>
      <c r="AC780">
        <v>2</v>
      </c>
      <c r="AD780">
        <v>3</v>
      </c>
      <c r="AE780">
        <v>16</v>
      </c>
      <c r="AF780">
        <v>13</v>
      </c>
      <c r="AG780">
        <v>1</v>
      </c>
      <c r="AH780">
        <v>7</v>
      </c>
      <c r="AI780">
        <f>IF(tbl_HRData[[#This Row],[Attrition]] = "Yes",1,0)</f>
        <v>0</v>
      </c>
      <c r="AJ780">
        <f>IF(tbl_HRData[[#This Row],[Attrition]] = "No",1,0)</f>
        <v>1</v>
      </c>
      <c r="AK780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780" s="1" t="str">
        <f>IF(tbl_HRData[[#This Row],[MonthlyIncome]]&lt;5000,"Low",
IF(tbl_HRData[[#This Row],[MonthlyIncome]]&lt;10000,"Medium",
IF(tbl_HRData[[#This Row],[MonthlyIncome]]&lt;15000,"Upper Medium","High")))</f>
        <v>Low</v>
      </c>
      <c r="AM780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781" spans="1:39" x14ac:dyDescent="0.35">
      <c r="A781" s="1">
        <v>780</v>
      </c>
      <c r="B781">
        <v>51</v>
      </c>
      <c r="C781" s="1" t="s">
        <v>33</v>
      </c>
      <c r="D781" s="1" t="s">
        <v>34</v>
      </c>
      <c r="E781">
        <v>1323</v>
      </c>
      <c r="F781" s="1" t="s">
        <v>42</v>
      </c>
      <c r="G781">
        <v>4</v>
      </c>
      <c r="H781">
        <v>4</v>
      </c>
      <c r="I781" s="1" t="s">
        <v>36</v>
      </c>
      <c r="J781">
        <v>1081</v>
      </c>
      <c r="K781">
        <v>1</v>
      </c>
      <c r="L781" s="1" t="s">
        <v>43</v>
      </c>
      <c r="M781">
        <v>34</v>
      </c>
      <c r="N781">
        <v>3</v>
      </c>
      <c r="O781">
        <v>1</v>
      </c>
      <c r="P781" s="1" t="s">
        <v>44</v>
      </c>
      <c r="Q781">
        <v>3</v>
      </c>
      <c r="R781" s="1" t="s">
        <v>45</v>
      </c>
      <c r="S781">
        <v>2461</v>
      </c>
      <c r="T781">
        <v>10332</v>
      </c>
      <c r="U781">
        <v>9</v>
      </c>
      <c r="V781" s="1" t="s">
        <v>33</v>
      </c>
      <c r="W781">
        <v>12</v>
      </c>
      <c r="X781">
        <v>3</v>
      </c>
      <c r="Y781">
        <v>3</v>
      </c>
      <c r="Z781">
        <v>80</v>
      </c>
      <c r="AA781">
        <v>3</v>
      </c>
      <c r="AB781">
        <v>18</v>
      </c>
      <c r="AC781">
        <v>2</v>
      </c>
      <c r="AD781">
        <v>4</v>
      </c>
      <c r="AE781">
        <v>10</v>
      </c>
      <c r="AF781">
        <v>0</v>
      </c>
      <c r="AG781">
        <v>2</v>
      </c>
      <c r="AH781">
        <v>7</v>
      </c>
      <c r="AI781">
        <f>IF(tbl_HRData[[#This Row],[Attrition]] = "Yes",1,0)</f>
        <v>1</v>
      </c>
      <c r="AJ781">
        <f>IF(tbl_HRData[[#This Row],[Attrition]] = "No",1,0)</f>
        <v>0</v>
      </c>
      <c r="AK781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781" s="1" t="str">
        <f>IF(tbl_HRData[[#This Row],[MonthlyIncome]]&lt;5000,"Low",
IF(tbl_HRData[[#This Row],[MonthlyIncome]]&lt;10000,"Medium",
IF(tbl_HRData[[#This Row],[MonthlyIncome]]&lt;15000,"Upper Medium","High")))</f>
        <v>Low</v>
      </c>
      <c r="AM781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782" spans="1:39" x14ac:dyDescent="0.35">
      <c r="A782" s="1">
        <v>781</v>
      </c>
      <c r="B782">
        <v>28</v>
      </c>
      <c r="C782" s="1" t="s">
        <v>33</v>
      </c>
      <c r="D782" s="1" t="s">
        <v>52</v>
      </c>
      <c r="E782">
        <v>1366</v>
      </c>
      <c r="F782" s="1" t="s">
        <v>42</v>
      </c>
      <c r="G782">
        <v>24</v>
      </c>
      <c r="H782">
        <v>2</v>
      </c>
      <c r="I782" s="1" t="s">
        <v>57</v>
      </c>
      <c r="J782">
        <v>1082</v>
      </c>
      <c r="K782">
        <v>2</v>
      </c>
      <c r="L782" s="1" t="s">
        <v>43</v>
      </c>
      <c r="M782">
        <v>72</v>
      </c>
      <c r="N782">
        <v>2</v>
      </c>
      <c r="O782">
        <v>3</v>
      </c>
      <c r="P782" s="1" t="s">
        <v>51</v>
      </c>
      <c r="Q782">
        <v>1</v>
      </c>
      <c r="R782" s="1" t="s">
        <v>39</v>
      </c>
      <c r="S782">
        <v>8722</v>
      </c>
      <c r="T782">
        <v>12355</v>
      </c>
      <c r="U782">
        <v>1</v>
      </c>
      <c r="V782" s="1" t="s">
        <v>40</v>
      </c>
      <c r="W782">
        <v>12</v>
      </c>
      <c r="X782">
        <v>3</v>
      </c>
      <c r="Y782">
        <v>1</v>
      </c>
      <c r="Z782">
        <v>80</v>
      </c>
      <c r="AA782">
        <v>0</v>
      </c>
      <c r="AB782">
        <v>10</v>
      </c>
      <c r="AC782">
        <v>2</v>
      </c>
      <c r="AD782">
        <v>2</v>
      </c>
      <c r="AE782">
        <v>10</v>
      </c>
      <c r="AF782">
        <v>7</v>
      </c>
      <c r="AG782">
        <v>1</v>
      </c>
      <c r="AH782">
        <v>9</v>
      </c>
      <c r="AI782">
        <f>IF(tbl_HRData[[#This Row],[Attrition]] = "Yes",1,0)</f>
        <v>1</v>
      </c>
      <c r="AJ782">
        <f>IF(tbl_HRData[[#This Row],[Attrition]] = "No",1,0)</f>
        <v>0</v>
      </c>
      <c r="AK782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782" s="1" t="str">
        <f>IF(tbl_HRData[[#This Row],[MonthlyIncome]]&lt;5000,"Low",
IF(tbl_HRData[[#This Row],[MonthlyIncome]]&lt;10000,"Medium",
IF(tbl_HRData[[#This Row],[MonthlyIncome]]&lt;15000,"Upper Medium","High")))</f>
        <v>Medium</v>
      </c>
      <c r="AM782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783" spans="1:39" x14ac:dyDescent="0.35">
      <c r="A783" s="1">
        <v>782</v>
      </c>
      <c r="B783">
        <v>26</v>
      </c>
      <c r="C783" s="1" t="s">
        <v>40</v>
      </c>
      <c r="D783" s="1" t="s">
        <v>34</v>
      </c>
      <c r="E783">
        <v>192</v>
      </c>
      <c r="F783" s="1" t="s">
        <v>42</v>
      </c>
      <c r="G783">
        <v>1</v>
      </c>
      <c r="H783">
        <v>2</v>
      </c>
      <c r="I783" s="1" t="s">
        <v>48</v>
      </c>
      <c r="J783">
        <v>1083</v>
      </c>
      <c r="K783">
        <v>1</v>
      </c>
      <c r="L783" s="1" t="s">
        <v>43</v>
      </c>
      <c r="M783">
        <v>59</v>
      </c>
      <c r="N783">
        <v>2</v>
      </c>
      <c r="O783">
        <v>1</v>
      </c>
      <c r="P783" s="1" t="s">
        <v>47</v>
      </c>
      <c r="Q783">
        <v>1</v>
      </c>
      <c r="R783" s="1" t="s">
        <v>45</v>
      </c>
      <c r="S783">
        <v>3955</v>
      </c>
      <c r="T783">
        <v>11141</v>
      </c>
      <c r="U783">
        <v>1</v>
      </c>
      <c r="V783" s="1" t="s">
        <v>40</v>
      </c>
      <c r="W783">
        <v>16</v>
      </c>
      <c r="X783">
        <v>3</v>
      </c>
      <c r="Y783">
        <v>1</v>
      </c>
      <c r="Z783">
        <v>80</v>
      </c>
      <c r="AA783">
        <v>2</v>
      </c>
      <c r="AB783">
        <v>6</v>
      </c>
      <c r="AC783">
        <v>2</v>
      </c>
      <c r="AD783">
        <v>3</v>
      </c>
      <c r="AE783">
        <v>5</v>
      </c>
      <c r="AF783">
        <v>3</v>
      </c>
      <c r="AG783">
        <v>1</v>
      </c>
      <c r="AH783">
        <v>3</v>
      </c>
      <c r="AI783">
        <f>IF(tbl_HRData[[#This Row],[Attrition]] = "Yes",1,0)</f>
        <v>0</v>
      </c>
      <c r="AJ783">
        <f>IF(tbl_HRData[[#This Row],[Attrition]] = "No",1,0)</f>
        <v>1</v>
      </c>
      <c r="AK783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783" s="1" t="str">
        <f>IF(tbl_HRData[[#This Row],[MonthlyIncome]]&lt;5000,"Low",
IF(tbl_HRData[[#This Row],[MonthlyIncome]]&lt;10000,"Medium",
IF(tbl_HRData[[#This Row],[MonthlyIncome]]&lt;15000,"Upper Medium","High")))</f>
        <v>Low</v>
      </c>
      <c r="AM783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784" spans="1:39" x14ac:dyDescent="0.35">
      <c r="A784" s="1">
        <v>783</v>
      </c>
      <c r="B784">
        <v>30</v>
      </c>
      <c r="C784" s="1" t="s">
        <v>40</v>
      </c>
      <c r="D784" s="1" t="s">
        <v>34</v>
      </c>
      <c r="E784">
        <v>1176</v>
      </c>
      <c r="F784" s="1" t="s">
        <v>42</v>
      </c>
      <c r="G784">
        <v>20</v>
      </c>
      <c r="H784">
        <v>3</v>
      </c>
      <c r="I784" s="1" t="s">
        <v>46</v>
      </c>
      <c r="J784">
        <v>1084</v>
      </c>
      <c r="K784">
        <v>3</v>
      </c>
      <c r="L784" s="1" t="s">
        <v>43</v>
      </c>
      <c r="M784">
        <v>85</v>
      </c>
      <c r="N784">
        <v>3</v>
      </c>
      <c r="O784">
        <v>2</v>
      </c>
      <c r="P784" s="1" t="s">
        <v>50</v>
      </c>
      <c r="Q784">
        <v>1</v>
      </c>
      <c r="R784" s="1" t="s">
        <v>45</v>
      </c>
      <c r="S784">
        <v>9957</v>
      </c>
      <c r="T784">
        <v>9096</v>
      </c>
      <c r="U784">
        <v>0</v>
      </c>
      <c r="V784" s="1" t="s">
        <v>40</v>
      </c>
      <c r="W784">
        <v>15</v>
      </c>
      <c r="X784">
        <v>3</v>
      </c>
      <c r="Y784">
        <v>3</v>
      </c>
      <c r="Z784">
        <v>80</v>
      </c>
      <c r="AA784">
        <v>1</v>
      </c>
      <c r="AB784">
        <v>7</v>
      </c>
      <c r="AC784">
        <v>1</v>
      </c>
      <c r="AD784">
        <v>2</v>
      </c>
      <c r="AE784">
        <v>6</v>
      </c>
      <c r="AF784">
        <v>2</v>
      </c>
      <c r="AG784">
        <v>0</v>
      </c>
      <c r="AH784">
        <v>2</v>
      </c>
      <c r="AI784">
        <f>IF(tbl_HRData[[#This Row],[Attrition]] = "Yes",1,0)</f>
        <v>0</v>
      </c>
      <c r="AJ784">
        <f>IF(tbl_HRData[[#This Row],[Attrition]] = "No",1,0)</f>
        <v>1</v>
      </c>
      <c r="AK784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784" s="1" t="str">
        <f>IF(tbl_HRData[[#This Row],[MonthlyIncome]]&lt;5000,"Low",
IF(tbl_HRData[[#This Row],[MonthlyIncome]]&lt;10000,"Medium",
IF(tbl_HRData[[#This Row],[MonthlyIncome]]&lt;15000,"Upper Medium","High")))</f>
        <v>Medium</v>
      </c>
      <c r="AM784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785" spans="1:39" x14ac:dyDescent="0.35">
      <c r="A785" s="1">
        <v>784</v>
      </c>
      <c r="B785">
        <v>41</v>
      </c>
      <c r="C785" s="1" t="s">
        <v>40</v>
      </c>
      <c r="D785" s="1" t="s">
        <v>34</v>
      </c>
      <c r="E785">
        <v>509</v>
      </c>
      <c r="F785" s="1" t="s">
        <v>42</v>
      </c>
      <c r="G785">
        <v>7</v>
      </c>
      <c r="H785">
        <v>2</v>
      </c>
      <c r="I785" s="1" t="s">
        <v>57</v>
      </c>
      <c r="J785">
        <v>1085</v>
      </c>
      <c r="K785">
        <v>2</v>
      </c>
      <c r="L785" s="1" t="s">
        <v>37</v>
      </c>
      <c r="M785">
        <v>43</v>
      </c>
      <c r="N785">
        <v>4</v>
      </c>
      <c r="O785">
        <v>1</v>
      </c>
      <c r="P785" s="1" t="s">
        <v>44</v>
      </c>
      <c r="Q785">
        <v>3</v>
      </c>
      <c r="R785" s="1" t="s">
        <v>45</v>
      </c>
      <c r="S785">
        <v>3376</v>
      </c>
      <c r="T785">
        <v>18863</v>
      </c>
      <c r="U785">
        <v>1</v>
      </c>
      <c r="V785" s="1" t="s">
        <v>40</v>
      </c>
      <c r="W785">
        <v>13</v>
      </c>
      <c r="X785">
        <v>3</v>
      </c>
      <c r="Y785">
        <v>3</v>
      </c>
      <c r="Z785">
        <v>80</v>
      </c>
      <c r="AA785">
        <v>0</v>
      </c>
      <c r="AB785">
        <v>10</v>
      </c>
      <c r="AC785">
        <v>3</v>
      </c>
      <c r="AD785">
        <v>3</v>
      </c>
      <c r="AE785">
        <v>10</v>
      </c>
      <c r="AF785">
        <v>6</v>
      </c>
      <c r="AG785">
        <v>0</v>
      </c>
      <c r="AH785">
        <v>8</v>
      </c>
      <c r="AI785">
        <f>IF(tbl_HRData[[#This Row],[Attrition]] = "Yes",1,0)</f>
        <v>0</v>
      </c>
      <c r="AJ785">
        <f>IF(tbl_HRData[[#This Row],[Attrition]] = "No",1,0)</f>
        <v>1</v>
      </c>
      <c r="AK785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785" s="1" t="str">
        <f>IF(tbl_HRData[[#This Row],[MonthlyIncome]]&lt;5000,"Low",
IF(tbl_HRData[[#This Row],[MonthlyIncome]]&lt;10000,"Medium",
IF(tbl_HRData[[#This Row],[MonthlyIncome]]&lt;15000,"Upper Medium","High")))</f>
        <v>Low</v>
      </c>
      <c r="AM785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786" spans="1:39" x14ac:dyDescent="0.35">
      <c r="A786" s="1">
        <v>785</v>
      </c>
      <c r="B786">
        <v>38</v>
      </c>
      <c r="C786" s="1" t="s">
        <v>40</v>
      </c>
      <c r="D786" s="1" t="s">
        <v>34</v>
      </c>
      <c r="E786">
        <v>330</v>
      </c>
      <c r="F786" s="1" t="s">
        <v>42</v>
      </c>
      <c r="G786">
        <v>17</v>
      </c>
      <c r="H786">
        <v>1</v>
      </c>
      <c r="I786" s="1" t="s">
        <v>36</v>
      </c>
      <c r="J786">
        <v>1088</v>
      </c>
      <c r="K786">
        <v>3</v>
      </c>
      <c r="L786" s="1" t="s">
        <v>37</v>
      </c>
      <c r="M786">
        <v>65</v>
      </c>
      <c r="N786">
        <v>2</v>
      </c>
      <c r="O786">
        <v>3</v>
      </c>
      <c r="P786" s="1" t="s">
        <v>51</v>
      </c>
      <c r="Q786">
        <v>3</v>
      </c>
      <c r="R786" s="1" t="s">
        <v>45</v>
      </c>
      <c r="S786">
        <v>8823</v>
      </c>
      <c r="T786">
        <v>24608</v>
      </c>
      <c r="U786">
        <v>0</v>
      </c>
      <c r="V786" s="1" t="s">
        <v>40</v>
      </c>
      <c r="W786">
        <v>18</v>
      </c>
      <c r="X786">
        <v>3</v>
      </c>
      <c r="Y786">
        <v>1</v>
      </c>
      <c r="Z786">
        <v>80</v>
      </c>
      <c r="AA786">
        <v>1</v>
      </c>
      <c r="AB786">
        <v>20</v>
      </c>
      <c r="AC786">
        <v>4</v>
      </c>
      <c r="AD786">
        <v>2</v>
      </c>
      <c r="AE786">
        <v>19</v>
      </c>
      <c r="AF786">
        <v>9</v>
      </c>
      <c r="AG786">
        <v>1</v>
      </c>
      <c r="AH786">
        <v>9</v>
      </c>
      <c r="AI786">
        <f>IF(tbl_HRData[[#This Row],[Attrition]] = "Yes",1,0)</f>
        <v>0</v>
      </c>
      <c r="AJ786">
        <f>IF(tbl_HRData[[#This Row],[Attrition]] = "No",1,0)</f>
        <v>1</v>
      </c>
      <c r="AK786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786" s="1" t="str">
        <f>IF(tbl_HRData[[#This Row],[MonthlyIncome]]&lt;5000,"Low",
IF(tbl_HRData[[#This Row],[MonthlyIncome]]&lt;10000,"Medium",
IF(tbl_HRData[[#This Row],[MonthlyIncome]]&lt;15000,"Upper Medium","High")))</f>
        <v>Medium</v>
      </c>
      <c r="AM786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787" spans="1:39" x14ac:dyDescent="0.35">
      <c r="A787" s="1">
        <v>786</v>
      </c>
      <c r="B787">
        <v>40</v>
      </c>
      <c r="C787" s="1" t="s">
        <v>40</v>
      </c>
      <c r="D787" s="1" t="s">
        <v>34</v>
      </c>
      <c r="E787">
        <v>1492</v>
      </c>
      <c r="F787" s="1" t="s">
        <v>42</v>
      </c>
      <c r="G787">
        <v>20</v>
      </c>
      <c r="H787">
        <v>4</v>
      </c>
      <c r="I787" s="1" t="s">
        <v>57</v>
      </c>
      <c r="J787">
        <v>1092</v>
      </c>
      <c r="K787">
        <v>1</v>
      </c>
      <c r="L787" s="1" t="s">
        <v>43</v>
      </c>
      <c r="M787">
        <v>61</v>
      </c>
      <c r="N787">
        <v>3</v>
      </c>
      <c r="O787">
        <v>3</v>
      </c>
      <c r="P787" s="1" t="s">
        <v>51</v>
      </c>
      <c r="Q787">
        <v>4</v>
      </c>
      <c r="R787" s="1" t="s">
        <v>45</v>
      </c>
      <c r="S787">
        <v>10322</v>
      </c>
      <c r="T787">
        <v>26542</v>
      </c>
      <c r="U787">
        <v>4</v>
      </c>
      <c r="V787" s="1" t="s">
        <v>40</v>
      </c>
      <c r="W787">
        <v>20</v>
      </c>
      <c r="X787">
        <v>4</v>
      </c>
      <c r="Y787">
        <v>4</v>
      </c>
      <c r="Z787">
        <v>80</v>
      </c>
      <c r="AA787">
        <v>1</v>
      </c>
      <c r="AB787">
        <v>14</v>
      </c>
      <c r="AC787">
        <v>6</v>
      </c>
      <c r="AD787">
        <v>3</v>
      </c>
      <c r="AE787">
        <v>11</v>
      </c>
      <c r="AF787">
        <v>10</v>
      </c>
      <c r="AG787">
        <v>11</v>
      </c>
      <c r="AH787">
        <v>1</v>
      </c>
      <c r="AI787">
        <f>IF(tbl_HRData[[#This Row],[Attrition]] = "Yes",1,0)</f>
        <v>0</v>
      </c>
      <c r="AJ787">
        <f>IF(tbl_HRData[[#This Row],[Attrition]] = "No",1,0)</f>
        <v>1</v>
      </c>
      <c r="AK787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787" s="1" t="str">
        <f>IF(tbl_HRData[[#This Row],[MonthlyIncome]]&lt;5000,"Low",
IF(tbl_HRData[[#This Row],[MonthlyIncome]]&lt;10000,"Medium",
IF(tbl_HRData[[#This Row],[MonthlyIncome]]&lt;15000,"Upper Medium","High")))</f>
        <v>Upper Medium</v>
      </c>
      <c r="AM787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788" spans="1:39" x14ac:dyDescent="0.35">
      <c r="A788" s="1">
        <v>787</v>
      </c>
      <c r="B788">
        <v>27</v>
      </c>
      <c r="C788" s="1" t="s">
        <v>40</v>
      </c>
      <c r="D788" s="1" t="s">
        <v>52</v>
      </c>
      <c r="E788">
        <v>1277</v>
      </c>
      <c r="F788" s="1" t="s">
        <v>42</v>
      </c>
      <c r="G788">
        <v>8</v>
      </c>
      <c r="H788">
        <v>5</v>
      </c>
      <c r="I788" s="1" t="s">
        <v>36</v>
      </c>
      <c r="J788">
        <v>1094</v>
      </c>
      <c r="K788">
        <v>1</v>
      </c>
      <c r="L788" s="1" t="s">
        <v>43</v>
      </c>
      <c r="M788">
        <v>87</v>
      </c>
      <c r="N788">
        <v>1</v>
      </c>
      <c r="O788">
        <v>1</v>
      </c>
      <c r="P788" s="1" t="s">
        <v>47</v>
      </c>
      <c r="Q788">
        <v>3</v>
      </c>
      <c r="R788" s="1" t="s">
        <v>45</v>
      </c>
      <c r="S788">
        <v>4621</v>
      </c>
      <c r="T788">
        <v>5869</v>
      </c>
      <c r="U788">
        <v>1</v>
      </c>
      <c r="V788" s="1" t="s">
        <v>40</v>
      </c>
      <c r="W788">
        <v>19</v>
      </c>
      <c r="X788">
        <v>3</v>
      </c>
      <c r="Y788">
        <v>4</v>
      </c>
      <c r="Z788">
        <v>80</v>
      </c>
      <c r="AA788">
        <v>3</v>
      </c>
      <c r="AB788">
        <v>3</v>
      </c>
      <c r="AC788">
        <v>4</v>
      </c>
      <c r="AD788">
        <v>3</v>
      </c>
      <c r="AE788">
        <v>3</v>
      </c>
      <c r="AF788">
        <v>2</v>
      </c>
      <c r="AG788">
        <v>1</v>
      </c>
      <c r="AH788">
        <v>2</v>
      </c>
      <c r="AI788">
        <f>IF(tbl_HRData[[#This Row],[Attrition]] = "Yes",1,0)</f>
        <v>0</v>
      </c>
      <c r="AJ788">
        <f>IF(tbl_HRData[[#This Row],[Attrition]] = "No",1,0)</f>
        <v>1</v>
      </c>
      <c r="AK788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788" s="1" t="str">
        <f>IF(tbl_HRData[[#This Row],[MonthlyIncome]]&lt;5000,"Low",
IF(tbl_HRData[[#This Row],[MonthlyIncome]]&lt;10000,"Medium",
IF(tbl_HRData[[#This Row],[MonthlyIncome]]&lt;15000,"Upper Medium","High")))</f>
        <v>Low</v>
      </c>
      <c r="AM788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789" spans="1:39" x14ac:dyDescent="0.35">
      <c r="A789" s="1">
        <v>788</v>
      </c>
      <c r="B789">
        <v>55</v>
      </c>
      <c r="C789" s="1" t="s">
        <v>40</v>
      </c>
      <c r="D789" s="1" t="s">
        <v>41</v>
      </c>
      <c r="E789">
        <v>1091</v>
      </c>
      <c r="F789" s="1" t="s">
        <v>42</v>
      </c>
      <c r="G789">
        <v>2</v>
      </c>
      <c r="H789">
        <v>1</v>
      </c>
      <c r="I789" s="1" t="s">
        <v>36</v>
      </c>
      <c r="J789">
        <v>1096</v>
      </c>
      <c r="K789">
        <v>4</v>
      </c>
      <c r="L789" s="1" t="s">
        <v>43</v>
      </c>
      <c r="M789">
        <v>65</v>
      </c>
      <c r="N789">
        <v>3</v>
      </c>
      <c r="O789">
        <v>3</v>
      </c>
      <c r="P789" s="1" t="s">
        <v>50</v>
      </c>
      <c r="Q789">
        <v>2</v>
      </c>
      <c r="R789" s="1" t="s">
        <v>45</v>
      </c>
      <c r="S789">
        <v>10976</v>
      </c>
      <c r="T789">
        <v>15813</v>
      </c>
      <c r="U789">
        <v>3</v>
      </c>
      <c r="V789" s="1" t="s">
        <v>40</v>
      </c>
      <c r="W789">
        <v>18</v>
      </c>
      <c r="X789">
        <v>3</v>
      </c>
      <c r="Y789">
        <v>2</v>
      </c>
      <c r="Z789">
        <v>80</v>
      </c>
      <c r="AA789">
        <v>1</v>
      </c>
      <c r="AB789">
        <v>23</v>
      </c>
      <c r="AC789">
        <v>4</v>
      </c>
      <c r="AD789">
        <v>3</v>
      </c>
      <c r="AE789">
        <v>3</v>
      </c>
      <c r="AF789">
        <v>2</v>
      </c>
      <c r="AG789">
        <v>1</v>
      </c>
      <c r="AH789">
        <v>2</v>
      </c>
      <c r="AI789">
        <f>IF(tbl_HRData[[#This Row],[Attrition]] = "Yes",1,0)</f>
        <v>0</v>
      </c>
      <c r="AJ789">
        <f>IF(tbl_HRData[[#This Row],[Attrition]] = "No",1,0)</f>
        <v>1</v>
      </c>
      <c r="AK789" t="str">
        <f>IF(tbl_HRData[[#This Row],[Age]] &lt; 25, "Under 25", IF(tbl_HRData[[#This Row],[Age]] &lt;= 34, "25-34", IF(tbl_HRData[[#This Row],[Age]] &lt;= 44, "35-44", IF(tbl_HRData[[#This Row],[Age]] &lt;= 54, "45-54", "55+"))))</f>
        <v>55+</v>
      </c>
      <c r="AL789" s="1" t="str">
        <f>IF(tbl_HRData[[#This Row],[MonthlyIncome]]&lt;5000,"Low",
IF(tbl_HRData[[#This Row],[MonthlyIncome]]&lt;10000,"Medium",
IF(tbl_HRData[[#This Row],[MonthlyIncome]]&lt;15000,"Upper Medium","High")))</f>
        <v>Upper Medium</v>
      </c>
      <c r="AM789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790" spans="1:39" x14ac:dyDescent="0.35">
      <c r="A790" s="1">
        <v>789</v>
      </c>
      <c r="B790">
        <v>28</v>
      </c>
      <c r="C790" s="1" t="s">
        <v>40</v>
      </c>
      <c r="D790" s="1" t="s">
        <v>34</v>
      </c>
      <c r="E790">
        <v>857</v>
      </c>
      <c r="F790" s="1" t="s">
        <v>42</v>
      </c>
      <c r="G790">
        <v>10</v>
      </c>
      <c r="H790">
        <v>3</v>
      </c>
      <c r="I790" s="1" t="s">
        <v>46</v>
      </c>
      <c r="J790">
        <v>1097</v>
      </c>
      <c r="K790">
        <v>3</v>
      </c>
      <c r="L790" s="1" t="s">
        <v>37</v>
      </c>
      <c r="M790">
        <v>59</v>
      </c>
      <c r="N790">
        <v>3</v>
      </c>
      <c r="O790">
        <v>2</v>
      </c>
      <c r="P790" s="1" t="s">
        <v>44</v>
      </c>
      <c r="Q790">
        <v>3</v>
      </c>
      <c r="R790" s="1" t="s">
        <v>39</v>
      </c>
      <c r="S790">
        <v>3660</v>
      </c>
      <c r="T790">
        <v>7909</v>
      </c>
      <c r="U790">
        <v>3</v>
      </c>
      <c r="V790" s="1" t="s">
        <v>40</v>
      </c>
      <c r="W790">
        <v>13</v>
      </c>
      <c r="X790">
        <v>3</v>
      </c>
      <c r="Y790">
        <v>4</v>
      </c>
      <c r="Z790">
        <v>80</v>
      </c>
      <c r="AA790">
        <v>0</v>
      </c>
      <c r="AB790">
        <v>10</v>
      </c>
      <c r="AC790">
        <v>4</v>
      </c>
      <c r="AD790">
        <v>4</v>
      </c>
      <c r="AE790">
        <v>8</v>
      </c>
      <c r="AF790">
        <v>7</v>
      </c>
      <c r="AG790">
        <v>1</v>
      </c>
      <c r="AH790">
        <v>7</v>
      </c>
      <c r="AI790">
        <f>IF(tbl_HRData[[#This Row],[Attrition]] = "Yes",1,0)</f>
        <v>0</v>
      </c>
      <c r="AJ790">
        <f>IF(tbl_HRData[[#This Row],[Attrition]] = "No",1,0)</f>
        <v>1</v>
      </c>
      <c r="AK790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790" s="1" t="str">
        <f>IF(tbl_HRData[[#This Row],[MonthlyIncome]]&lt;5000,"Low",
IF(tbl_HRData[[#This Row],[MonthlyIncome]]&lt;10000,"Medium",
IF(tbl_HRData[[#This Row],[MonthlyIncome]]&lt;15000,"Upper Medium","High")))</f>
        <v>Low</v>
      </c>
      <c r="AM790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791" spans="1:39" x14ac:dyDescent="0.35">
      <c r="A791" s="1">
        <v>790</v>
      </c>
      <c r="B791">
        <v>44</v>
      </c>
      <c r="C791" s="1" t="s">
        <v>33</v>
      </c>
      <c r="D791" s="1" t="s">
        <v>34</v>
      </c>
      <c r="E791">
        <v>1376</v>
      </c>
      <c r="F791" s="1" t="s">
        <v>58</v>
      </c>
      <c r="G791">
        <v>1</v>
      </c>
      <c r="H791">
        <v>2</v>
      </c>
      <c r="I791" s="1" t="s">
        <v>48</v>
      </c>
      <c r="J791">
        <v>1098</v>
      </c>
      <c r="K791">
        <v>2</v>
      </c>
      <c r="L791" s="1" t="s">
        <v>43</v>
      </c>
      <c r="M791">
        <v>91</v>
      </c>
      <c r="N791">
        <v>2</v>
      </c>
      <c r="O791">
        <v>3</v>
      </c>
      <c r="P791" s="1" t="s">
        <v>58</v>
      </c>
      <c r="Q791">
        <v>1</v>
      </c>
      <c r="R791" s="1" t="s">
        <v>45</v>
      </c>
      <c r="S791">
        <v>10482</v>
      </c>
      <c r="T791">
        <v>2326</v>
      </c>
      <c r="U791">
        <v>9</v>
      </c>
      <c r="V791" s="1" t="s">
        <v>40</v>
      </c>
      <c r="W791">
        <v>14</v>
      </c>
      <c r="X791">
        <v>3</v>
      </c>
      <c r="Y791">
        <v>4</v>
      </c>
      <c r="Z791">
        <v>80</v>
      </c>
      <c r="AA791">
        <v>1</v>
      </c>
      <c r="AB791">
        <v>24</v>
      </c>
      <c r="AC791">
        <v>1</v>
      </c>
      <c r="AD791">
        <v>3</v>
      </c>
      <c r="AE791">
        <v>20</v>
      </c>
      <c r="AF791">
        <v>6</v>
      </c>
      <c r="AG791">
        <v>3</v>
      </c>
      <c r="AH791">
        <v>6</v>
      </c>
      <c r="AI791">
        <f>IF(tbl_HRData[[#This Row],[Attrition]] = "Yes",1,0)</f>
        <v>1</v>
      </c>
      <c r="AJ791">
        <f>IF(tbl_HRData[[#This Row],[Attrition]] = "No",1,0)</f>
        <v>0</v>
      </c>
      <c r="AK791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791" s="1" t="str">
        <f>IF(tbl_HRData[[#This Row],[MonthlyIncome]]&lt;5000,"Low",
IF(tbl_HRData[[#This Row],[MonthlyIncome]]&lt;10000,"Medium",
IF(tbl_HRData[[#This Row],[MonthlyIncome]]&lt;15000,"Upper Medium","High")))</f>
        <v>Upper Medium</v>
      </c>
      <c r="AM791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792" spans="1:39" x14ac:dyDescent="0.35">
      <c r="A792" s="1">
        <v>791</v>
      </c>
      <c r="B792">
        <v>33</v>
      </c>
      <c r="C792" s="1" t="s">
        <v>40</v>
      </c>
      <c r="D792" s="1" t="s">
        <v>34</v>
      </c>
      <c r="E792">
        <v>654</v>
      </c>
      <c r="F792" s="1" t="s">
        <v>42</v>
      </c>
      <c r="G792">
        <v>5</v>
      </c>
      <c r="H792">
        <v>3</v>
      </c>
      <c r="I792" s="1" t="s">
        <v>36</v>
      </c>
      <c r="J792">
        <v>1099</v>
      </c>
      <c r="K792">
        <v>4</v>
      </c>
      <c r="L792" s="1" t="s">
        <v>43</v>
      </c>
      <c r="M792">
        <v>34</v>
      </c>
      <c r="N792">
        <v>2</v>
      </c>
      <c r="O792">
        <v>3</v>
      </c>
      <c r="P792" s="1" t="s">
        <v>51</v>
      </c>
      <c r="Q792">
        <v>4</v>
      </c>
      <c r="R792" s="1" t="s">
        <v>49</v>
      </c>
      <c r="S792">
        <v>7119</v>
      </c>
      <c r="T792">
        <v>21214</v>
      </c>
      <c r="U792">
        <v>4</v>
      </c>
      <c r="V792" s="1" t="s">
        <v>40</v>
      </c>
      <c r="W792">
        <v>15</v>
      </c>
      <c r="X792">
        <v>3</v>
      </c>
      <c r="Y792">
        <v>3</v>
      </c>
      <c r="Z792">
        <v>80</v>
      </c>
      <c r="AA792">
        <v>1</v>
      </c>
      <c r="AB792">
        <v>9</v>
      </c>
      <c r="AC792">
        <v>2</v>
      </c>
      <c r="AD792">
        <v>3</v>
      </c>
      <c r="AE792">
        <v>3</v>
      </c>
      <c r="AF792">
        <v>2</v>
      </c>
      <c r="AG792">
        <v>1</v>
      </c>
      <c r="AH792">
        <v>2</v>
      </c>
      <c r="AI792">
        <f>IF(tbl_HRData[[#This Row],[Attrition]] = "Yes",1,0)</f>
        <v>0</v>
      </c>
      <c r="AJ792">
        <f>IF(tbl_HRData[[#This Row],[Attrition]] = "No",1,0)</f>
        <v>1</v>
      </c>
      <c r="AK792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792" s="1" t="str">
        <f>IF(tbl_HRData[[#This Row],[MonthlyIncome]]&lt;5000,"Low",
IF(tbl_HRData[[#This Row],[MonthlyIncome]]&lt;10000,"Medium",
IF(tbl_HRData[[#This Row],[MonthlyIncome]]&lt;15000,"Upper Medium","High")))</f>
        <v>Medium</v>
      </c>
      <c r="AM792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793" spans="1:39" x14ac:dyDescent="0.35">
      <c r="A793" s="1">
        <v>792</v>
      </c>
      <c r="B793">
        <v>35</v>
      </c>
      <c r="C793" s="1" t="s">
        <v>33</v>
      </c>
      <c r="D793" s="1" t="s">
        <v>34</v>
      </c>
      <c r="E793">
        <v>1204</v>
      </c>
      <c r="F793" s="1" t="s">
        <v>35</v>
      </c>
      <c r="G793">
        <v>4</v>
      </c>
      <c r="H793">
        <v>3</v>
      </c>
      <c r="I793" s="1" t="s">
        <v>57</v>
      </c>
      <c r="J793">
        <v>1100</v>
      </c>
      <c r="K793">
        <v>4</v>
      </c>
      <c r="L793" s="1" t="s">
        <v>43</v>
      </c>
      <c r="M793">
        <v>86</v>
      </c>
      <c r="N793">
        <v>3</v>
      </c>
      <c r="O793">
        <v>3</v>
      </c>
      <c r="P793" s="1" t="s">
        <v>38</v>
      </c>
      <c r="Q793">
        <v>1</v>
      </c>
      <c r="R793" s="1" t="s">
        <v>39</v>
      </c>
      <c r="S793">
        <v>9582</v>
      </c>
      <c r="T793">
        <v>10333</v>
      </c>
      <c r="U793">
        <v>0</v>
      </c>
      <c r="V793" s="1" t="s">
        <v>33</v>
      </c>
      <c r="W793">
        <v>22</v>
      </c>
      <c r="X793">
        <v>4</v>
      </c>
      <c r="Y793">
        <v>1</v>
      </c>
      <c r="Z793">
        <v>80</v>
      </c>
      <c r="AA793">
        <v>0</v>
      </c>
      <c r="AB793">
        <v>9</v>
      </c>
      <c r="AC793">
        <v>2</v>
      </c>
      <c r="AD793">
        <v>3</v>
      </c>
      <c r="AE793">
        <v>8</v>
      </c>
      <c r="AF793">
        <v>7</v>
      </c>
      <c r="AG793">
        <v>4</v>
      </c>
      <c r="AH793">
        <v>7</v>
      </c>
      <c r="AI793">
        <f>IF(tbl_HRData[[#This Row],[Attrition]] = "Yes",1,0)</f>
        <v>1</v>
      </c>
      <c r="AJ793">
        <f>IF(tbl_HRData[[#This Row],[Attrition]] = "No",1,0)</f>
        <v>0</v>
      </c>
      <c r="AK793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793" s="1" t="str">
        <f>IF(tbl_HRData[[#This Row],[MonthlyIncome]]&lt;5000,"Low",
IF(tbl_HRData[[#This Row],[MonthlyIncome]]&lt;10000,"Medium",
IF(tbl_HRData[[#This Row],[MonthlyIncome]]&lt;15000,"Upper Medium","High")))</f>
        <v>Medium</v>
      </c>
      <c r="AM793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794" spans="1:39" x14ac:dyDescent="0.35">
      <c r="A794" s="1">
        <v>793</v>
      </c>
      <c r="B794">
        <v>33</v>
      </c>
      <c r="C794" s="1" t="s">
        <v>33</v>
      </c>
      <c r="D794" s="1" t="s">
        <v>41</v>
      </c>
      <c r="E794">
        <v>827</v>
      </c>
      <c r="F794" s="1" t="s">
        <v>42</v>
      </c>
      <c r="G794">
        <v>29</v>
      </c>
      <c r="H794">
        <v>4</v>
      </c>
      <c r="I794" s="1" t="s">
        <v>48</v>
      </c>
      <c r="J794">
        <v>1101</v>
      </c>
      <c r="K794">
        <v>1</v>
      </c>
      <c r="L794" s="1" t="s">
        <v>37</v>
      </c>
      <c r="M794">
        <v>54</v>
      </c>
      <c r="N794">
        <v>2</v>
      </c>
      <c r="O794">
        <v>2</v>
      </c>
      <c r="P794" s="1" t="s">
        <v>44</v>
      </c>
      <c r="Q794">
        <v>3</v>
      </c>
      <c r="R794" s="1" t="s">
        <v>39</v>
      </c>
      <c r="S794">
        <v>4508</v>
      </c>
      <c r="T794">
        <v>3129</v>
      </c>
      <c r="U794">
        <v>1</v>
      </c>
      <c r="V794" s="1" t="s">
        <v>40</v>
      </c>
      <c r="W794">
        <v>22</v>
      </c>
      <c r="X794">
        <v>4</v>
      </c>
      <c r="Y794">
        <v>2</v>
      </c>
      <c r="Z794">
        <v>80</v>
      </c>
      <c r="AA794">
        <v>0</v>
      </c>
      <c r="AB794">
        <v>14</v>
      </c>
      <c r="AC794">
        <v>4</v>
      </c>
      <c r="AD794">
        <v>3</v>
      </c>
      <c r="AE794">
        <v>13</v>
      </c>
      <c r="AF794">
        <v>7</v>
      </c>
      <c r="AG794">
        <v>3</v>
      </c>
      <c r="AH794">
        <v>8</v>
      </c>
      <c r="AI794">
        <f>IF(tbl_HRData[[#This Row],[Attrition]] = "Yes",1,0)</f>
        <v>1</v>
      </c>
      <c r="AJ794">
        <f>IF(tbl_HRData[[#This Row],[Attrition]] = "No",1,0)</f>
        <v>0</v>
      </c>
      <c r="AK794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794" s="1" t="str">
        <f>IF(tbl_HRData[[#This Row],[MonthlyIncome]]&lt;5000,"Low",
IF(tbl_HRData[[#This Row],[MonthlyIncome]]&lt;10000,"Medium",
IF(tbl_HRData[[#This Row],[MonthlyIncome]]&lt;15000,"Upper Medium","High")))</f>
        <v>Low</v>
      </c>
      <c r="AM794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795" spans="1:39" x14ac:dyDescent="0.35">
      <c r="A795" s="1">
        <v>794</v>
      </c>
      <c r="B795">
        <v>28</v>
      </c>
      <c r="C795" s="1" t="s">
        <v>40</v>
      </c>
      <c r="D795" s="1" t="s">
        <v>34</v>
      </c>
      <c r="E795">
        <v>895</v>
      </c>
      <c r="F795" s="1" t="s">
        <v>42</v>
      </c>
      <c r="G795">
        <v>15</v>
      </c>
      <c r="H795">
        <v>2</v>
      </c>
      <c r="I795" s="1" t="s">
        <v>36</v>
      </c>
      <c r="J795">
        <v>1102</v>
      </c>
      <c r="K795">
        <v>1</v>
      </c>
      <c r="L795" s="1" t="s">
        <v>43</v>
      </c>
      <c r="M795">
        <v>50</v>
      </c>
      <c r="N795">
        <v>3</v>
      </c>
      <c r="O795">
        <v>1</v>
      </c>
      <c r="P795" s="1" t="s">
        <v>47</v>
      </c>
      <c r="Q795">
        <v>3</v>
      </c>
      <c r="R795" s="1" t="s">
        <v>49</v>
      </c>
      <c r="S795">
        <v>2207</v>
      </c>
      <c r="T795">
        <v>22482</v>
      </c>
      <c r="U795">
        <v>1</v>
      </c>
      <c r="V795" s="1" t="s">
        <v>40</v>
      </c>
      <c r="W795">
        <v>16</v>
      </c>
      <c r="X795">
        <v>3</v>
      </c>
      <c r="Y795">
        <v>4</v>
      </c>
      <c r="Z795">
        <v>80</v>
      </c>
      <c r="AA795">
        <v>1</v>
      </c>
      <c r="AB795">
        <v>4</v>
      </c>
      <c r="AC795">
        <v>5</v>
      </c>
      <c r="AD795">
        <v>2</v>
      </c>
      <c r="AE795">
        <v>4</v>
      </c>
      <c r="AF795">
        <v>2</v>
      </c>
      <c r="AG795">
        <v>2</v>
      </c>
      <c r="AH795">
        <v>2</v>
      </c>
      <c r="AI795">
        <f>IF(tbl_HRData[[#This Row],[Attrition]] = "Yes",1,0)</f>
        <v>0</v>
      </c>
      <c r="AJ795">
        <f>IF(tbl_HRData[[#This Row],[Attrition]] = "No",1,0)</f>
        <v>1</v>
      </c>
      <c r="AK795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795" s="1" t="str">
        <f>IF(tbl_HRData[[#This Row],[MonthlyIncome]]&lt;5000,"Low",
IF(tbl_HRData[[#This Row],[MonthlyIncome]]&lt;10000,"Medium",
IF(tbl_HRData[[#This Row],[MonthlyIncome]]&lt;15000,"Upper Medium","High")))</f>
        <v>Low</v>
      </c>
      <c r="AM795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796" spans="1:39" x14ac:dyDescent="0.35">
      <c r="A796" s="1">
        <v>795</v>
      </c>
      <c r="B796">
        <v>34</v>
      </c>
      <c r="C796" s="1" t="s">
        <v>40</v>
      </c>
      <c r="D796" s="1" t="s">
        <v>41</v>
      </c>
      <c r="E796">
        <v>618</v>
      </c>
      <c r="F796" s="1" t="s">
        <v>42</v>
      </c>
      <c r="G796">
        <v>3</v>
      </c>
      <c r="H796">
        <v>1</v>
      </c>
      <c r="I796" s="1" t="s">
        <v>36</v>
      </c>
      <c r="J796">
        <v>1103</v>
      </c>
      <c r="K796">
        <v>1</v>
      </c>
      <c r="L796" s="1" t="s">
        <v>43</v>
      </c>
      <c r="M796">
        <v>45</v>
      </c>
      <c r="N796">
        <v>3</v>
      </c>
      <c r="O796">
        <v>2</v>
      </c>
      <c r="P796" s="1" t="s">
        <v>51</v>
      </c>
      <c r="Q796">
        <v>4</v>
      </c>
      <c r="R796" s="1" t="s">
        <v>39</v>
      </c>
      <c r="S796">
        <v>7756</v>
      </c>
      <c r="T796">
        <v>22266</v>
      </c>
      <c r="U796">
        <v>0</v>
      </c>
      <c r="V796" s="1" t="s">
        <v>40</v>
      </c>
      <c r="W796">
        <v>17</v>
      </c>
      <c r="X796">
        <v>3</v>
      </c>
      <c r="Y796">
        <v>3</v>
      </c>
      <c r="Z796">
        <v>80</v>
      </c>
      <c r="AA796">
        <v>0</v>
      </c>
      <c r="AB796">
        <v>7</v>
      </c>
      <c r="AC796">
        <v>1</v>
      </c>
      <c r="AD796">
        <v>2</v>
      </c>
      <c r="AE796">
        <v>6</v>
      </c>
      <c r="AF796">
        <v>2</v>
      </c>
      <c r="AG796">
        <v>0</v>
      </c>
      <c r="AH796">
        <v>4</v>
      </c>
      <c r="AI796">
        <f>IF(tbl_HRData[[#This Row],[Attrition]] = "Yes",1,0)</f>
        <v>0</v>
      </c>
      <c r="AJ796">
        <f>IF(tbl_HRData[[#This Row],[Attrition]] = "No",1,0)</f>
        <v>1</v>
      </c>
      <c r="AK796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796" s="1" t="str">
        <f>IF(tbl_HRData[[#This Row],[MonthlyIncome]]&lt;5000,"Low",
IF(tbl_HRData[[#This Row],[MonthlyIncome]]&lt;10000,"Medium",
IF(tbl_HRData[[#This Row],[MonthlyIncome]]&lt;15000,"Upper Medium","High")))</f>
        <v>Medium</v>
      </c>
      <c r="AM796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797" spans="1:39" x14ac:dyDescent="0.35">
      <c r="A797" s="1">
        <v>796</v>
      </c>
      <c r="B797">
        <v>37</v>
      </c>
      <c r="C797" s="1" t="s">
        <v>40</v>
      </c>
      <c r="D797" s="1" t="s">
        <v>34</v>
      </c>
      <c r="E797">
        <v>309</v>
      </c>
      <c r="F797" s="1" t="s">
        <v>35</v>
      </c>
      <c r="G797">
        <v>10</v>
      </c>
      <c r="H797">
        <v>4</v>
      </c>
      <c r="I797" s="1" t="s">
        <v>36</v>
      </c>
      <c r="J797">
        <v>1105</v>
      </c>
      <c r="K797">
        <v>4</v>
      </c>
      <c r="L797" s="1" t="s">
        <v>37</v>
      </c>
      <c r="M797">
        <v>88</v>
      </c>
      <c r="N797">
        <v>2</v>
      </c>
      <c r="O797">
        <v>2</v>
      </c>
      <c r="P797" s="1" t="s">
        <v>38</v>
      </c>
      <c r="Q797">
        <v>4</v>
      </c>
      <c r="R797" s="1" t="s">
        <v>49</v>
      </c>
      <c r="S797">
        <v>6694</v>
      </c>
      <c r="T797">
        <v>24223</v>
      </c>
      <c r="U797">
        <v>2</v>
      </c>
      <c r="V797" s="1" t="s">
        <v>33</v>
      </c>
      <c r="W797">
        <v>14</v>
      </c>
      <c r="X797">
        <v>3</v>
      </c>
      <c r="Y797">
        <v>3</v>
      </c>
      <c r="Z797">
        <v>80</v>
      </c>
      <c r="AA797">
        <v>3</v>
      </c>
      <c r="AB797">
        <v>8</v>
      </c>
      <c r="AC797">
        <v>5</v>
      </c>
      <c r="AD797">
        <v>3</v>
      </c>
      <c r="AE797">
        <v>1</v>
      </c>
      <c r="AF797">
        <v>0</v>
      </c>
      <c r="AG797">
        <v>0</v>
      </c>
      <c r="AH797">
        <v>0</v>
      </c>
      <c r="AI797">
        <f>IF(tbl_HRData[[#This Row],[Attrition]] = "Yes",1,0)</f>
        <v>0</v>
      </c>
      <c r="AJ797">
        <f>IF(tbl_HRData[[#This Row],[Attrition]] = "No",1,0)</f>
        <v>1</v>
      </c>
      <c r="AK797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797" s="1" t="str">
        <f>IF(tbl_HRData[[#This Row],[MonthlyIncome]]&lt;5000,"Low",
IF(tbl_HRData[[#This Row],[MonthlyIncome]]&lt;10000,"Medium",
IF(tbl_HRData[[#This Row],[MonthlyIncome]]&lt;15000,"Upper Medium","High")))</f>
        <v>Medium</v>
      </c>
      <c r="AM797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798" spans="1:39" x14ac:dyDescent="0.35">
      <c r="A798" s="1">
        <v>797</v>
      </c>
      <c r="B798">
        <v>25</v>
      </c>
      <c r="C798" s="1" t="s">
        <v>33</v>
      </c>
      <c r="D798" s="1" t="s">
        <v>34</v>
      </c>
      <c r="E798">
        <v>1219</v>
      </c>
      <c r="F798" s="1" t="s">
        <v>42</v>
      </c>
      <c r="G798">
        <v>4</v>
      </c>
      <c r="H798">
        <v>1</v>
      </c>
      <c r="I798" s="1" t="s">
        <v>57</v>
      </c>
      <c r="J798">
        <v>1106</v>
      </c>
      <c r="K798">
        <v>4</v>
      </c>
      <c r="L798" s="1" t="s">
        <v>43</v>
      </c>
      <c r="M798">
        <v>32</v>
      </c>
      <c r="N798">
        <v>3</v>
      </c>
      <c r="O798">
        <v>1</v>
      </c>
      <c r="P798" s="1" t="s">
        <v>47</v>
      </c>
      <c r="Q798">
        <v>4</v>
      </c>
      <c r="R798" s="1" t="s">
        <v>45</v>
      </c>
      <c r="S798">
        <v>3691</v>
      </c>
      <c r="T798">
        <v>4605</v>
      </c>
      <c r="U798">
        <v>1</v>
      </c>
      <c r="V798" s="1" t="s">
        <v>33</v>
      </c>
      <c r="W798">
        <v>15</v>
      </c>
      <c r="X798">
        <v>3</v>
      </c>
      <c r="Y798">
        <v>2</v>
      </c>
      <c r="Z798">
        <v>80</v>
      </c>
      <c r="AA798">
        <v>1</v>
      </c>
      <c r="AB798">
        <v>7</v>
      </c>
      <c r="AC798">
        <v>3</v>
      </c>
      <c r="AD798">
        <v>4</v>
      </c>
      <c r="AE798">
        <v>7</v>
      </c>
      <c r="AF798">
        <v>7</v>
      </c>
      <c r="AG798">
        <v>5</v>
      </c>
      <c r="AH798">
        <v>6</v>
      </c>
      <c r="AI798">
        <f>IF(tbl_HRData[[#This Row],[Attrition]] = "Yes",1,0)</f>
        <v>1</v>
      </c>
      <c r="AJ798">
        <f>IF(tbl_HRData[[#This Row],[Attrition]] = "No",1,0)</f>
        <v>0</v>
      </c>
      <c r="AK798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798" s="1" t="str">
        <f>IF(tbl_HRData[[#This Row],[MonthlyIncome]]&lt;5000,"Low",
IF(tbl_HRData[[#This Row],[MonthlyIncome]]&lt;10000,"Medium",
IF(tbl_HRData[[#This Row],[MonthlyIncome]]&lt;15000,"Upper Medium","High")))</f>
        <v>Low</v>
      </c>
      <c r="AM798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799" spans="1:39" x14ac:dyDescent="0.35">
      <c r="A799" s="1">
        <v>798</v>
      </c>
      <c r="B799">
        <v>26</v>
      </c>
      <c r="C799" s="1" t="s">
        <v>33</v>
      </c>
      <c r="D799" s="1" t="s">
        <v>34</v>
      </c>
      <c r="E799">
        <v>1330</v>
      </c>
      <c r="F799" s="1" t="s">
        <v>42</v>
      </c>
      <c r="G799">
        <v>21</v>
      </c>
      <c r="H799">
        <v>3</v>
      </c>
      <c r="I799" s="1" t="s">
        <v>48</v>
      </c>
      <c r="J799">
        <v>1107</v>
      </c>
      <c r="K799">
        <v>1</v>
      </c>
      <c r="L799" s="1" t="s">
        <v>43</v>
      </c>
      <c r="M799">
        <v>37</v>
      </c>
      <c r="N799">
        <v>3</v>
      </c>
      <c r="O799">
        <v>1</v>
      </c>
      <c r="P799" s="1" t="s">
        <v>47</v>
      </c>
      <c r="Q799">
        <v>3</v>
      </c>
      <c r="R799" s="1" t="s">
        <v>49</v>
      </c>
      <c r="S799">
        <v>2377</v>
      </c>
      <c r="T799">
        <v>19373</v>
      </c>
      <c r="U799">
        <v>1</v>
      </c>
      <c r="V799" s="1" t="s">
        <v>40</v>
      </c>
      <c r="W799">
        <v>20</v>
      </c>
      <c r="X799">
        <v>4</v>
      </c>
      <c r="Y799">
        <v>3</v>
      </c>
      <c r="Z799">
        <v>80</v>
      </c>
      <c r="AA799">
        <v>1</v>
      </c>
      <c r="AB799">
        <v>1</v>
      </c>
      <c r="AC799">
        <v>0</v>
      </c>
      <c r="AD799">
        <v>2</v>
      </c>
      <c r="AE799">
        <v>1</v>
      </c>
      <c r="AF799">
        <v>1</v>
      </c>
      <c r="AG799">
        <v>0</v>
      </c>
      <c r="AH799">
        <v>0</v>
      </c>
      <c r="AI799">
        <f>IF(tbl_HRData[[#This Row],[Attrition]] = "Yes",1,0)</f>
        <v>1</v>
      </c>
      <c r="AJ799">
        <f>IF(tbl_HRData[[#This Row],[Attrition]] = "No",1,0)</f>
        <v>0</v>
      </c>
      <c r="AK799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799" s="1" t="str">
        <f>IF(tbl_HRData[[#This Row],[MonthlyIncome]]&lt;5000,"Low",
IF(tbl_HRData[[#This Row],[MonthlyIncome]]&lt;10000,"Medium",
IF(tbl_HRData[[#This Row],[MonthlyIncome]]&lt;15000,"Upper Medium","High")))</f>
        <v>Low</v>
      </c>
      <c r="AM799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800" spans="1:39" x14ac:dyDescent="0.35">
      <c r="A800" s="1">
        <v>799</v>
      </c>
      <c r="B800">
        <v>33</v>
      </c>
      <c r="C800" s="1" t="s">
        <v>33</v>
      </c>
      <c r="D800" s="1" t="s">
        <v>34</v>
      </c>
      <c r="E800">
        <v>1017</v>
      </c>
      <c r="F800" s="1" t="s">
        <v>42</v>
      </c>
      <c r="G800">
        <v>25</v>
      </c>
      <c r="H800">
        <v>3</v>
      </c>
      <c r="I800" s="1" t="s">
        <v>48</v>
      </c>
      <c r="J800">
        <v>1108</v>
      </c>
      <c r="K800">
        <v>1</v>
      </c>
      <c r="L800" s="1" t="s">
        <v>43</v>
      </c>
      <c r="M800">
        <v>55</v>
      </c>
      <c r="N800">
        <v>2</v>
      </c>
      <c r="O800">
        <v>1</v>
      </c>
      <c r="P800" s="1" t="s">
        <v>44</v>
      </c>
      <c r="Q800">
        <v>2</v>
      </c>
      <c r="R800" s="1" t="s">
        <v>39</v>
      </c>
      <c r="S800">
        <v>2313</v>
      </c>
      <c r="T800">
        <v>2993</v>
      </c>
      <c r="U800">
        <v>4</v>
      </c>
      <c r="V800" s="1" t="s">
        <v>33</v>
      </c>
      <c r="W800">
        <v>20</v>
      </c>
      <c r="X800">
        <v>4</v>
      </c>
      <c r="Y800">
        <v>2</v>
      </c>
      <c r="Z800">
        <v>80</v>
      </c>
      <c r="AA800">
        <v>0</v>
      </c>
      <c r="AB800">
        <v>5</v>
      </c>
      <c r="AC800">
        <v>0</v>
      </c>
      <c r="AD800">
        <v>3</v>
      </c>
      <c r="AE800">
        <v>2</v>
      </c>
      <c r="AF800">
        <v>2</v>
      </c>
      <c r="AG800">
        <v>2</v>
      </c>
      <c r="AH800">
        <v>2</v>
      </c>
      <c r="AI800">
        <f>IF(tbl_HRData[[#This Row],[Attrition]] = "Yes",1,0)</f>
        <v>1</v>
      </c>
      <c r="AJ800">
        <f>IF(tbl_HRData[[#This Row],[Attrition]] = "No",1,0)</f>
        <v>0</v>
      </c>
      <c r="AK800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800" s="1" t="str">
        <f>IF(tbl_HRData[[#This Row],[MonthlyIncome]]&lt;5000,"Low",
IF(tbl_HRData[[#This Row],[MonthlyIncome]]&lt;10000,"Medium",
IF(tbl_HRData[[#This Row],[MonthlyIncome]]&lt;15000,"Upper Medium","High")))</f>
        <v>Low</v>
      </c>
      <c r="AM800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801" spans="1:39" x14ac:dyDescent="0.35">
      <c r="A801" s="1">
        <v>800</v>
      </c>
      <c r="B801">
        <v>42</v>
      </c>
      <c r="C801" s="1" t="s">
        <v>40</v>
      </c>
      <c r="D801" s="1" t="s">
        <v>34</v>
      </c>
      <c r="E801">
        <v>469</v>
      </c>
      <c r="F801" s="1" t="s">
        <v>42</v>
      </c>
      <c r="G801">
        <v>2</v>
      </c>
      <c r="H801">
        <v>2</v>
      </c>
      <c r="I801" s="1" t="s">
        <v>48</v>
      </c>
      <c r="J801">
        <v>1109</v>
      </c>
      <c r="K801">
        <v>4</v>
      </c>
      <c r="L801" s="1" t="s">
        <v>43</v>
      </c>
      <c r="M801">
        <v>35</v>
      </c>
      <c r="N801">
        <v>3</v>
      </c>
      <c r="O801">
        <v>4</v>
      </c>
      <c r="P801" s="1" t="s">
        <v>53</v>
      </c>
      <c r="Q801">
        <v>1</v>
      </c>
      <c r="R801" s="1" t="s">
        <v>45</v>
      </c>
      <c r="S801">
        <v>17665</v>
      </c>
      <c r="T801">
        <v>14399</v>
      </c>
      <c r="U801">
        <v>0</v>
      </c>
      <c r="V801" s="1" t="s">
        <v>40</v>
      </c>
      <c r="W801">
        <v>17</v>
      </c>
      <c r="X801">
        <v>3</v>
      </c>
      <c r="Y801">
        <v>4</v>
      </c>
      <c r="Z801">
        <v>80</v>
      </c>
      <c r="AA801">
        <v>1</v>
      </c>
      <c r="AB801">
        <v>23</v>
      </c>
      <c r="AC801">
        <v>3</v>
      </c>
      <c r="AD801">
        <v>3</v>
      </c>
      <c r="AE801">
        <v>22</v>
      </c>
      <c r="AF801">
        <v>6</v>
      </c>
      <c r="AG801">
        <v>13</v>
      </c>
      <c r="AH801">
        <v>7</v>
      </c>
      <c r="AI801">
        <f>IF(tbl_HRData[[#This Row],[Attrition]] = "Yes",1,0)</f>
        <v>0</v>
      </c>
      <c r="AJ801">
        <f>IF(tbl_HRData[[#This Row],[Attrition]] = "No",1,0)</f>
        <v>1</v>
      </c>
      <c r="AK801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801" s="1" t="str">
        <f>IF(tbl_HRData[[#This Row],[MonthlyIncome]]&lt;5000,"Low",
IF(tbl_HRData[[#This Row],[MonthlyIncome]]&lt;10000,"Medium",
IF(tbl_HRData[[#This Row],[MonthlyIncome]]&lt;15000,"Upper Medium","High")))</f>
        <v>High</v>
      </c>
      <c r="AM801" s="1" t="str">
        <f>IF(tbl_HRData[[#This Row],[YearsAtCompany]]&lt;=5,"0-5 Years",
IF(tbl_HRData[[#This Row],[YearsAtCompany]]&lt;=10,"6-10 Years",
IF(tbl_HRData[[#This Row],[YearsAtCompany]]&lt;=20,"11-20 Years","21+ Years")))</f>
        <v>21+ Years</v>
      </c>
    </row>
    <row r="802" spans="1:39" x14ac:dyDescent="0.35">
      <c r="A802" s="1">
        <v>801</v>
      </c>
      <c r="B802">
        <v>28</v>
      </c>
      <c r="C802" s="1" t="s">
        <v>33</v>
      </c>
      <c r="D802" s="1" t="s">
        <v>41</v>
      </c>
      <c r="E802">
        <v>1009</v>
      </c>
      <c r="F802" s="1" t="s">
        <v>42</v>
      </c>
      <c r="G802">
        <v>1</v>
      </c>
      <c r="H802">
        <v>3</v>
      </c>
      <c r="I802" s="1" t="s">
        <v>48</v>
      </c>
      <c r="J802">
        <v>1111</v>
      </c>
      <c r="K802">
        <v>1</v>
      </c>
      <c r="L802" s="1" t="s">
        <v>43</v>
      </c>
      <c r="M802">
        <v>45</v>
      </c>
      <c r="N802">
        <v>2</v>
      </c>
      <c r="O802">
        <v>1</v>
      </c>
      <c r="P802" s="1" t="s">
        <v>47</v>
      </c>
      <c r="Q802">
        <v>2</v>
      </c>
      <c r="R802" s="1" t="s">
        <v>49</v>
      </c>
      <c r="S802">
        <v>2596</v>
      </c>
      <c r="T802">
        <v>7160</v>
      </c>
      <c r="U802">
        <v>1</v>
      </c>
      <c r="V802" s="1" t="s">
        <v>40</v>
      </c>
      <c r="W802">
        <v>15</v>
      </c>
      <c r="X802">
        <v>3</v>
      </c>
      <c r="Y802">
        <v>1</v>
      </c>
      <c r="Z802">
        <v>80</v>
      </c>
      <c r="AA802">
        <v>2</v>
      </c>
      <c r="AB802">
        <v>1</v>
      </c>
      <c r="AC802">
        <v>2</v>
      </c>
      <c r="AD802">
        <v>3</v>
      </c>
      <c r="AE802">
        <v>1</v>
      </c>
      <c r="AF802">
        <v>0</v>
      </c>
      <c r="AG802">
        <v>0</v>
      </c>
      <c r="AH802">
        <v>0</v>
      </c>
      <c r="AI802">
        <f>IF(tbl_HRData[[#This Row],[Attrition]] = "Yes",1,0)</f>
        <v>1</v>
      </c>
      <c r="AJ802">
        <f>IF(tbl_HRData[[#This Row],[Attrition]] = "No",1,0)</f>
        <v>0</v>
      </c>
      <c r="AK802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802" s="1" t="str">
        <f>IF(tbl_HRData[[#This Row],[MonthlyIncome]]&lt;5000,"Low",
IF(tbl_HRData[[#This Row],[MonthlyIncome]]&lt;10000,"Medium",
IF(tbl_HRData[[#This Row],[MonthlyIncome]]&lt;15000,"Upper Medium","High")))</f>
        <v>Low</v>
      </c>
      <c r="AM802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803" spans="1:39" x14ac:dyDescent="0.35">
      <c r="A803" s="1">
        <v>802</v>
      </c>
      <c r="B803">
        <v>50</v>
      </c>
      <c r="C803" s="1" t="s">
        <v>33</v>
      </c>
      <c r="D803" s="1" t="s">
        <v>41</v>
      </c>
      <c r="E803">
        <v>959</v>
      </c>
      <c r="F803" s="1" t="s">
        <v>35</v>
      </c>
      <c r="G803">
        <v>1</v>
      </c>
      <c r="H803">
        <v>4</v>
      </c>
      <c r="I803" s="1" t="s">
        <v>46</v>
      </c>
      <c r="J803">
        <v>1113</v>
      </c>
      <c r="K803">
        <v>4</v>
      </c>
      <c r="L803" s="1" t="s">
        <v>43</v>
      </c>
      <c r="M803">
        <v>81</v>
      </c>
      <c r="N803">
        <v>3</v>
      </c>
      <c r="O803">
        <v>2</v>
      </c>
      <c r="P803" s="1" t="s">
        <v>38</v>
      </c>
      <c r="Q803">
        <v>3</v>
      </c>
      <c r="R803" s="1" t="s">
        <v>39</v>
      </c>
      <c r="S803">
        <v>4728</v>
      </c>
      <c r="T803">
        <v>17251</v>
      </c>
      <c r="U803">
        <v>3</v>
      </c>
      <c r="V803" s="1" t="s">
        <v>33</v>
      </c>
      <c r="W803">
        <v>14</v>
      </c>
      <c r="X803">
        <v>3</v>
      </c>
      <c r="Y803">
        <v>4</v>
      </c>
      <c r="Z803">
        <v>80</v>
      </c>
      <c r="AA803">
        <v>0</v>
      </c>
      <c r="AB803">
        <v>5</v>
      </c>
      <c r="AC803">
        <v>4</v>
      </c>
      <c r="AD803">
        <v>3</v>
      </c>
      <c r="AE803">
        <v>0</v>
      </c>
      <c r="AF803">
        <v>0</v>
      </c>
      <c r="AG803">
        <v>0</v>
      </c>
      <c r="AH803">
        <v>0</v>
      </c>
      <c r="AI803">
        <f>IF(tbl_HRData[[#This Row],[Attrition]] = "Yes",1,0)</f>
        <v>1</v>
      </c>
      <c r="AJ803">
        <f>IF(tbl_HRData[[#This Row],[Attrition]] = "No",1,0)</f>
        <v>0</v>
      </c>
      <c r="AK803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803" s="1" t="str">
        <f>IF(tbl_HRData[[#This Row],[MonthlyIncome]]&lt;5000,"Low",
IF(tbl_HRData[[#This Row],[MonthlyIncome]]&lt;10000,"Medium",
IF(tbl_HRData[[#This Row],[MonthlyIncome]]&lt;15000,"Upper Medium","High")))</f>
        <v>Low</v>
      </c>
      <c r="AM803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804" spans="1:39" x14ac:dyDescent="0.35">
      <c r="A804" s="1">
        <v>803</v>
      </c>
      <c r="B804">
        <v>33</v>
      </c>
      <c r="C804" s="1" t="s">
        <v>40</v>
      </c>
      <c r="D804" s="1" t="s">
        <v>41</v>
      </c>
      <c r="E804">
        <v>970</v>
      </c>
      <c r="F804" s="1" t="s">
        <v>35</v>
      </c>
      <c r="G804">
        <v>7</v>
      </c>
      <c r="H804">
        <v>3</v>
      </c>
      <c r="I804" s="1" t="s">
        <v>36</v>
      </c>
      <c r="J804">
        <v>1114</v>
      </c>
      <c r="K804">
        <v>4</v>
      </c>
      <c r="L804" s="1" t="s">
        <v>37</v>
      </c>
      <c r="M804">
        <v>30</v>
      </c>
      <c r="N804">
        <v>3</v>
      </c>
      <c r="O804">
        <v>2</v>
      </c>
      <c r="P804" s="1" t="s">
        <v>38</v>
      </c>
      <c r="Q804">
        <v>2</v>
      </c>
      <c r="R804" s="1" t="s">
        <v>45</v>
      </c>
      <c r="S804">
        <v>4302</v>
      </c>
      <c r="T804">
        <v>13401</v>
      </c>
      <c r="U804">
        <v>0</v>
      </c>
      <c r="V804" s="1" t="s">
        <v>40</v>
      </c>
      <c r="W804">
        <v>17</v>
      </c>
      <c r="X804">
        <v>3</v>
      </c>
      <c r="Y804">
        <v>3</v>
      </c>
      <c r="Z804">
        <v>80</v>
      </c>
      <c r="AA804">
        <v>1</v>
      </c>
      <c r="AB804">
        <v>4</v>
      </c>
      <c r="AC804">
        <v>3</v>
      </c>
      <c r="AD804">
        <v>3</v>
      </c>
      <c r="AE804">
        <v>3</v>
      </c>
      <c r="AF804">
        <v>2</v>
      </c>
      <c r="AG804">
        <v>0</v>
      </c>
      <c r="AH804">
        <v>2</v>
      </c>
      <c r="AI804">
        <f>IF(tbl_HRData[[#This Row],[Attrition]] = "Yes",1,0)</f>
        <v>0</v>
      </c>
      <c r="AJ804">
        <f>IF(tbl_HRData[[#This Row],[Attrition]] = "No",1,0)</f>
        <v>1</v>
      </c>
      <c r="AK804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804" s="1" t="str">
        <f>IF(tbl_HRData[[#This Row],[MonthlyIncome]]&lt;5000,"Low",
IF(tbl_HRData[[#This Row],[MonthlyIncome]]&lt;10000,"Medium",
IF(tbl_HRData[[#This Row],[MonthlyIncome]]&lt;15000,"Upper Medium","High")))</f>
        <v>Low</v>
      </c>
      <c r="AM804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805" spans="1:39" x14ac:dyDescent="0.35">
      <c r="A805" s="1">
        <v>804</v>
      </c>
      <c r="B805">
        <v>34</v>
      </c>
      <c r="C805" s="1" t="s">
        <v>40</v>
      </c>
      <c r="D805" s="1" t="s">
        <v>52</v>
      </c>
      <c r="E805">
        <v>697</v>
      </c>
      <c r="F805" s="1" t="s">
        <v>42</v>
      </c>
      <c r="G805">
        <v>3</v>
      </c>
      <c r="H805">
        <v>4</v>
      </c>
      <c r="I805" s="1" t="s">
        <v>36</v>
      </c>
      <c r="J805">
        <v>1115</v>
      </c>
      <c r="K805">
        <v>3</v>
      </c>
      <c r="L805" s="1" t="s">
        <v>43</v>
      </c>
      <c r="M805">
        <v>40</v>
      </c>
      <c r="N805">
        <v>2</v>
      </c>
      <c r="O805">
        <v>1</v>
      </c>
      <c r="P805" s="1" t="s">
        <v>44</v>
      </c>
      <c r="Q805">
        <v>4</v>
      </c>
      <c r="R805" s="1" t="s">
        <v>45</v>
      </c>
      <c r="S805">
        <v>2979</v>
      </c>
      <c r="T805">
        <v>22478</v>
      </c>
      <c r="U805">
        <v>3</v>
      </c>
      <c r="V805" s="1" t="s">
        <v>40</v>
      </c>
      <c r="W805">
        <v>17</v>
      </c>
      <c r="X805">
        <v>3</v>
      </c>
      <c r="Y805">
        <v>4</v>
      </c>
      <c r="Z805">
        <v>80</v>
      </c>
      <c r="AA805">
        <v>3</v>
      </c>
      <c r="AB805">
        <v>6</v>
      </c>
      <c r="AC805">
        <v>2</v>
      </c>
      <c r="AD805">
        <v>3</v>
      </c>
      <c r="AE805">
        <v>0</v>
      </c>
      <c r="AF805">
        <v>0</v>
      </c>
      <c r="AG805">
        <v>0</v>
      </c>
      <c r="AH805">
        <v>0</v>
      </c>
      <c r="AI805">
        <f>IF(tbl_HRData[[#This Row],[Attrition]] = "Yes",1,0)</f>
        <v>0</v>
      </c>
      <c r="AJ805">
        <f>IF(tbl_HRData[[#This Row],[Attrition]] = "No",1,0)</f>
        <v>1</v>
      </c>
      <c r="AK805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805" s="1" t="str">
        <f>IF(tbl_HRData[[#This Row],[MonthlyIncome]]&lt;5000,"Low",
IF(tbl_HRData[[#This Row],[MonthlyIncome]]&lt;10000,"Medium",
IF(tbl_HRData[[#This Row],[MonthlyIncome]]&lt;15000,"Upper Medium","High")))</f>
        <v>Low</v>
      </c>
      <c r="AM805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806" spans="1:39" x14ac:dyDescent="0.35">
      <c r="A806" s="1">
        <v>805</v>
      </c>
      <c r="B806">
        <v>48</v>
      </c>
      <c r="C806" s="1" t="s">
        <v>40</v>
      </c>
      <c r="D806" s="1" t="s">
        <v>52</v>
      </c>
      <c r="E806">
        <v>1262</v>
      </c>
      <c r="F806" s="1" t="s">
        <v>42</v>
      </c>
      <c r="G806">
        <v>1</v>
      </c>
      <c r="H806">
        <v>4</v>
      </c>
      <c r="I806" s="1" t="s">
        <v>48</v>
      </c>
      <c r="J806">
        <v>1116</v>
      </c>
      <c r="K806">
        <v>1</v>
      </c>
      <c r="L806" s="1" t="s">
        <v>43</v>
      </c>
      <c r="M806">
        <v>35</v>
      </c>
      <c r="N806">
        <v>4</v>
      </c>
      <c r="O806">
        <v>4</v>
      </c>
      <c r="P806" s="1" t="s">
        <v>53</v>
      </c>
      <c r="Q806">
        <v>4</v>
      </c>
      <c r="R806" s="1" t="s">
        <v>39</v>
      </c>
      <c r="S806">
        <v>16885</v>
      </c>
      <c r="T806">
        <v>16154</v>
      </c>
      <c r="U806">
        <v>2</v>
      </c>
      <c r="V806" s="1" t="s">
        <v>40</v>
      </c>
      <c r="W806">
        <v>22</v>
      </c>
      <c r="X806">
        <v>4</v>
      </c>
      <c r="Y806">
        <v>3</v>
      </c>
      <c r="Z806">
        <v>80</v>
      </c>
      <c r="AA806">
        <v>0</v>
      </c>
      <c r="AB806">
        <v>27</v>
      </c>
      <c r="AC806">
        <v>3</v>
      </c>
      <c r="AD806">
        <v>2</v>
      </c>
      <c r="AE806">
        <v>5</v>
      </c>
      <c r="AF806">
        <v>4</v>
      </c>
      <c r="AG806">
        <v>2</v>
      </c>
      <c r="AH806">
        <v>1</v>
      </c>
      <c r="AI806">
        <f>IF(tbl_HRData[[#This Row],[Attrition]] = "Yes",1,0)</f>
        <v>0</v>
      </c>
      <c r="AJ806">
        <f>IF(tbl_HRData[[#This Row],[Attrition]] = "No",1,0)</f>
        <v>1</v>
      </c>
      <c r="AK806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806" s="1" t="str">
        <f>IF(tbl_HRData[[#This Row],[MonthlyIncome]]&lt;5000,"Low",
IF(tbl_HRData[[#This Row],[MonthlyIncome]]&lt;10000,"Medium",
IF(tbl_HRData[[#This Row],[MonthlyIncome]]&lt;15000,"Upper Medium","High")))</f>
        <v>High</v>
      </c>
      <c r="AM806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807" spans="1:39" x14ac:dyDescent="0.35">
      <c r="A807" s="1">
        <v>806</v>
      </c>
      <c r="B807">
        <v>45</v>
      </c>
      <c r="C807" s="1" t="s">
        <v>40</v>
      </c>
      <c r="D807" s="1" t="s">
        <v>52</v>
      </c>
      <c r="E807">
        <v>1050</v>
      </c>
      <c r="F807" s="1" t="s">
        <v>35</v>
      </c>
      <c r="G807">
        <v>9</v>
      </c>
      <c r="H807">
        <v>4</v>
      </c>
      <c r="I807" s="1" t="s">
        <v>36</v>
      </c>
      <c r="J807">
        <v>1117</v>
      </c>
      <c r="K807">
        <v>2</v>
      </c>
      <c r="L807" s="1" t="s">
        <v>37</v>
      </c>
      <c r="M807">
        <v>65</v>
      </c>
      <c r="N807">
        <v>2</v>
      </c>
      <c r="O807">
        <v>2</v>
      </c>
      <c r="P807" s="1" t="s">
        <v>38</v>
      </c>
      <c r="Q807">
        <v>3</v>
      </c>
      <c r="R807" s="1" t="s">
        <v>45</v>
      </c>
      <c r="S807">
        <v>5593</v>
      </c>
      <c r="T807">
        <v>17970</v>
      </c>
      <c r="U807">
        <v>1</v>
      </c>
      <c r="V807" s="1" t="s">
        <v>40</v>
      </c>
      <c r="W807">
        <v>13</v>
      </c>
      <c r="X807">
        <v>3</v>
      </c>
      <c r="Y807">
        <v>4</v>
      </c>
      <c r="Z807">
        <v>80</v>
      </c>
      <c r="AA807">
        <v>1</v>
      </c>
      <c r="AB807">
        <v>15</v>
      </c>
      <c r="AC807">
        <v>2</v>
      </c>
      <c r="AD807">
        <v>3</v>
      </c>
      <c r="AE807">
        <v>15</v>
      </c>
      <c r="AF807">
        <v>10</v>
      </c>
      <c r="AG807">
        <v>4</v>
      </c>
      <c r="AH807">
        <v>12</v>
      </c>
      <c r="AI807">
        <f>IF(tbl_HRData[[#This Row],[Attrition]] = "Yes",1,0)</f>
        <v>0</v>
      </c>
      <c r="AJ807">
        <f>IF(tbl_HRData[[#This Row],[Attrition]] = "No",1,0)</f>
        <v>1</v>
      </c>
      <c r="AK807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807" s="1" t="str">
        <f>IF(tbl_HRData[[#This Row],[MonthlyIncome]]&lt;5000,"Low",
IF(tbl_HRData[[#This Row],[MonthlyIncome]]&lt;10000,"Medium",
IF(tbl_HRData[[#This Row],[MonthlyIncome]]&lt;15000,"Upper Medium","High")))</f>
        <v>Medium</v>
      </c>
      <c r="AM807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808" spans="1:39" x14ac:dyDescent="0.35">
      <c r="A808" s="1">
        <v>807</v>
      </c>
      <c r="B808">
        <v>52</v>
      </c>
      <c r="C808" s="1" t="s">
        <v>40</v>
      </c>
      <c r="D808" s="1" t="s">
        <v>34</v>
      </c>
      <c r="E808">
        <v>994</v>
      </c>
      <c r="F808" s="1" t="s">
        <v>42</v>
      </c>
      <c r="G808">
        <v>7</v>
      </c>
      <c r="H808">
        <v>4</v>
      </c>
      <c r="I808" s="1" t="s">
        <v>36</v>
      </c>
      <c r="J808">
        <v>1118</v>
      </c>
      <c r="K808">
        <v>2</v>
      </c>
      <c r="L808" s="1" t="s">
        <v>43</v>
      </c>
      <c r="M808">
        <v>87</v>
      </c>
      <c r="N808">
        <v>3</v>
      </c>
      <c r="O808">
        <v>3</v>
      </c>
      <c r="P808" s="1" t="s">
        <v>51</v>
      </c>
      <c r="Q808">
        <v>2</v>
      </c>
      <c r="R808" s="1" t="s">
        <v>39</v>
      </c>
      <c r="S808">
        <v>10445</v>
      </c>
      <c r="T808">
        <v>15322</v>
      </c>
      <c r="U808">
        <v>7</v>
      </c>
      <c r="V808" s="1" t="s">
        <v>40</v>
      </c>
      <c r="W808">
        <v>19</v>
      </c>
      <c r="X808">
        <v>3</v>
      </c>
      <c r="Y808">
        <v>4</v>
      </c>
      <c r="Z808">
        <v>80</v>
      </c>
      <c r="AA808">
        <v>0</v>
      </c>
      <c r="AB808">
        <v>18</v>
      </c>
      <c r="AC808">
        <v>4</v>
      </c>
      <c r="AD808">
        <v>3</v>
      </c>
      <c r="AE808">
        <v>8</v>
      </c>
      <c r="AF808">
        <v>6</v>
      </c>
      <c r="AG808">
        <v>4</v>
      </c>
      <c r="AH808">
        <v>0</v>
      </c>
      <c r="AI808">
        <f>IF(tbl_HRData[[#This Row],[Attrition]] = "Yes",1,0)</f>
        <v>0</v>
      </c>
      <c r="AJ808">
        <f>IF(tbl_HRData[[#This Row],[Attrition]] = "No",1,0)</f>
        <v>1</v>
      </c>
      <c r="AK808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808" s="1" t="str">
        <f>IF(tbl_HRData[[#This Row],[MonthlyIncome]]&lt;5000,"Low",
IF(tbl_HRData[[#This Row],[MonthlyIncome]]&lt;10000,"Medium",
IF(tbl_HRData[[#This Row],[MonthlyIncome]]&lt;15000,"Upper Medium","High")))</f>
        <v>Upper Medium</v>
      </c>
      <c r="AM808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809" spans="1:39" x14ac:dyDescent="0.35">
      <c r="A809" s="1">
        <v>808</v>
      </c>
      <c r="B809">
        <v>38</v>
      </c>
      <c r="C809" s="1" t="s">
        <v>40</v>
      </c>
      <c r="D809" s="1" t="s">
        <v>34</v>
      </c>
      <c r="E809">
        <v>770</v>
      </c>
      <c r="F809" s="1" t="s">
        <v>35</v>
      </c>
      <c r="G809">
        <v>10</v>
      </c>
      <c r="H809">
        <v>4</v>
      </c>
      <c r="I809" s="1" t="s">
        <v>56</v>
      </c>
      <c r="J809">
        <v>1119</v>
      </c>
      <c r="K809">
        <v>3</v>
      </c>
      <c r="L809" s="1" t="s">
        <v>43</v>
      </c>
      <c r="M809">
        <v>73</v>
      </c>
      <c r="N809">
        <v>2</v>
      </c>
      <c r="O809">
        <v>3</v>
      </c>
      <c r="P809" s="1" t="s">
        <v>38</v>
      </c>
      <c r="Q809">
        <v>3</v>
      </c>
      <c r="R809" s="1" t="s">
        <v>49</v>
      </c>
      <c r="S809">
        <v>8740</v>
      </c>
      <c r="T809">
        <v>5569</v>
      </c>
      <c r="U809">
        <v>0</v>
      </c>
      <c r="V809" s="1" t="s">
        <v>33</v>
      </c>
      <c r="W809">
        <v>14</v>
      </c>
      <c r="X809">
        <v>3</v>
      </c>
      <c r="Y809">
        <v>2</v>
      </c>
      <c r="Z809">
        <v>80</v>
      </c>
      <c r="AA809">
        <v>2</v>
      </c>
      <c r="AB809">
        <v>9</v>
      </c>
      <c r="AC809">
        <v>2</v>
      </c>
      <c r="AD809">
        <v>3</v>
      </c>
      <c r="AE809">
        <v>8</v>
      </c>
      <c r="AF809">
        <v>7</v>
      </c>
      <c r="AG809">
        <v>2</v>
      </c>
      <c r="AH809">
        <v>7</v>
      </c>
      <c r="AI809">
        <f>IF(tbl_HRData[[#This Row],[Attrition]] = "Yes",1,0)</f>
        <v>0</v>
      </c>
      <c r="AJ809">
        <f>IF(tbl_HRData[[#This Row],[Attrition]] = "No",1,0)</f>
        <v>1</v>
      </c>
      <c r="AK809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809" s="1" t="str">
        <f>IF(tbl_HRData[[#This Row],[MonthlyIncome]]&lt;5000,"Low",
IF(tbl_HRData[[#This Row],[MonthlyIncome]]&lt;10000,"Medium",
IF(tbl_HRData[[#This Row],[MonthlyIncome]]&lt;15000,"Upper Medium","High")))</f>
        <v>Medium</v>
      </c>
      <c r="AM809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810" spans="1:39" x14ac:dyDescent="0.35">
      <c r="A810" s="1">
        <v>809</v>
      </c>
      <c r="B810">
        <v>29</v>
      </c>
      <c r="C810" s="1" t="s">
        <v>40</v>
      </c>
      <c r="D810" s="1" t="s">
        <v>34</v>
      </c>
      <c r="E810">
        <v>1107</v>
      </c>
      <c r="F810" s="1" t="s">
        <v>42</v>
      </c>
      <c r="G810">
        <v>28</v>
      </c>
      <c r="H810">
        <v>4</v>
      </c>
      <c r="I810" s="1" t="s">
        <v>36</v>
      </c>
      <c r="J810">
        <v>1120</v>
      </c>
      <c r="K810">
        <v>3</v>
      </c>
      <c r="L810" s="1" t="s">
        <v>37</v>
      </c>
      <c r="M810">
        <v>93</v>
      </c>
      <c r="N810">
        <v>3</v>
      </c>
      <c r="O810">
        <v>1</v>
      </c>
      <c r="P810" s="1" t="s">
        <v>44</v>
      </c>
      <c r="Q810">
        <v>4</v>
      </c>
      <c r="R810" s="1" t="s">
        <v>49</v>
      </c>
      <c r="S810">
        <v>2514</v>
      </c>
      <c r="T810">
        <v>26968</v>
      </c>
      <c r="U810">
        <v>4</v>
      </c>
      <c r="V810" s="1" t="s">
        <v>40</v>
      </c>
      <c r="W810">
        <v>22</v>
      </c>
      <c r="X810">
        <v>4</v>
      </c>
      <c r="Y810">
        <v>1</v>
      </c>
      <c r="Z810">
        <v>80</v>
      </c>
      <c r="AA810">
        <v>1</v>
      </c>
      <c r="AB810">
        <v>11</v>
      </c>
      <c r="AC810">
        <v>1</v>
      </c>
      <c r="AD810">
        <v>3</v>
      </c>
      <c r="AE810">
        <v>7</v>
      </c>
      <c r="AF810">
        <v>5</v>
      </c>
      <c r="AG810">
        <v>1</v>
      </c>
      <c r="AH810">
        <v>7</v>
      </c>
      <c r="AI810">
        <f>IF(tbl_HRData[[#This Row],[Attrition]] = "Yes",1,0)</f>
        <v>0</v>
      </c>
      <c r="AJ810">
        <f>IF(tbl_HRData[[#This Row],[Attrition]] = "No",1,0)</f>
        <v>1</v>
      </c>
      <c r="AK810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810" s="1" t="str">
        <f>IF(tbl_HRData[[#This Row],[MonthlyIncome]]&lt;5000,"Low",
IF(tbl_HRData[[#This Row],[MonthlyIncome]]&lt;10000,"Medium",
IF(tbl_HRData[[#This Row],[MonthlyIncome]]&lt;15000,"Upper Medium","High")))</f>
        <v>Low</v>
      </c>
      <c r="AM810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811" spans="1:39" x14ac:dyDescent="0.35">
      <c r="A811" s="1">
        <v>810</v>
      </c>
      <c r="B811">
        <v>28</v>
      </c>
      <c r="C811" s="1" t="s">
        <v>40</v>
      </c>
      <c r="D811" s="1" t="s">
        <v>34</v>
      </c>
      <c r="E811">
        <v>950</v>
      </c>
      <c r="F811" s="1" t="s">
        <v>42</v>
      </c>
      <c r="G811">
        <v>3</v>
      </c>
      <c r="H811">
        <v>3</v>
      </c>
      <c r="I811" s="1" t="s">
        <v>48</v>
      </c>
      <c r="J811">
        <v>1121</v>
      </c>
      <c r="K811">
        <v>4</v>
      </c>
      <c r="L811" s="1" t="s">
        <v>37</v>
      </c>
      <c r="M811">
        <v>93</v>
      </c>
      <c r="N811">
        <v>3</v>
      </c>
      <c r="O811">
        <v>3</v>
      </c>
      <c r="P811" s="1" t="s">
        <v>50</v>
      </c>
      <c r="Q811">
        <v>2</v>
      </c>
      <c r="R811" s="1" t="s">
        <v>49</v>
      </c>
      <c r="S811">
        <v>7655</v>
      </c>
      <c r="T811">
        <v>8039</v>
      </c>
      <c r="U811">
        <v>0</v>
      </c>
      <c r="V811" s="1" t="s">
        <v>40</v>
      </c>
      <c r="W811">
        <v>17</v>
      </c>
      <c r="X811">
        <v>3</v>
      </c>
      <c r="Y811">
        <v>2</v>
      </c>
      <c r="Z811">
        <v>80</v>
      </c>
      <c r="AA811">
        <v>3</v>
      </c>
      <c r="AB811">
        <v>10</v>
      </c>
      <c r="AC811">
        <v>3</v>
      </c>
      <c r="AD811">
        <v>2</v>
      </c>
      <c r="AE811">
        <v>9</v>
      </c>
      <c r="AF811">
        <v>7</v>
      </c>
      <c r="AG811">
        <v>1</v>
      </c>
      <c r="AH811">
        <v>7</v>
      </c>
      <c r="AI811">
        <f>IF(tbl_HRData[[#This Row],[Attrition]] = "Yes",1,0)</f>
        <v>0</v>
      </c>
      <c r="AJ811">
        <f>IF(tbl_HRData[[#This Row],[Attrition]] = "No",1,0)</f>
        <v>1</v>
      </c>
      <c r="AK811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811" s="1" t="str">
        <f>IF(tbl_HRData[[#This Row],[MonthlyIncome]]&lt;5000,"Low",
IF(tbl_HRData[[#This Row],[MonthlyIncome]]&lt;10000,"Medium",
IF(tbl_HRData[[#This Row],[MonthlyIncome]]&lt;15000,"Upper Medium","High")))</f>
        <v>Medium</v>
      </c>
      <c r="AM811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812" spans="1:39" x14ac:dyDescent="0.35">
      <c r="A812" s="1">
        <v>811</v>
      </c>
      <c r="B812">
        <v>46</v>
      </c>
      <c r="C812" s="1" t="s">
        <v>40</v>
      </c>
      <c r="D812" s="1" t="s">
        <v>34</v>
      </c>
      <c r="E812">
        <v>406</v>
      </c>
      <c r="F812" s="1" t="s">
        <v>35</v>
      </c>
      <c r="G812">
        <v>3</v>
      </c>
      <c r="H812">
        <v>1</v>
      </c>
      <c r="I812" s="1" t="s">
        <v>56</v>
      </c>
      <c r="J812">
        <v>1124</v>
      </c>
      <c r="K812">
        <v>1</v>
      </c>
      <c r="L812" s="1" t="s">
        <v>43</v>
      </c>
      <c r="M812">
        <v>52</v>
      </c>
      <c r="N812">
        <v>3</v>
      </c>
      <c r="O812">
        <v>4</v>
      </c>
      <c r="P812" s="1" t="s">
        <v>53</v>
      </c>
      <c r="Q812">
        <v>3</v>
      </c>
      <c r="R812" s="1" t="s">
        <v>45</v>
      </c>
      <c r="S812">
        <v>17465</v>
      </c>
      <c r="T812">
        <v>15596</v>
      </c>
      <c r="U812">
        <v>3</v>
      </c>
      <c r="V812" s="1" t="s">
        <v>40</v>
      </c>
      <c r="W812">
        <v>12</v>
      </c>
      <c r="X812">
        <v>3</v>
      </c>
      <c r="Y812">
        <v>4</v>
      </c>
      <c r="Z812">
        <v>80</v>
      </c>
      <c r="AA812">
        <v>1</v>
      </c>
      <c r="AB812">
        <v>23</v>
      </c>
      <c r="AC812">
        <v>3</v>
      </c>
      <c r="AD812">
        <v>3</v>
      </c>
      <c r="AE812">
        <v>12</v>
      </c>
      <c r="AF812">
        <v>9</v>
      </c>
      <c r="AG812">
        <v>4</v>
      </c>
      <c r="AH812">
        <v>9</v>
      </c>
      <c r="AI812">
        <f>IF(tbl_HRData[[#This Row],[Attrition]] = "Yes",1,0)</f>
        <v>0</v>
      </c>
      <c r="AJ812">
        <f>IF(tbl_HRData[[#This Row],[Attrition]] = "No",1,0)</f>
        <v>1</v>
      </c>
      <c r="AK812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812" s="1" t="str">
        <f>IF(tbl_HRData[[#This Row],[MonthlyIncome]]&lt;5000,"Low",
IF(tbl_HRData[[#This Row],[MonthlyIncome]]&lt;10000,"Medium",
IF(tbl_HRData[[#This Row],[MonthlyIncome]]&lt;15000,"Upper Medium","High")))</f>
        <v>High</v>
      </c>
      <c r="AM812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813" spans="1:39" x14ac:dyDescent="0.35">
      <c r="A813" s="1">
        <v>812</v>
      </c>
      <c r="B813">
        <v>38</v>
      </c>
      <c r="C813" s="1" t="s">
        <v>40</v>
      </c>
      <c r="D813" s="1" t="s">
        <v>34</v>
      </c>
      <c r="E813">
        <v>130</v>
      </c>
      <c r="F813" s="1" t="s">
        <v>35</v>
      </c>
      <c r="G813">
        <v>2</v>
      </c>
      <c r="H813">
        <v>2</v>
      </c>
      <c r="I813" s="1" t="s">
        <v>56</v>
      </c>
      <c r="J813">
        <v>1125</v>
      </c>
      <c r="K813">
        <v>4</v>
      </c>
      <c r="L813" s="1" t="s">
        <v>43</v>
      </c>
      <c r="M813">
        <v>32</v>
      </c>
      <c r="N813">
        <v>3</v>
      </c>
      <c r="O813">
        <v>3</v>
      </c>
      <c r="P813" s="1" t="s">
        <v>38</v>
      </c>
      <c r="Q813">
        <v>2</v>
      </c>
      <c r="R813" s="1" t="s">
        <v>39</v>
      </c>
      <c r="S813">
        <v>7351</v>
      </c>
      <c r="T813">
        <v>20619</v>
      </c>
      <c r="U813">
        <v>7</v>
      </c>
      <c r="V813" s="1" t="s">
        <v>40</v>
      </c>
      <c r="W813">
        <v>16</v>
      </c>
      <c r="X813">
        <v>3</v>
      </c>
      <c r="Y813">
        <v>3</v>
      </c>
      <c r="Z813">
        <v>80</v>
      </c>
      <c r="AA813">
        <v>0</v>
      </c>
      <c r="AB813">
        <v>10</v>
      </c>
      <c r="AC813">
        <v>2</v>
      </c>
      <c r="AD813">
        <v>3</v>
      </c>
      <c r="AE813">
        <v>1</v>
      </c>
      <c r="AF813">
        <v>0</v>
      </c>
      <c r="AG813">
        <v>0</v>
      </c>
      <c r="AH813">
        <v>0</v>
      </c>
      <c r="AI813">
        <f>IF(tbl_HRData[[#This Row],[Attrition]] = "Yes",1,0)</f>
        <v>0</v>
      </c>
      <c r="AJ813">
        <f>IF(tbl_HRData[[#This Row],[Attrition]] = "No",1,0)</f>
        <v>1</v>
      </c>
      <c r="AK813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813" s="1" t="str">
        <f>IF(tbl_HRData[[#This Row],[MonthlyIncome]]&lt;5000,"Low",
IF(tbl_HRData[[#This Row],[MonthlyIncome]]&lt;10000,"Medium",
IF(tbl_HRData[[#This Row],[MonthlyIncome]]&lt;15000,"Upper Medium","High")))</f>
        <v>Medium</v>
      </c>
      <c r="AM813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814" spans="1:39" x14ac:dyDescent="0.35">
      <c r="A814" s="1">
        <v>813</v>
      </c>
      <c r="B814">
        <v>43</v>
      </c>
      <c r="C814" s="1" t="s">
        <v>40</v>
      </c>
      <c r="D814" s="1" t="s">
        <v>41</v>
      </c>
      <c r="E814">
        <v>1082</v>
      </c>
      <c r="F814" s="1" t="s">
        <v>42</v>
      </c>
      <c r="G814">
        <v>27</v>
      </c>
      <c r="H814">
        <v>3</v>
      </c>
      <c r="I814" s="1" t="s">
        <v>36</v>
      </c>
      <c r="J814">
        <v>1126</v>
      </c>
      <c r="K814">
        <v>3</v>
      </c>
      <c r="L814" s="1" t="s">
        <v>37</v>
      </c>
      <c r="M814">
        <v>83</v>
      </c>
      <c r="N814">
        <v>3</v>
      </c>
      <c r="O814">
        <v>3</v>
      </c>
      <c r="P814" s="1" t="s">
        <v>50</v>
      </c>
      <c r="Q814">
        <v>1</v>
      </c>
      <c r="R814" s="1" t="s">
        <v>45</v>
      </c>
      <c r="S814">
        <v>10820</v>
      </c>
      <c r="T814">
        <v>11535</v>
      </c>
      <c r="U814">
        <v>8</v>
      </c>
      <c r="V814" s="1" t="s">
        <v>40</v>
      </c>
      <c r="W814">
        <v>11</v>
      </c>
      <c r="X814">
        <v>3</v>
      </c>
      <c r="Y814">
        <v>3</v>
      </c>
      <c r="Z814">
        <v>80</v>
      </c>
      <c r="AA814">
        <v>1</v>
      </c>
      <c r="AB814">
        <v>18</v>
      </c>
      <c r="AC814">
        <v>1</v>
      </c>
      <c r="AD814">
        <v>3</v>
      </c>
      <c r="AE814">
        <v>8</v>
      </c>
      <c r="AF814">
        <v>7</v>
      </c>
      <c r="AG814">
        <v>0</v>
      </c>
      <c r="AH814">
        <v>1</v>
      </c>
      <c r="AI814">
        <f>IF(tbl_HRData[[#This Row],[Attrition]] = "Yes",1,0)</f>
        <v>0</v>
      </c>
      <c r="AJ814">
        <f>IF(tbl_HRData[[#This Row],[Attrition]] = "No",1,0)</f>
        <v>1</v>
      </c>
      <c r="AK814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814" s="1" t="str">
        <f>IF(tbl_HRData[[#This Row],[MonthlyIncome]]&lt;5000,"Low",
IF(tbl_HRData[[#This Row],[MonthlyIncome]]&lt;10000,"Medium",
IF(tbl_HRData[[#This Row],[MonthlyIncome]]&lt;15000,"Upper Medium","High")))</f>
        <v>Upper Medium</v>
      </c>
      <c r="AM814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815" spans="1:39" x14ac:dyDescent="0.35">
      <c r="A815" s="1">
        <v>814</v>
      </c>
      <c r="B815">
        <v>39</v>
      </c>
      <c r="C815" s="1" t="s">
        <v>33</v>
      </c>
      <c r="D815" s="1" t="s">
        <v>41</v>
      </c>
      <c r="E815">
        <v>203</v>
      </c>
      <c r="F815" s="1" t="s">
        <v>42</v>
      </c>
      <c r="G815">
        <v>2</v>
      </c>
      <c r="H815">
        <v>3</v>
      </c>
      <c r="I815" s="1" t="s">
        <v>36</v>
      </c>
      <c r="J815">
        <v>1127</v>
      </c>
      <c r="K815">
        <v>1</v>
      </c>
      <c r="L815" s="1" t="s">
        <v>43</v>
      </c>
      <c r="M815">
        <v>84</v>
      </c>
      <c r="N815">
        <v>3</v>
      </c>
      <c r="O815">
        <v>4</v>
      </c>
      <c r="P815" s="1" t="s">
        <v>51</v>
      </c>
      <c r="Q815">
        <v>4</v>
      </c>
      <c r="R815" s="1" t="s">
        <v>49</v>
      </c>
      <c r="S815">
        <v>12169</v>
      </c>
      <c r="T815">
        <v>13547</v>
      </c>
      <c r="U815">
        <v>7</v>
      </c>
      <c r="V815" s="1" t="s">
        <v>40</v>
      </c>
      <c r="W815">
        <v>11</v>
      </c>
      <c r="X815">
        <v>3</v>
      </c>
      <c r="Y815">
        <v>4</v>
      </c>
      <c r="Z815">
        <v>80</v>
      </c>
      <c r="AA815">
        <v>3</v>
      </c>
      <c r="AB815">
        <v>21</v>
      </c>
      <c r="AC815">
        <v>4</v>
      </c>
      <c r="AD815">
        <v>3</v>
      </c>
      <c r="AE815">
        <v>18</v>
      </c>
      <c r="AF815">
        <v>7</v>
      </c>
      <c r="AG815">
        <v>11</v>
      </c>
      <c r="AH815">
        <v>5</v>
      </c>
      <c r="AI815">
        <f>IF(tbl_HRData[[#This Row],[Attrition]] = "Yes",1,0)</f>
        <v>1</v>
      </c>
      <c r="AJ815">
        <f>IF(tbl_HRData[[#This Row],[Attrition]] = "No",1,0)</f>
        <v>0</v>
      </c>
      <c r="AK815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815" s="1" t="str">
        <f>IF(tbl_HRData[[#This Row],[MonthlyIncome]]&lt;5000,"Low",
IF(tbl_HRData[[#This Row],[MonthlyIncome]]&lt;10000,"Medium",
IF(tbl_HRData[[#This Row],[MonthlyIncome]]&lt;15000,"Upper Medium","High")))</f>
        <v>Upper Medium</v>
      </c>
      <c r="AM815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816" spans="1:39" x14ac:dyDescent="0.35">
      <c r="A816" s="1">
        <v>815</v>
      </c>
      <c r="B816">
        <v>40</v>
      </c>
      <c r="C816" s="1" t="s">
        <v>40</v>
      </c>
      <c r="D816" s="1" t="s">
        <v>34</v>
      </c>
      <c r="E816">
        <v>1308</v>
      </c>
      <c r="F816" s="1" t="s">
        <v>42</v>
      </c>
      <c r="G816">
        <v>14</v>
      </c>
      <c r="H816">
        <v>3</v>
      </c>
      <c r="I816" s="1" t="s">
        <v>48</v>
      </c>
      <c r="J816">
        <v>1128</v>
      </c>
      <c r="K816">
        <v>3</v>
      </c>
      <c r="L816" s="1" t="s">
        <v>43</v>
      </c>
      <c r="M816">
        <v>44</v>
      </c>
      <c r="N816">
        <v>2</v>
      </c>
      <c r="O816">
        <v>5</v>
      </c>
      <c r="P816" s="1" t="s">
        <v>55</v>
      </c>
      <c r="Q816">
        <v>3</v>
      </c>
      <c r="R816" s="1" t="s">
        <v>39</v>
      </c>
      <c r="S816">
        <v>19626</v>
      </c>
      <c r="T816">
        <v>17544</v>
      </c>
      <c r="U816">
        <v>1</v>
      </c>
      <c r="V816" s="1" t="s">
        <v>40</v>
      </c>
      <c r="W816">
        <v>14</v>
      </c>
      <c r="X816">
        <v>3</v>
      </c>
      <c r="Y816">
        <v>1</v>
      </c>
      <c r="Z816">
        <v>80</v>
      </c>
      <c r="AA816">
        <v>0</v>
      </c>
      <c r="AB816">
        <v>21</v>
      </c>
      <c r="AC816">
        <v>2</v>
      </c>
      <c r="AD816">
        <v>4</v>
      </c>
      <c r="AE816">
        <v>20</v>
      </c>
      <c r="AF816">
        <v>7</v>
      </c>
      <c r="AG816">
        <v>4</v>
      </c>
      <c r="AH816">
        <v>9</v>
      </c>
      <c r="AI816">
        <f>IF(tbl_HRData[[#This Row],[Attrition]] = "Yes",1,0)</f>
        <v>0</v>
      </c>
      <c r="AJ816">
        <f>IF(tbl_HRData[[#This Row],[Attrition]] = "No",1,0)</f>
        <v>1</v>
      </c>
      <c r="AK816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816" s="1" t="str">
        <f>IF(tbl_HRData[[#This Row],[MonthlyIncome]]&lt;5000,"Low",
IF(tbl_HRData[[#This Row],[MonthlyIncome]]&lt;10000,"Medium",
IF(tbl_HRData[[#This Row],[MonthlyIncome]]&lt;15000,"Upper Medium","High")))</f>
        <v>High</v>
      </c>
      <c r="AM816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817" spans="1:39" x14ac:dyDescent="0.35">
      <c r="A817" s="1">
        <v>816</v>
      </c>
      <c r="B817">
        <v>21</v>
      </c>
      <c r="C817" s="1" t="s">
        <v>40</v>
      </c>
      <c r="D817" s="1" t="s">
        <v>34</v>
      </c>
      <c r="E817">
        <v>984</v>
      </c>
      <c r="F817" s="1" t="s">
        <v>42</v>
      </c>
      <c r="G817">
        <v>1</v>
      </c>
      <c r="H817">
        <v>1</v>
      </c>
      <c r="I817" s="1" t="s">
        <v>57</v>
      </c>
      <c r="J817">
        <v>1131</v>
      </c>
      <c r="K817">
        <v>4</v>
      </c>
      <c r="L817" s="1" t="s">
        <v>37</v>
      </c>
      <c r="M817">
        <v>70</v>
      </c>
      <c r="N817">
        <v>2</v>
      </c>
      <c r="O817">
        <v>1</v>
      </c>
      <c r="P817" s="1" t="s">
        <v>44</v>
      </c>
      <c r="Q817">
        <v>2</v>
      </c>
      <c r="R817" s="1" t="s">
        <v>39</v>
      </c>
      <c r="S817">
        <v>2070</v>
      </c>
      <c r="T817">
        <v>25326</v>
      </c>
      <c r="U817">
        <v>1</v>
      </c>
      <c r="V817" s="1" t="s">
        <v>33</v>
      </c>
      <c r="W817">
        <v>11</v>
      </c>
      <c r="X817">
        <v>3</v>
      </c>
      <c r="Y817">
        <v>3</v>
      </c>
      <c r="Z817">
        <v>80</v>
      </c>
      <c r="AA817">
        <v>0</v>
      </c>
      <c r="AB817">
        <v>2</v>
      </c>
      <c r="AC817">
        <v>6</v>
      </c>
      <c r="AD817">
        <v>4</v>
      </c>
      <c r="AE817">
        <v>2</v>
      </c>
      <c r="AF817">
        <v>2</v>
      </c>
      <c r="AG817">
        <v>2</v>
      </c>
      <c r="AH817">
        <v>2</v>
      </c>
      <c r="AI817">
        <f>IF(tbl_HRData[[#This Row],[Attrition]] = "Yes",1,0)</f>
        <v>0</v>
      </c>
      <c r="AJ817">
        <f>IF(tbl_HRData[[#This Row],[Attrition]] = "No",1,0)</f>
        <v>1</v>
      </c>
      <c r="AK817" t="str">
        <f>IF(tbl_HRData[[#This Row],[Age]] &lt; 25, "Under 25", IF(tbl_HRData[[#This Row],[Age]] &lt;= 34, "25-34", IF(tbl_HRData[[#This Row],[Age]] &lt;= 44, "35-44", IF(tbl_HRData[[#This Row],[Age]] &lt;= 54, "45-54", "55+"))))</f>
        <v>Under 25</v>
      </c>
      <c r="AL817" s="1" t="str">
        <f>IF(tbl_HRData[[#This Row],[MonthlyIncome]]&lt;5000,"Low",
IF(tbl_HRData[[#This Row],[MonthlyIncome]]&lt;10000,"Medium",
IF(tbl_HRData[[#This Row],[MonthlyIncome]]&lt;15000,"Upper Medium","High")))</f>
        <v>Low</v>
      </c>
      <c r="AM817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818" spans="1:39" x14ac:dyDescent="0.35">
      <c r="A818" s="1">
        <v>817</v>
      </c>
      <c r="B818">
        <v>39</v>
      </c>
      <c r="C818" s="1" t="s">
        <v>40</v>
      </c>
      <c r="D818" s="1" t="s">
        <v>52</v>
      </c>
      <c r="E818">
        <v>439</v>
      </c>
      <c r="F818" s="1" t="s">
        <v>42</v>
      </c>
      <c r="G818">
        <v>9</v>
      </c>
      <c r="H818">
        <v>3</v>
      </c>
      <c r="I818" s="1" t="s">
        <v>36</v>
      </c>
      <c r="J818">
        <v>1132</v>
      </c>
      <c r="K818">
        <v>3</v>
      </c>
      <c r="L818" s="1" t="s">
        <v>43</v>
      </c>
      <c r="M818">
        <v>70</v>
      </c>
      <c r="N818">
        <v>3</v>
      </c>
      <c r="O818">
        <v>2</v>
      </c>
      <c r="P818" s="1" t="s">
        <v>47</v>
      </c>
      <c r="Q818">
        <v>2</v>
      </c>
      <c r="R818" s="1" t="s">
        <v>39</v>
      </c>
      <c r="S818">
        <v>6782</v>
      </c>
      <c r="T818">
        <v>8770</v>
      </c>
      <c r="U818">
        <v>9</v>
      </c>
      <c r="V818" s="1" t="s">
        <v>40</v>
      </c>
      <c r="W818">
        <v>15</v>
      </c>
      <c r="X818">
        <v>3</v>
      </c>
      <c r="Y818">
        <v>3</v>
      </c>
      <c r="Z818">
        <v>80</v>
      </c>
      <c r="AA818">
        <v>0</v>
      </c>
      <c r="AB818">
        <v>9</v>
      </c>
      <c r="AC818">
        <v>2</v>
      </c>
      <c r="AD818">
        <v>2</v>
      </c>
      <c r="AE818">
        <v>5</v>
      </c>
      <c r="AF818">
        <v>4</v>
      </c>
      <c r="AG818">
        <v>0</v>
      </c>
      <c r="AH818">
        <v>3</v>
      </c>
      <c r="AI818">
        <f>IF(tbl_HRData[[#This Row],[Attrition]] = "Yes",1,0)</f>
        <v>0</v>
      </c>
      <c r="AJ818">
        <f>IF(tbl_HRData[[#This Row],[Attrition]] = "No",1,0)</f>
        <v>1</v>
      </c>
      <c r="AK818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818" s="1" t="str">
        <f>IF(tbl_HRData[[#This Row],[MonthlyIncome]]&lt;5000,"Low",
IF(tbl_HRData[[#This Row],[MonthlyIncome]]&lt;10000,"Medium",
IF(tbl_HRData[[#This Row],[MonthlyIncome]]&lt;15000,"Upper Medium","High")))</f>
        <v>Medium</v>
      </c>
      <c r="AM818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819" spans="1:39" x14ac:dyDescent="0.35">
      <c r="A819" s="1">
        <v>818</v>
      </c>
      <c r="B819">
        <v>36</v>
      </c>
      <c r="C819" s="1" t="s">
        <v>40</v>
      </c>
      <c r="D819" s="1" t="s">
        <v>52</v>
      </c>
      <c r="E819">
        <v>217</v>
      </c>
      <c r="F819" s="1" t="s">
        <v>42</v>
      </c>
      <c r="G819">
        <v>18</v>
      </c>
      <c r="H819">
        <v>4</v>
      </c>
      <c r="I819" s="1" t="s">
        <v>36</v>
      </c>
      <c r="J819">
        <v>1133</v>
      </c>
      <c r="K819">
        <v>1</v>
      </c>
      <c r="L819" s="1" t="s">
        <v>43</v>
      </c>
      <c r="M819">
        <v>78</v>
      </c>
      <c r="N819">
        <v>3</v>
      </c>
      <c r="O819">
        <v>2</v>
      </c>
      <c r="P819" s="1" t="s">
        <v>50</v>
      </c>
      <c r="Q819">
        <v>4</v>
      </c>
      <c r="R819" s="1" t="s">
        <v>39</v>
      </c>
      <c r="S819">
        <v>7779</v>
      </c>
      <c r="T819">
        <v>23238</v>
      </c>
      <c r="U819">
        <v>2</v>
      </c>
      <c r="V819" s="1" t="s">
        <v>40</v>
      </c>
      <c r="W819">
        <v>20</v>
      </c>
      <c r="X819">
        <v>4</v>
      </c>
      <c r="Y819">
        <v>1</v>
      </c>
      <c r="Z819">
        <v>80</v>
      </c>
      <c r="AA819">
        <v>0</v>
      </c>
      <c r="AB819">
        <v>18</v>
      </c>
      <c r="AC819">
        <v>0</v>
      </c>
      <c r="AD819">
        <v>3</v>
      </c>
      <c r="AE819">
        <v>11</v>
      </c>
      <c r="AF819">
        <v>9</v>
      </c>
      <c r="AG819">
        <v>0</v>
      </c>
      <c r="AH819">
        <v>9</v>
      </c>
      <c r="AI819">
        <f>IF(tbl_HRData[[#This Row],[Attrition]] = "Yes",1,0)</f>
        <v>0</v>
      </c>
      <c r="AJ819">
        <f>IF(tbl_HRData[[#This Row],[Attrition]] = "No",1,0)</f>
        <v>1</v>
      </c>
      <c r="AK819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819" s="1" t="str">
        <f>IF(tbl_HRData[[#This Row],[MonthlyIncome]]&lt;5000,"Low",
IF(tbl_HRData[[#This Row],[MonthlyIncome]]&lt;10000,"Medium",
IF(tbl_HRData[[#This Row],[MonthlyIncome]]&lt;15000,"Upper Medium","High")))</f>
        <v>Medium</v>
      </c>
      <c r="AM819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820" spans="1:39" x14ac:dyDescent="0.35">
      <c r="A820" s="1">
        <v>819</v>
      </c>
      <c r="B820">
        <v>31</v>
      </c>
      <c r="C820" s="1" t="s">
        <v>40</v>
      </c>
      <c r="D820" s="1" t="s">
        <v>41</v>
      </c>
      <c r="E820">
        <v>793</v>
      </c>
      <c r="F820" s="1" t="s">
        <v>35</v>
      </c>
      <c r="G820">
        <v>20</v>
      </c>
      <c r="H820">
        <v>3</v>
      </c>
      <c r="I820" s="1" t="s">
        <v>36</v>
      </c>
      <c r="J820">
        <v>1135</v>
      </c>
      <c r="K820">
        <v>3</v>
      </c>
      <c r="L820" s="1" t="s">
        <v>43</v>
      </c>
      <c r="M820">
        <v>67</v>
      </c>
      <c r="N820">
        <v>4</v>
      </c>
      <c r="O820">
        <v>1</v>
      </c>
      <c r="P820" s="1" t="s">
        <v>54</v>
      </c>
      <c r="Q820">
        <v>4</v>
      </c>
      <c r="R820" s="1" t="s">
        <v>45</v>
      </c>
      <c r="S820">
        <v>2791</v>
      </c>
      <c r="T820">
        <v>21981</v>
      </c>
      <c r="U820">
        <v>0</v>
      </c>
      <c r="V820" s="1" t="s">
        <v>40</v>
      </c>
      <c r="W820">
        <v>12</v>
      </c>
      <c r="X820">
        <v>3</v>
      </c>
      <c r="Y820">
        <v>1</v>
      </c>
      <c r="Z820">
        <v>80</v>
      </c>
      <c r="AA820">
        <v>1</v>
      </c>
      <c r="AB820">
        <v>3</v>
      </c>
      <c r="AC820">
        <v>4</v>
      </c>
      <c r="AD820">
        <v>3</v>
      </c>
      <c r="AE820">
        <v>2</v>
      </c>
      <c r="AF820">
        <v>2</v>
      </c>
      <c r="AG820">
        <v>2</v>
      </c>
      <c r="AH820">
        <v>2</v>
      </c>
      <c r="AI820">
        <f>IF(tbl_HRData[[#This Row],[Attrition]] = "Yes",1,0)</f>
        <v>0</v>
      </c>
      <c r="AJ820">
        <f>IF(tbl_HRData[[#This Row],[Attrition]] = "No",1,0)</f>
        <v>1</v>
      </c>
      <c r="AK820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820" s="1" t="str">
        <f>IF(tbl_HRData[[#This Row],[MonthlyIncome]]&lt;5000,"Low",
IF(tbl_HRData[[#This Row],[MonthlyIncome]]&lt;10000,"Medium",
IF(tbl_HRData[[#This Row],[MonthlyIncome]]&lt;15000,"Upper Medium","High")))</f>
        <v>Low</v>
      </c>
      <c r="AM820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821" spans="1:39" x14ac:dyDescent="0.35">
      <c r="A821" s="1">
        <v>820</v>
      </c>
      <c r="B821">
        <v>28</v>
      </c>
      <c r="C821" s="1" t="s">
        <v>40</v>
      </c>
      <c r="D821" s="1" t="s">
        <v>34</v>
      </c>
      <c r="E821">
        <v>1451</v>
      </c>
      <c r="F821" s="1" t="s">
        <v>42</v>
      </c>
      <c r="G821">
        <v>2</v>
      </c>
      <c r="H821">
        <v>1</v>
      </c>
      <c r="I821" s="1" t="s">
        <v>36</v>
      </c>
      <c r="J821">
        <v>1136</v>
      </c>
      <c r="K821">
        <v>1</v>
      </c>
      <c r="L821" s="1" t="s">
        <v>43</v>
      </c>
      <c r="M821">
        <v>67</v>
      </c>
      <c r="N821">
        <v>2</v>
      </c>
      <c r="O821">
        <v>1</v>
      </c>
      <c r="P821" s="1" t="s">
        <v>44</v>
      </c>
      <c r="Q821">
        <v>2</v>
      </c>
      <c r="R821" s="1" t="s">
        <v>45</v>
      </c>
      <c r="S821">
        <v>3201</v>
      </c>
      <c r="T821">
        <v>19911</v>
      </c>
      <c r="U821">
        <v>0</v>
      </c>
      <c r="V821" s="1" t="s">
        <v>40</v>
      </c>
      <c r="W821">
        <v>17</v>
      </c>
      <c r="X821">
        <v>3</v>
      </c>
      <c r="Y821">
        <v>1</v>
      </c>
      <c r="Z821">
        <v>80</v>
      </c>
      <c r="AA821">
        <v>0</v>
      </c>
      <c r="AB821">
        <v>6</v>
      </c>
      <c r="AC821">
        <v>2</v>
      </c>
      <c r="AD821">
        <v>1</v>
      </c>
      <c r="AE821">
        <v>5</v>
      </c>
      <c r="AF821">
        <v>3</v>
      </c>
      <c r="AG821">
        <v>0</v>
      </c>
      <c r="AH821">
        <v>4</v>
      </c>
      <c r="AI821">
        <f>IF(tbl_HRData[[#This Row],[Attrition]] = "Yes",1,0)</f>
        <v>0</v>
      </c>
      <c r="AJ821">
        <f>IF(tbl_HRData[[#This Row],[Attrition]] = "No",1,0)</f>
        <v>1</v>
      </c>
      <c r="AK821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821" s="1" t="str">
        <f>IF(tbl_HRData[[#This Row],[MonthlyIncome]]&lt;5000,"Low",
IF(tbl_HRData[[#This Row],[MonthlyIncome]]&lt;10000,"Medium",
IF(tbl_HRData[[#This Row],[MonthlyIncome]]&lt;15000,"Upper Medium","High")))</f>
        <v>Low</v>
      </c>
      <c r="AM821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822" spans="1:39" x14ac:dyDescent="0.35">
      <c r="A822" s="1">
        <v>821</v>
      </c>
      <c r="B822">
        <v>35</v>
      </c>
      <c r="C822" s="1" t="s">
        <v>40</v>
      </c>
      <c r="D822" s="1" t="s">
        <v>41</v>
      </c>
      <c r="E822">
        <v>1182</v>
      </c>
      <c r="F822" s="1" t="s">
        <v>35</v>
      </c>
      <c r="G822">
        <v>11</v>
      </c>
      <c r="H822">
        <v>2</v>
      </c>
      <c r="I822" s="1" t="s">
        <v>56</v>
      </c>
      <c r="J822">
        <v>1137</v>
      </c>
      <c r="K822">
        <v>4</v>
      </c>
      <c r="L822" s="1" t="s">
        <v>43</v>
      </c>
      <c r="M822">
        <v>54</v>
      </c>
      <c r="N822">
        <v>3</v>
      </c>
      <c r="O822">
        <v>2</v>
      </c>
      <c r="P822" s="1" t="s">
        <v>38</v>
      </c>
      <c r="Q822">
        <v>4</v>
      </c>
      <c r="R822" s="1" t="s">
        <v>49</v>
      </c>
      <c r="S822">
        <v>4968</v>
      </c>
      <c r="T822">
        <v>18500</v>
      </c>
      <c r="U822">
        <v>1</v>
      </c>
      <c r="V822" s="1" t="s">
        <v>40</v>
      </c>
      <c r="W822">
        <v>11</v>
      </c>
      <c r="X822">
        <v>3</v>
      </c>
      <c r="Y822">
        <v>4</v>
      </c>
      <c r="Z822">
        <v>80</v>
      </c>
      <c r="AA822">
        <v>1</v>
      </c>
      <c r="AB822">
        <v>5</v>
      </c>
      <c r="AC822">
        <v>3</v>
      </c>
      <c r="AD822">
        <v>3</v>
      </c>
      <c r="AE822">
        <v>5</v>
      </c>
      <c r="AF822">
        <v>2</v>
      </c>
      <c r="AG822">
        <v>0</v>
      </c>
      <c r="AH822">
        <v>2</v>
      </c>
      <c r="AI822">
        <f>IF(tbl_HRData[[#This Row],[Attrition]] = "Yes",1,0)</f>
        <v>0</v>
      </c>
      <c r="AJ822">
        <f>IF(tbl_HRData[[#This Row],[Attrition]] = "No",1,0)</f>
        <v>1</v>
      </c>
      <c r="AK822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822" s="1" t="str">
        <f>IF(tbl_HRData[[#This Row],[MonthlyIncome]]&lt;5000,"Low",
IF(tbl_HRData[[#This Row],[MonthlyIncome]]&lt;10000,"Medium",
IF(tbl_HRData[[#This Row],[MonthlyIncome]]&lt;15000,"Upper Medium","High")))</f>
        <v>Low</v>
      </c>
      <c r="AM822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823" spans="1:39" x14ac:dyDescent="0.35">
      <c r="A823" s="1">
        <v>822</v>
      </c>
      <c r="B823">
        <v>49</v>
      </c>
      <c r="C823" s="1" t="s">
        <v>40</v>
      </c>
      <c r="D823" s="1" t="s">
        <v>34</v>
      </c>
      <c r="E823">
        <v>174</v>
      </c>
      <c r="F823" s="1" t="s">
        <v>35</v>
      </c>
      <c r="G823">
        <v>8</v>
      </c>
      <c r="H823">
        <v>4</v>
      </c>
      <c r="I823" s="1" t="s">
        <v>57</v>
      </c>
      <c r="J823">
        <v>1138</v>
      </c>
      <c r="K823">
        <v>4</v>
      </c>
      <c r="L823" s="1" t="s">
        <v>43</v>
      </c>
      <c r="M823">
        <v>56</v>
      </c>
      <c r="N823">
        <v>2</v>
      </c>
      <c r="O823">
        <v>4</v>
      </c>
      <c r="P823" s="1" t="s">
        <v>38</v>
      </c>
      <c r="Q823">
        <v>2</v>
      </c>
      <c r="R823" s="1" t="s">
        <v>45</v>
      </c>
      <c r="S823">
        <v>13120</v>
      </c>
      <c r="T823">
        <v>11879</v>
      </c>
      <c r="U823">
        <v>6</v>
      </c>
      <c r="V823" s="1" t="s">
        <v>40</v>
      </c>
      <c r="W823">
        <v>17</v>
      </c>
      <c r="X823">
        <v>3</v>
      </c>
      <c r="Y823">
        <v>2</v>
      </c>
      <c r="Z823">
        <v>80</v>
      </c>
      <c r="AA823">
        <v>1</v>
      </c>
      <c r="AB823">
        <v>22</v>
      </c>
      <c r="AC823">
        <v>3</v>
      </c>
      <c r="AD823">
        <v>3</v>
      </c>
      <c r="AE823">
        <v>9</v>
      </c>
      <c r="AF823">
        <v>8</v>
      </c>
      <c r="AG823">
        <v>2</v>
      </c>
      <c r="AH823">
        <v>3</v>
      </c>
      <c r="AI823">
        <f>IF(tbl_HRData[[#This Row],[Attrition]] = "Yes",1,0)</f>
        <v>0</v>
      </c>
      <c r="AJ823">
        <f>IF(tbl_HRData[[#This Row],[Attrition]] = "No",1,0)</f>
        <v>1</v>
      </c>
      <c r="AK823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823" s="1" t="str">
        <f>IF(tbl_HRData[[#This Row],[MonthlyIncome]]&lt;5000,"Low",
IF(tbl_HRData[[#This Row],[MonthlyIncome]]&lt;10000,"Medium",
IF(tbl_HRData[[#This Row],[MonthlyIncome]]&lt;15000,"Upper Medium","High")))</f>
        <v>Upper Medium</v>
      </c>
      <c r="AM823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824" spans="1:39" x14ac:dyDescent="0.35">
      <c r="A824" s="1">
        <v>823</v>
      </c>
      <c r="B824">
        <v>34</v>
      </c>
      <c r="C824" s="1" t="s">
        <v>40</v>
      </c>
      <c r="D824" s="1" t="s">
        <v>41</v>
      </c>
      <c r="E824">
        <v>1003</v>
      </c>
      <c r="F824" s="1" t="s">
        <v>42</v>
      </c>
      <c r="G824">
        <v>2</v>
      </c>
      <c r="H824">
        <v>2</v>
      </c>
      <c r="I824" s="1" t="s">
        <v>36</v>
      </c>
      <c r="J824">
        <v>1140</v>
      </c>
      <c r="K824">
        <v>4</v>
      </c>
      <c r="L824" s="1" t="s">
        <v>43</v>
      </c>
      <c r="M824">
        <v>95</v>
      </c>
      <c r="N824">
        <v>3</v>
      </c>
      <c r="O824">
        <v>2</v>
      </c>
      <c r="P824" s="1" t="s">
        <v>50</v>
      </c>
      <c r="Q824">
        <v>3</v>
      </c>
      <c r="R824" s="1" t="s">
        <v>39</v>
      </c>
      <c r="S824">
        <v>4033</v>
      </c>
      <c r="T824">
        <v>15834</v>
      </c>
      <c r="U824">
        <v>2</v>
      </c>
      <c r="V824" s="1" t="s">
        <v>40</v>
      </c>
      <c r="W824">
        <v>11</v>
      </c>
      <c r="X824">
        <v>3</v>
      </c>
      <c r="Y824">
        <v>4</v>
      </c>
      <c r="Z824">
        <v>80</v>
      </c>
      <c r="AA824">
        <v>0</v>
      </c>
      <c r="AB824">
        <v>5</v>
      </c>
      <c r="AC824">
        <v>3</v>
      </c>
      <c r="AD824">
        <v>2</v>
      </c>
      <c r="AE824">
        <v>3</v>
      </c>
      <c r="AF824">
        <v>2</v>
      </c>
      <c r="AG824">
        <v>0</v>
      </c>
      <c r="AH824">
        <v>2</v>
      </c>
      <c r="AI824">
        <f>IF(tbl_HRData[[#This Row],[Attrition]] = "Yes",1,0)</f>
        <v>0</v>
      </c>
      <c r="AJ824">
        <f>IF(tbl_HRData[[#This Row],[Attrition]] = "No",1,0)</f>
        <v>1</v>
      </c>
      <c r="AK824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824" s="1" t="str">
        <f>IF(tbl_HRData[[#This Row],[MonthlyIncome]]&lt;5000,"Low",
IF(tbl_HRData[[#This Row],[MonthlyIncome]]&lt;10000,"Medium",
IF(tbl_HRData[[#This Row],[MonthlyIncome]]&lt;15000,"Upper Medium","High")))</f>
        <v>Low</v>
      </c>
      <c r="AM824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825" spans="1:39" x14ac:dyDescent="0.35">
      <c r="A825" s="1">
        <v>824</v>
      </c>
      <c r="B825">
        <v>29</v>
      </c>
      <c r="C825" s="1" t="s">
        <v>40</v>
      </c>
      <c r="D825" s="1" t="s">
        <v>41</v>
      </c>
      <c r="E825">
        <v>490</v>
      </c>
      <c r="F825" s="1" t="s">
        <v>42</v>
      </c>
      <c r="G825">
        <v>10</v>
      </c>
      <c r="H825">
        <v>3</v>
      </c>
      <c r="I825" s="1" t="s">
        <v>36</v>
      </c>
      <c r="J825">
        <v>1143</v>
      </c>
      <c r="K825">
        <v>4</v>
      </c>
      <c r="L825" s="1" t="s">
        <v>37</v>
      </c>
      <c r="M825">
        <v>61</v>
      </c>
      <c r="N825">
        <v>3</v>
      </c>
      <c r="O825">
        <v>1</v>
      </c>
      <c r="P825" s="1" t="s">
        <v>44</v>
      </c>
      <c r="Q825">
        <v>2</v>
      </c>
      <c r="R825" s="1" t="s">
        <v>49</v>
      </c>
      <c r="S825">
        <v>3291</v>
      </c>
      <c r="T825">
        <v>17940</v>
      </c>
      <c r="U825">
        <v>0</v>
      </c>
      <c r="V825" s="1" t="s">
        <v>40</v>
      </c>
      <c r="W825">
        <v>14</v>
      </c>
      <c r="X825">
        <v>3</v>
      </c>
      <c r="Y825">
        <v>4</v>
      </c>
      <c r="Z825">
        <v>80</v>
      </c>
      <c r="AA825">
        <v>2</v>
      </c>
      <c r="AB825">
        <v>8</v>
      </c>
      <c r="AC825">
        <v>2</v>
      </c>
      <c r="AD825">
        <v>2</v>
      </c>
      <c r="AE825">
        <v>7</v>
      </c>
      <c r="AF825">
        <v>5</v>
      </c>
      <c r="AG825">
        <v>1</v>
      </c>
      <c r="AH825">
        <v>1</v>
      </c>
      <c r="AI825">
        <f>IF(tbl_HRData[[#This Row],[Attrition]] = "Yes",1,0)</f>
        <v>0</v>
      </c>
      <c r="AJ825">
        <f>IF(tbl_HRData[[#This Row],[Attrition]] = "No",1,0)</f>
        <v>1</v>
      </c>
      <c r="AK825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825" s="1" t="str">
        <f>IF(tbl_HRData[[#This Row],[MonthlyIncome]]&lt;5000,"Low",
IF(tbl_HRData[[#This Row],[MonthlyIncome]]&lt;10000,"Medium",
IF(tbl_HRData[[#This Row],[MonthlyIncome]]&lt;15000,"Upper Medium","High")))</f>
        <v>Low</v>
      </c>
      <c r="AM825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826" spans="1:39" x14ac:dyDescent="0.35">
      <c r="A826" s="1">
        <v>825</v>
      </c>
      <c r="B826">
        <v>42</v>
      </c>
      <c r="C826" s="1" t="s">
        <v>40</v>
      </c>
      <c r="D826" s="1" t="s">
        <v>34</v>
      </c>
      <c r="E826">
        <v>188</v>
      </c>
      <c r="F826" s="1" t="s">
        <v>42</v>
      </c>
      <c r="G826">
        <v>29</v>
      </c>
      <c r="H826">
        <v>3</v>
      </c>
      <c r="I826" s="1" t="s">
        <v>48</v>
      </c>
      <c r="J826">
        <v>1148</v>
      </c>
      <c r="K826">
        <v>2</v>
      </c>
      <c r="L826" s="1" t="s">
        <v>43</v>
      </c>
      <c r="M826">
        <v>56</v>
      </c>
      <c r="N826">
        <v>1</v>
      </c>
      <c r="O826">
        <v>2</v>
      </c>
      <c r="P826" s="1" t="s">
        <v>47</v>
      </c>
      <c r="Q826">
        <v>4</v>
      </c>
      <c r="R826" s="1" t="s">
        <v>39</v>
      </c>
      <c r="S826">
        <v>4272</v>
      </c>
      <c r="T826">
        <v>9558</v>
      </c>
      <c r="U826">
        <v>4</v>
      </c>
      <c r="V826" s="1" t="s">
        <v>40</v>
      </c>
      <c r="W826">
        <v>19</v>
      </c>
      <c r="X826">
        <v>3</v>
      </c>
      <c r="Y826">
        <v>1</v>
      </c>
      <c r="Z826">
        <v>80</v>
      </c>
      <c r="AA826">
        <v>0</v>
      </c>
      <c r="AB826">
        <v>16</v>
      </c>
      <c r="AC826">
        <v>3</v>
      </c>
      <c r="AD826">
        <v>3</v>
      </c>
      <c r="AE826">
        <v>1</v>
      </c>
      <c r="AF826">
        <v>0</v>
      </c>
      <c r="AG826">
        <v>0</v>
      </c>
      <c r="AH826">
        <v>0</v>
      </c>
      <c r="AI826">
        <f>IF(tbl_HRData[[#This Row],[Attrition]] = "Yes",1,0)</f>
        <v>0</v>
      </c>
      <c r="AJ826">
        <f>IF(tbl_HRData[[#This Row],[Attrition]] = "No",1,0)</f>
        <v>1</v>
      </c>
      <c r="AK826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826" s="1" t="str">
        <f>IF(tbl_HRData[[#This Row],[MonthlyIncome]]&lt;5000,"Low",
IF(tbl_HRData[[#This Row],[MonthlyIncome]]&lt;10000,"Medium",
IF(tbl_HRData[[#This Row],[MonthlyIncome]]&lt;15000,"Upper Medium","High")))</f>
        <v>Low</v>
      </c>
      <c r="AM826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827" spans="1:39" x14ac:dyDescent="0.35">
      <c r="A827" s="1">
        <v>826</v>
      </c>
      <c r="B827">
        <v>29</v>
      </c>
      <c r="C827" s="1" t="s">
        <v>40</v>
      </c>
      <c r="D827" s="1" t="s">
        <v>34</v>
      </c>
      <c r="E827">
        <v>718</v>
      </c>
      <c r="F827" s="1" t="s">
        <v>42</v>
      </c>
      <c r="G827">
        <v>8</v>
      </c>
      <c r="H827">
        <v>1</v>
      </c>
      <c r="I827" s="1" t="s">
        <v>48</v>
      </c>
      <c r="J827">
        <v>1150</v>
      </c>
      <c r="K827">
        <v>2</v>
      </c>
      <c r="L827" s="1" t="s">
        <v>43</v>
      </c>
      <c r="M827">
        <v>79</v>
      </c>
      <c r="N827">
        <v>2</v>
      </c>
      <c r="O827">
        <v>2</v>
      </c>
      <c r="P827" s="1" t="s">
        <v>50</v>
      </c>
      <c r="Q827">
        <v>4</v>
      </c>
      <c r="R827" s="1" t="s">
        <v>45</v>
      </c>
      <c r="S827">
        <v>5056</v>
      </c>
      <c r="T827">
        <v>17689</v>
      </c>
      <c r="U827">
        <v>1</v>
      </c>
      <c r="V827" s="1" t="s">
        <v>33</v>
      </c>
      <c r="W827">
        <v>15</v>
      </c>
      <c r="X827">
        <v>3</v>
      </c>
      <c r="Y827">
        <v>3</v>
      </c>
      <c r="Z827">
        <v>80</v>
      </c>
      <c r="AA827">
        <v>1</v>
      </c>
      <c r="AB827">
        <v>10</v>
      </c>
      <c r="AC827">
        <v>2</v>
      </c>
      <c r="AD827">
        <v>2</v>
      </c>
      <c r="AE827">
        <v>10</v>
      </c>
      <c r="AF827">
        <v>7</v>
      </c>
      <c r="AG827">
        <v>1</v>
      </c>
      <c r="AH827">
        <v>2</v>
      </c>
      <c r="AI827">
        <f>IF(tbl_HRData[[#This Row],[Attrition]] = "Yes",1,0)</f>
        <v>0</v>
      </c>
      <c r="AJ827">
        <f>IF(tbl_HRData[[#This Row],[Attrition]] = "No",1,0)</f>
        <v>1</v>
      </c>
      <c r="AK827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827" s="1" t="str">
        <f>IF(tbl_HRData[[#This Row],[MonthlyIncome]]&lt;5000,"Low",
IF(tbl_HRData[[#This Row],[MonthlyIncome]]&lt;10000,"Medium",
IF(tbl_HRData[[#This Row],[MonthlyIncome]]&lt;15000,"Upper Medium","High")))</f>
        <v>Medium</v>
      </c>
      <c r="AM827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828" spans="1:39" x14ac:dyDescent="0.35">
      <c r="A828" s="1">
        <v>827</v>
      </c>
      <c r="B828">
        <v>38</v>
      </c>
      <c r="C828" s="1" t="s">
        <v>40</v>
      </c>
      <c r="D828" s="1" t="s">
        <v>34</v>
      </c>
      <c r="E828">
        <v>433</v>
      </c>
      <c r="F828" s="1" t="s">
        <v>58</v>
      </c>
      <c r="G828">
        <v>1</v>
      </c>
      <c r="H828">
        <v>3</v>
      </c>
      <c r="I828" s="1" t="s">
        <v>58</v>
      </c>
      <c r="J828">
        <v>1152</v>
      </c>
      <c r="K828">
        <v>3</v>
      </c>
      <c r="L828" s="1" t="s">
        <v>43</v>
      </c>
      <c r="M828">
        <v>37</v>
      </c>
      <c r="N828">
        <v>4</v>
      </c>
      <c r="O828">
        <v>1</v>
      </c>
      <c r="P828" s="1" t="s">
        <v>58</v>
      </c>
      <c r="Q828">
        <v>3</v>
      </c>
      <c r="R828" s="1" t="s">
        <v>45</v>
      </c>
      <c r="S828">
        <v>2844</v>
      </c>
      <c r="T828">
        <v>6004</v>
      </c>
      <c r="U828">
        <v>1</v>
      </c>
      <c r="V828" s="1" t="s">
        <v>40</v>
      </c>
      <c r="W828">
        <v>13</v>
      </c>
      <c r="X828">
        <v>3</v>
      </c>
      <c r="Y828">
        <v>4</v>
      </c>
      <c r="Z828">
        <v>80</v>
      </c>
      <c r="AA828">
        <v>1</v>
      </c>
      <c r="AB828">
        <v>7</v>
      </c>
      <c r="AC828">
        <v>2</v>
      </c>
      <c r="AD828">
        <v>4</v>
      </c>
      <c r="AE828">
        <v>7</v>
      </c>
      <c r="AF828">
        <v>6</v>
      </c>
      <c r="AG828">
        <v>5</v>
      </c>
      <c r="AH828">
        <v>0</v>
      </c>
      <c r="AI828">
        <f>IF(tbl_HRData[[#This Row],[Attrition]] = "Yes",1,0)</f>
        <v>0</v>
      </c>
      <c r="AJ828">
        <f>IF(tbl_HRData[[#This Row],[Attrition]] = "No",1,0)</f>
        <v>1</v>
      </c>
      <c r="AK828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828" s="1" t="str">
        <f>IF(tbl_HRData[[#This Row],[MonthlyIncome]]&lt;5000,"Low",
IF(tbl_HRData[[#This Row],[MonthlyIncome]]&lt;10000,"Medium",
IF(tbl_HRData[[#This Row],[MonthlyIncome]]&lt;15000,"Upper Medium","High")))</f>
        <v>Low</v>
      </c>
      <c r="AM828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829" spans="1:39" x14ac:dyDescent="0.35">
      <c r="A829" s="1">
        <v>828</v>
      </c>
      <c r="B829">
        <v>28</v>
      </c>
      <c r="C829" s="1" t="s">
        <v>40</v>
      </c>
      <c r="D829" s="1" t="s">
        <v>41</v>
      </c>
      <c r="E829">
        <v>773</v>
      </c>
      <c r="F829" s="1" t="s">
        <v>42</v>
      </c>
      <c r="G829">
        <v>6</v>
      </c>
      <c r="H829">
        <v>3</v>
      </c>
      <c r="I829" s="1" t="s">
        <v>36</v>
      </c>
      <c r="J829">
        <v>1154</v>
      </c>
      <c r="K829">
        <v>3</v>
      </c>
      <c r="L829" s="1" t="s">
        <v>43</v>
      </c>
      <c r="M829">
        <v>39</v>
      </c>
      <c r="N829">
        <v>2</v>
      </c>
      <c r="O829">
        <v>1</v>
      </c>
      <c r="P829" s="1" t="s">
        <v>44</v>
      </c>
      <c r="Q829">
        <v>3</v>
      </c>
      <c r="R829" s="1" t="s">
        <v>49</v>
      </c>
      <c r="S829">
        <v>2703</v>
      </c>
      <c r="T829">
        <v>22088</v>
      </c>
      <c r="U829">
        <v>1</v>
      </c>
      <c r="V829" s="1" t="s">
        <v>33</v>
      </c>
      <c r="W829">
        <v>14</v>
      </c>
      <c r="X829">
        <v>3</v>
      </c>
      <c r="Y829">
        <v>4</v>
      </c>
      <c r="Z829">
        <v>80</v>
      </c>
      <c r="AA829">
        <v>1</v>
      </c>
      <c r="AB829">
        <v>3</v>
      </c>
      <c r="AC829">
        <v>2</v>
      </c>
      <c r="AD829">
        <v>3</v>
      </c>
      <c r="AE829">
        <v>3</v>
      </c>
      <c r="AF829">
        <v>1</v>
      </c>
      <c r="AG829">
        <v>0</v>
      </c>
      <c r="AH829">
        <v>2</v>
      </c>
      <c r="AI829">
        <f>IF(tbl_HRData[[#This Row],[Attrition]] = "Yes",1,0)</f>
        <v>0</v>
      </c>
      <c r="AJ829">
        <f>IF(tbl_HRData[[#This Row],[Attrition]] = "No",1,0)</f>
        <v>1</v>
      </c>
      <c r="AK829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829" s="1" t="str">
        <f>IF(tbl_HRData[[#This Row],[MonthlyIncome]]&lt;5000,"Low",
IF(tbl_HRData[[#This Row],[MonthlyIncome]]&lt;10000,"Medium",
IF(tbl_HRData[[#This Row],[MonthlyIncome]]&lt;15000,"Upper Medium","High")))</f>
        <v>Low</v>
      </c>
      <c r="AM829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830" spans="1:39" x14ac:dyDescent="0.35">
      <c r="A830" s="1">
        <v>829</v>
      </c>
      <c r="B830">
        <v>18</v>
      </c>
      <c r="C830" s="1" t="s">
        <v>33</v>
      </c>
      <c r="D830" s="1" t="s">
        <v>52</v>
      </c>
      <c r="E830">
        <v>247</v>
      </c>
      <c r="F830" s="1" t="s">
        <v>42</v>
      </c>
      <c r="G830">
        <v>8</v>
      </c>
      <c r="H830">
        <v>1</v>
      </c>
      <c r="I830" s="1" t="s">
        <v>48</v>
      </c>
      <c r="J830">
        <v>1156</v>
      </c>
      <c r="K830">
        <v>3</v>
      </c>
      <c r="L830" s="1" t="s">
        <v>43</v>
      </c>
      <c r="M830">
        <v>80</v>
      </c>
      <c r="N830">
        <v>3</v>
      </c>
      <c r="O830">
        <v>1</v>
      </c>
      <c r="P830" s="1" t="s">
        <v>47</v>
      </c>
      <c r="Q830">
        <v>3</v>
      </c>
      <c r="R830" s="1" t="s">
        <v>39</v>
      </c>
      <c r="S830">
        <v>1904</v>
      </c>
      <c r="T830">
        <v>13556</v>
      </c>
      <c r="U830">
        <v>1</v>
      </c>
      <c r="V830" s="1" t="s">
        <v>40</v>
      </c>
      <c r="W830">
        <v>12</v>
      </c>
      <c r="X830">
        <v>3</v>
      </c>
      <c r="Y830">
        <v>4</v>
      </c>
      <c r="Z830">
        <v>80</v>
      </c>
      <c r="AA830">
        <v>0</v>
      </c>
      <c r="AB830">
        <v>0</v>
      </c>
      <c r="AC830">
        <v>0</v>
      </c>
      <c r="AD830">
        <v>3</v>
      </c>
      <c r="AE830">
        <v>0</v>
      </c>
      <c r="AF830">
        <v>0</v>
      </c>
      <c r="AG830">
        <v>0</v>
      </c>
      <c r="AH830">
        <v>0</v>
      </c>
      <c r="AI830">
        <f>IF(tbl_HRData[[#This Row],[Attrition]] = "Yes",1,0)</f>
        <v>1</v>
      </c>
      <c r="AJ830">
        <f>IF(tbl_HRData[[#This Row],[Attrition]] = "No",1,0)</f>
        <v>0</v>
      </c>
      <c r="AK830" t="str">
        <f>IF(tbl_HRData[[#This Row],[Age]] &lt; 25, "Under 25", IF(tbl_HRData[[#This Row],[Age]] &lt;= 34, "25-34", IF(tbl_HRData[[#This Row],[Age]] &lt;= 44, "35-44", IF(tbl_HRData[[#This Row],[Age]] &lt;= 54, "45-54", "55+"))))</f>
        <v>Under 25</v>
      </c>
      <c r="AL830" s="1" t="str">
        <f>IF(tbl_HRData[[#This Row],[MonthlyIncome]]&lt;5000,"Low",
IF(tbl_HRData[[#This Row],[MonthlyIncome]]&lt;10000,"Medium",
IF(tbl_HRData[[#This Row],[MonthlyIncome]]&lt;15000,"Upper Medium","High")))</f>
        <v>Low</v>
      </c>
      <c r="AM830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831" spans="1:39" x14ac:dyDescent="0.35">
      <c r="A831" s="1">
        <v>830</v>
      </c>
      <c r="B831">
        <v>33</v>
      </c>
      <c r="C831" s="1" t="s">
        <v>33</v>
      </c>
      <c r="D831" s="1" t="s">
        <v>34</v>
      </c>
      <c r="E831">
        <v>603</v>
      </c>
      <c r="F831" s="1" t="s">
        <v>35</v>
      </c>
      <c r="G831">
        <v>9</v>
      </c>
      <c r="H831">
        <v>4</v>
      </c>
      <c r="I831" s="1" t="s">
        <v>56</v>
      </c>
      <c r="J831">
        <v>1157</v>
      </c>
      <c r="K831">
        <v>1</v>
      </c>
      <c r="L831" s="1" t="s">
        <v>37</v>
      </c>
      <c r="M831">
        <v>77</v>
      </c>
      <c r="N831">
        <v>3</v>
      </c>
      <c r="O831">
        <v>2</v>
      </c>
      <c r="P831" s="1" t="s">
        <v>38</v>
      </c>
      <c r="Q831">
        <v>1</v>
      </c>
      <c r="R831" s="1" t="s">
        <v>39</v>
      </c>
      <c r="S831">
        <v>8224</v>
      </c>
      <c r="T831">
        <v>18385</v>
      </c>
      <c r="U831">
        <v>0</v>
      </c>
      <c r="V831" s="1" t="s">
        <v>33</v>
      </c>
      <c r="W831">
        <v>17</v>
      </c>
      <c r="X831">
        <v>3</v>
      </c>
      <c r="Y831">
        <v>1</v>
      </c>
      <c r="Z831">
        <v>80</v>
      </c>
      <c r="AA831">
        <v>0</v>
      </c>
      <c r="AB831">
        <v>6</v>
      </c>
      <c r="AC831">
        <v>3</v>
      </c>
      <c r="AD831">
        <v>3</v>
      </c>
      <c r="AE831">
        <v>5</v>
      </c>
      <c r="AF831">
        <v>2</v>
      </c>
      <c r="AG831">
        <v>0</v>
      </c>
      <c r="AH831">
        <v>3</v>
      </c>
      <c r="AI831">
        <f>IF(tbl_HRData[[#This Row],[Attrition]] = "Yes",1,0)</f>
        <v>1</v>
      </c>
      <c r="AJ831">
        <f>IF(tbl_HRData[[#This Row],[Attrition]] = "No",1,0)</f>
        <v>0</v>
      </c>
      <c r="AK831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831" s="1" t="str">
        <f>IF(tbl_HRData[[#This Row],[MonthlyIncome]]&lt;5000,"Low",
IF(tbl_HRData[[#This Row],[MonthlyIncome]]&lt;10000,"Medium",
IF(tbl_HRData[[#This Row],[MonthlyIncome]]&lt;15000,"Upper Medium","High")))</f>
        <v>Medium</v>
      </c>
      <c r="AM831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832" spans="1:39" x14ac:dyDescent="0.35">
      <c r="A832" s="1">
        <v>831</v>
      </c>
      <c r="B832">
        <v>41</v>
      </c>
      <c r="C832" s="1" t="s">
        <v>40</v>
      </c>
      <c r="D832" s="1" t="s">
        <v>34</v>
      </c>
      <c r="E832">
        <v>167</v>
      </c>
      <c r="F832" s="1" t="s">
        <v>42</v>
      </c>
      <c r="G832">
        <v>12</v>
      </c>
      <c r="H832">
        <v>4</v>
      </c>
      <c r="I832" s="1" t="s">
        <v>36</v>
      </c>
      <c r="J832">
        <v>1158</v>
      </c>
      <c r="K832">
        <v>2</v>
      </c>
      <c r="L832" s="1" t="s">
        <v>43</v>
      </c>
      <c r="M832">
        <v>46</v>
      </c>
      <c r="N832">
        <v>3</v>
      </c>
      <c r="O832">
        <v>1</v>
      </c>
      <c r="P832" s="1" t="s">
        <v>47</v>
      </c>
      <c r="Q832">
        <v>4</v>
      </c>
      <c r="R832" s="1" t="s">
        <v>45</v>
      </c>
      <c r="S832">
        <v>4766</v>
      </c>
      <c r="T832">
        <v>9051</v>
      </c>
      <c r="U832">
        <v>3</v>
      </c>
      <c r="V832" s="1" t="s">
        <v>33</v>
      </c>
      <c r="W832">
        <v>11</v>
      </c>
      <c r="X832">
        <v>3</v>
      </c>
      <c r="Y832">
        <v>1</v>
      </c>
      <c r="Z832">
        <v>80</v>
      </c>
      <c r="AA832">
        <v>1</v>
      </c>
      <c r="AB832">
        <v>6</v>
      </c>
      <c r="AC832">
        <v>4</v>
      </c>
      <c r="AD832">
        <v>3</v>
      </c>
      <c r="AE832">
        <v>1</v>
      </c>
      <c r="AF832">
        <v>0</v>
      </c>
      <c r="AG832">
        <v>0</v>
      </c>
      <c r="AH832">
        <v>0</v>
      </c>
      <c r="AI832">
        <f>IF(tbl_HRData[[#This Row],[Attrition]] = "Yes",1,0)</f>
        <v>0</v>
      </c>
      <c r="AJ832">
        <f>IF(tbl_HRData[[#This Row],[Attrition]] = "No",1,0)</f>
        <v>1</v>
      </c>
      <c r="AK832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832" s="1" t="str">
        <f>IF(tbl_HRData[[#This Row],[MonthlyIncome]]&lt;5000,"Low",
IF(tbl_HRData[[#This Row],[MonthlyIncome]]&lt;10000,"Medium",
IF(tbl_HRData[[#This Row],[MonthlyIncome]]&lt;15000,"Upper Medium","High")))</f>
        <v>Low</v>
      </c>
      <c r="AM832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833" spans="1:39" x14ac:dyDescent="0.35">
      <c r="A833" s="1">
        <v>832</v>
      </c>
      <c r="B833">
        <v>31</v>
      </c>
      <c r="C833" s="1" t="s">
        <v>33</v>
      </c>
      <c r="D833" s="1" t="s">
        <v>41</v>
      </c>
      <c r="E833">
        <v>874</v>
      </c>
      <c r="F833" s="1" t="s">
        <v>42</v>
      </c>
      <c r="G833">
        <v>15</v>
      </c>
      <c r="H833">
        <v>3</v>
      </c>
      <c r="I833" s="1" t="s">
        <v>48</v>
      </c>
      <c r="J833">
        <v>1160</v>
      </c>
      <c r="K833">
        <v>3</v>
      </c>
      <c r="L833" s="1" t="s">
        <v>43</v>
      </c>
      <c r="M833">
        <v>72</v>
      </c>
      <c r="N833">
        <v>3</v>
      </c>
      <c r="O833">
        <v>1</v>
      </c>
      <c r="P833" s="1" t="s">
        <v>47</v>
      </c>
      <c r="Q833">
        <v>3</v>
      </c>
      <c r="R833" s="1" t="s">
        <v>45</v>
      </c>
      <c r="S833">
        <v>2610</v>
      </c>
      <c r="T833">
        <v>6233</v>
      </c>
      <c r="U833">
        <v>1</v>
      </c>
      <c r="V833" s="1" t="s">
        <v>40</v>
      </c>
      <c r="W833">
        <v>12</v>
      </c>
      <c r="X833">
        <v>3</v>
      </c>
      <c r="Y833">
        <v>3</v>
      </c>
      <c r="Z833">
        <v>80</v>
      </c>
      <c r="AA833">
        <v>1</v>
      </c>
      <c r="AB833">
        <v>2</v>
      </c>
      <c r="AC833">
        <v>5</v>
      </c>
      <c r="AD833">
        <v>2</v>
      </c>
      <c r="AE833">
        <v>2</v>
      </c>
      <c r="AF833">
        <v>2</v>
      </c>
      <c r="AG833">
        <v>2</v>
      </c>
      <c r="AH833">
        <v>2</v>
      </c>
      <c r="AI833">
        <f>IF(tbl_HRData[[#This Row],[Attrition]] = "Yes",1,0)</f>
        <v>1</v>
      </c>
      <c r="AJ833">
        <f>IF(tbl_HRData[[#This Row],[Attrition]] = "No",1,0)</f>
        <v>0</v>
      </c>
      <c r="AK833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833" s="1" t="str">
        <f>IF(tbl_HRData[[#This Row],[MonthlyIncome]]&lt;5000,"Low",
IF(tbl_HRData[[#This Row],[MonthlyIncome]]&lt;10000,"Medium",
IF(tbl_HRData[[#This Row],[MonthlyIncome]]&lt;15000,"Upper Medium","High")))</f>
        <v>Low</v>
      </c>
      <c r="AM833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834" spans="1:39" x14ac:dyDescent="0.35">
      <c r="A834" s="1">
        <v>833</v>
      </c>
      <c r="B834">
        <v>37</v>
      </c>
      <c r="C834" s="1" t="s">
        <v>40</v>
      </c>
      <c r="D834" s="1" t="s">
        <v>34</v>
      </c>
      <c r="E834">
        <v>367</v>
      </c>
      <c r="F834" s="1" t="s">
        <v>42</v>
      </c>
      <c r="G834">
        <v>25</v>
      </c>
      <c r="H834">
        <v>2</v>
      </c>
      <c r="I834" s="1" t="s">
        <v>48</v>
      </c>
      <c r="J834">
        <v>1161</v>
      </c>
      <c r="K834">
        <v>3</v>
      </c>
      <c r="L834" s="1" t="s">
        <v>37</v>
      </c>
      <c r="M834">
        <v>52</v>
      </c>
      <c r="N834">
        <v>2</v>
      </c>
      <c r="O834">
        <v>2</v>
      </c>
      <c r="P834" s="1" t="s">
        <v>51</v>
      </c>
      <c r="Q834">
        <v>4</v>
      </c>
      <c r="R834" s="1" t="s">
        <v>49</v>
      </c>
      <c r="S834">
        <v>5731</v>
      </c>
      <c r="T834">
        <v>17171</v>
      </c>
      <c r="U834">
        <v>7</v>
      </c>
      <c r="V834" s="1" t="s">
        <v>40</v>
      </c>
      <c r="W834">
        <v>13</v>
      </c>
      <c r="X834">
        <v>3</v>
      </c>
      <c r="Y834">
        <v>3</v>
      </c>
      <c r="Z834">
        <v>80</v>
      </c>
      <c r="AA834">
        <v>2</v>
      </c>
      <c r="AB834">
        <v>9</v>
      </c>
      <c r="AC834">
        <v>2</v>
      </c>
      <c r="AD834">
        <v>3</v>
      </c>
      <c r="AE834">
        <v>6</v>
      </c>
      <c r="AF834">
        <v>2</v>
      </c>
      <c r="AG834">
        <v>1</v>
      </c>
      <c r="AH834">
        <v>3</v>
      </c>
      <c r="AI834">
        <f>IF(tbl_HRData[[#This Row],[Attrition]] = "Yes",1,0)</f>
        <v>0</v>
      </c>
      <c r="AJ834">
        <f>IF(tbl_HRData[[#This Row],[Attrition]] = "No",1,0)</f>
        <v>1</v>
      </c>
      <c r="AK834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834" s="1" t="str">
        <f>IF(tbl_HRData[[#This Row],[MonthlyIncome]]&lt;5000,"Low",
IF(tbl_HRData[[#This Row],[MonthlyIncome]]&lt;10000,"Medium",
IF(tbl_HRData[[#This Row],[MonthlyIncome]]&lt;15000,"Upper Medium","High")))</f>
        <v>Medium</v>
      </c>
      <c r="AM834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835" spans="1:39" x14ac:dyDescent="0.35">
      <c r="A835" s="1">
        <v>834</v>
      </c>
      <c r="B835">
        <v>27</v>
      </c>
      <c r="C835" s="1" t="s">
        <v>40</v>
      </c>
      <c r="D835" s="1" t="s">
        <v>34</v>
      </c>
      <c r="E835">
        <v>199</v>
      </c>
      <c r="F835" s="1" t="s">
        <v>42</v>
      </c>
      <c r="G835">
        <v>6</v>
      </c>
      <c r="H835">
        <v>3</v>
      </c>
      <c r="I835" s="1" t="s">
        <v>36</v>
      </c>
      <c r="J835">
        <v>1162</v>
      </c>
      <c r="K835">
        <v>4</v>
      </c>
      <c r="L835" s="1" t="s">
        <v>43</v>
      </c>
      <c r="M835">
        <v>55</v>
      </c>
      <c r="N835">
        <v>2</v>
      </c>
      <c r="O835">
        <v>1</v>
      </c>
      <c r="P835" s="1" t="s">
        <v>44</v>
      </c>
      <c r="Q835">
        <v>3</v>
      </c>
      <c r="R835" s="1" t="s">
        <v>45</v>
      </c>
      <c r="S835">
        <v>2539</v>
      </c>
      <c r="T835">
        <v>7950</v>
      </c>
      <c r="U835">
        <v>1</v>
      </c>
      <c r="V835" s="1" t="s">
        <v>40</v>
      </c>
      <c r="W835">
        <v>13</v>
      </c>
      <c r="X835">
        <v>3</v>
      </c>
      <c r="Y835">
        <v>3</v>
      </c>
      <c r="Z835">
        <v>80</v>
      </c>
      <c r="AA835">
        <v>1</v>
      </c>
      <c r="AB835">
        <v>4</v>
      </c>
      <c r="AC835">
        <v>0</v>
      </c>
      <c r="AD835">
        <v>3</v>
      </c>
      <c r="AE835">
        <v>4</v>
      </c>
      <c r="AF835">
        <v>2</v>
      </c>
      <c r="AG835">
        <v>2</v>
      </c>
      <c r="AH835">
        <v>2</v>
      </c>
      <c r="AI835">
        <f>IF(tbl_HRData[[#This Row],[Attrition]] = "Yes",1,0)</f>
        <v>0</v>
      </c>
      <c r="AJ835">
        <f>IF(tbl_HRData[[#This Row],[Attrition]] = "No",1,0)</f>
        <v>1</v>
      </c>
      <c r="AK835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835" s="1" t="str">
        <f>IF(tbl_HRData[[#This Row],[MonthlyIncome]]&lt;5000,"Low",
IF(tbl_HRData[[#This Row],[MonthlyIncome]]&lt;10000,"Medium",
IF(tbl_HRData[[#This Row],[MonthlyIncome]]&lt;15000,"Upper Medium","High")))</f>
        <v>Low</v>
      </c>
      <c r="AM835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836" spans="1:39" x14ac:dyDescent="0.35">
      <c r="A836" s="1">
        <v>835</v>
      </c>
      <c r="B836">
        <v>34</v>
      </c>
      <c r="C836" s="1" t="s">
        <v>40</v>
      </c>
      <c r="D836" s="1" t="s">
        <v>34</v>
      </c>
      <c r="E836">
        <v>1400</v>
      </c>
      <c r="F836" s="1" t="s">
        <v>35</v>
      </c>
      <c r="G836">
        <v>9</v>
      </c>
      <c r="H836">
        <v>1</v>
      </c>
      <c r="I836" s="1" t="s">
        <v>36</v>
      </c>
      <c r="J836">
        <v>1163</v>
      </c>
      <c r="K836">
        <v>2</v>
      </c>
      <c r="L836" s="1" t="s">
        <v>37</v>
      </c>
      <c r="M836">
        <v>70</v>
      </c>
      <c r="N836">
        <v>3</v>
      </c>
      <c r="O836">
        <v>2</v>
      </c>
      <c r="P836" s="1" t="s">
        <v>38</v>
      </c>
      <c r="Q836">
        <v>3</v>
      </c>
      <c r="R836" s="1" t="s">
        <v>45</v>
      </c>
      <c r="S836">
        <v>5714</v>
      </c>
      <c r="T836">
        <v>5829</v>
      </c>
      <c r="U836">
        <v>1</v>
      </c>
      <c r="V836" s="1" t="s">
        <v>40</v>
      </c>
      <c r="W836">
        <v>20</v>
      </c>
      <c r="X836">
        <v>4</v>
      </c>
      <c r="Y836">
        <v>1</v>
      </c>
      <c r="Z836">
        <v>80</v>
      </c>
      <c r="AA836">
        <v>0</v>
      </c>
      <c r="AB836">
        <v>6</v>
      </c>
      <c r="AC836">
        <v>3</v>
      </c>
      <c r="AD836">
        <v>2</v>
      </c>
      <c r="AE836">
        <v>6</v>
      </c>
      <c r="AF836">
        <v>5</v>
      </c>
      <c r="AG836">
        <v>1</v>
      </c>
      <c r="AH836">
        <v>3</v>
      </c>
      <c r="AI836">
        <f>IF(tbl_HRData[[#This Row],[Attrition]] = "Yes",1,0)</f>
        <v>0</v>
      </c>
      <c r="AJ836">
        <f>IF(tbl_HRData[[#This Row],[Attrition]] = "No",1,0)</f>
        <v>1</v>
      </c>
      <c r="AK836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836" s="1" t="str">
        <f>IF(tbl_HRData[[#This Row],[MonthlyIncome]]&lt;5000,"Low",
IF(tbl_HRData[[#This Row],[MonthlyIncome]]&lt;10000,"Medium",
IF(tbl_HRData[[#This Row],[MonthlyIncome]]&lt;15000,"Upper Medium","High")))</f>
        <v>Medium</v>
      </c>
      <c r="AM836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837" spans="1:39" x14ac:dyDescent="0.35">
      <c r="A837" s="1">
        <v>836</v>
      </c>
      <c r="B837">
        <v>35</v>
      </c>
      <c r="C837" s="1" t="s">
        <v>40</v>
      </c>
      <c r="D837" s="1" t="s">
        <v>34</v>
      </c>
      <c r="E837">
        <v>528</v>
      </c>
      <c r="F837" s="1" t="s">
        <v>58</v>
      </c>
      <c r="G837">
        <v>8</v>
      </c>
      <c r="H837">
        <v>4</v>
      </c>
      <c r="I837" s="1" t="s">
        <v>57</v>
      </c>
      <c r="J837">
        <v>1164</v>
      </c>
      <c r="K837">
        <v>3</v>
      </c>
      <c r="L837" s="1" t="s">
        <v>43</v>
      </c>
      <c r="M837">
        <v>100</v>
      </c>
      <c r="N837">
        <v>3</v>
      </c>
      <c r="O837">
        <v>1</v>
      </c>
      <c r="P837" s="1" t="s">
        <v>58</v>
      </c>
      <c r="Q837">
        <v>3</v>
      </c>
      <c r="R837" s="1" t="s">
        <v>39</v>
      </c>
      <c r="S837">
        <v>4323</v>
      </c>
      <c r="T837">
        <v>7108</v>
      </c>
      <c r="U837">
        <v>1</v>
      </c>
      <c r="V837" s="1" t="s">
        <v>40</v>
      </c>
      <c r="W837">
        <v>17</v>
      </c>
      <c r="X837">
        <v>3</v>
      </c>
      <c r="Y837">
        <v>2</v>
      </c>
      <c r="Z837">
        <v>80</v>
      </c>
      <c r="AA837">
        <v>0</v>
      </c>
      <c r="AB837">
        <v>6</v>
      </c>
      <c r="AC837">
        <v>2</v>
      </c>
      <c r="AD837">
        <v>1</v>
      </c>
      <c r="AE837">
        <v>5</v>
      </c>
      <c r="AF837">
        <v>4</v>
      </c>
      <c r="AG837">
        <v>1</v>
      </c>
      <c r="AH837">
        <v>4</v>
      </c>
      <c r="AI837">
        <f>IF(tbl_HRData[[#This Row],[Attrition]] = "Yes",1,0)</f>
        <v>0</v>
      </c>
      <c r="AJ837">
        <f>IF(tbl_HRData[[#This Row],[Attrition]] = "No",1,0)</f>
        <v>1</v>
      </c>
      <c r="AK837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837" s="1" t="str">
        <f>IF(tbl_HRData[[#This Row],[MonthlyIncome]]&lt;5000,"Low",
IF(tbl_HRData[[#This Row],[MonthlyIncome]]&lt;10000,"Medium",
IF(tbl_HRData[[#This Row],[MonthlyIncome]]&lt;15000,"Upper Medium","High")))</f>
        <v>Low</v>
      </c>
      <c r="AM837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838" spans="1:39" x14ac:dyDescent="0.35">
      <c r="A838" s="1">
        <v>837</v>
      </c>
      <c r="B838">
        <v>29</v>
      </c>
      <c r="C838" s="1" t="s">
        <v>33</v>
      </c>
      <c r="D838" s="1" t="s">
        <v>34</v>
      </c>
      <c r="E838">
        <v>408</v>
      </c>
      <c r="F838" s="1" t="s">
        <v>35</v>
      </c>
      <c r="G838">
        <v>23</v>
      </c>
      <c r="H838">
        <v>1</v>
      </c>
      <c r="I838" s="1" t="s">
        <v>36</v>
      </c>
      <c r="J838">
        <v>1165</v>
      </c>
      <c r="K838">
        <v>4</v>
      </c>
      <c r="L838" s="1" t="s">
        <v>37</v>
      </c>
      <c r="M838">
        <v>45</v>
      </c>
      <c r="N838">
        <v>2</v>
      </c>
      <c r="O838">
        <v>3</v>
      </c>
      <c r="P838" s="1" t="s">
        <v>38</v>
      </c>
      <c r="Q838">
        <v>1</v>
      </c>
      <c r="R838" s="1" t="s">
        <v>45</v>
      </c>
      <c r="S838">
        <v>7336</v>
      </c>
      <c r="T838">
        <v>11162</v>
      </c>
      <c r="U838">
        <v>1</v>
      </c>
      <c r="V838" s="1" t="s">
        <v>40</v>
      </c>
      <c r="W838">
        <v>13</v>
      </c>
      <c r="X838">
        <v>3</v>
      </c>
      <c r="Y838">
        <v>1</v>
      </c>
      <c r="Z838">
        <v>80</v>
      </c>
      <c r="AA838">
        <v>1</v>
      </c>
      <c r="AB838">
        <v>11</v>
      </c>
      <c r="AC838">
        <v>3</v>
      </c>
      <c r="AD838">
        <v>1</v>
      </c>
      <c r="AE838">
        <v>11</v>
      </c>
      <c r="AF838">
        <v>8</v>
      </c>
      <c r="AG838">
        <v>3</v>
      </c>
      <c r="AH838">
        <v>10</v>
      </c>
      <c r="AI838">
        <f>IF(tbl_HRData[[#This Row],[Attrition]] = "Yes",1,0)</f>
        <v>1</v>
      </c>
      <c r="AJ838">
        <f>IF(tbl_HRData[[#This Row],[Attrition]] = "No",1,0)</f>
        <v>0</v>
      </c>
      <c r="AK838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838" s="1" t="str">
        <f>IF(tbl_HRData[[#This Row],[MonthlyIncome]]&lt;5000,"Low",
IF(tbl_HRData[[#This Row],[MonthlyIncome]]&lt;10000,"Medium",
IF(tbl_HRData[[#This Row],[MonthlyIncome]]&lt;15000,"Upper Medium","High")))</f>
        <v>Medium</v>
      </c>
      <c r="AM838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839" spans="1:39" x14ac:dyDescent="0.35">
      <c r="A839" s="1">
        <v>838</v>
      </c>
      <c r="B839">
        <v>40</v>
      </c>
      <c r="C839" s="1" t="s">
        <v>40</v>
      </c>
      <c r="D839" s="1" t="s">
        <v>41</v>
      </c>
      <c r="E839">
        <v>593</v>
      </c>
      <c r="F839" s="1" t="s">
        <v>42</v>
      </c>
      <c r="G839">
        <v>9</v>
      </c>
      <c r="H839">
        <v>4</v>
      </c>
      <c r="I839" s="1" t="s">
        <v>48</v>
      </c>
      <c r="J839">
        <v>1166</v>
      </c>
      <c r="K839">
        <v>2</v>
      </c>
      <c r="L839" s="1" t="s">
        <v>37</v>
      </c>
      <c r="M839">
        <v>88</v>
      </c>
      <c r="N839">
        <v>3</v>
      </c>
      <c r="O839">
        <v>3</v>
      </c>
      <c r="P839" s="1" t="s">
        <v>55</v>
      </c>
      <c r="Q839">
        <v>3</v>
      </c>
      <c r="R839" s="1" t="s">
        <v>39</v>
      </c>
      <c r="S839">
        <v>13499</v>
      </c>
      <c r="T839">
        <v>13782</v>
      </c>
      <c r="U839">
        <v>9</v>
      </c>
      <c r="V839" s="1" t="s">
        <v>40</v>
      </c>
      <c r="W839">
        <v>17</v>
      </c>
      <c r="X839">
        <v>3</v>
      </c>
      <c r="Y839">
        <v>3</v>
      </c>
      <c r="Z839">
        <v>80</v>
      </c>
      <c r="AA839">
        <v>0</v>
      </c>
      <c r="AB839">
        <v>20</v>
      </c>
      <c r="AC839">
        <v>3</v>
      </c>
      <c r="AD839">
        <v>2</v>
      </c>
      <c r="AE839">
        <v>18</v>
      </c>
      <c r="AF839">
        <v>7</v>
      </c>
      <c r="AG839">
        <v>2</v>
      </c>
      <c r="AH839">
        <v>13</v>
      </c>
      <c r="AI839">
        <f>IF(tbl_HRData[[#This Row],[Attrition]] = "Yes",1,0)</f>
        <v>0</v>
      </c>
      <c r="AJ839">
        <f>IF(tbl_HRData[[#This Row],[Attrition]] = "No",1,0)</f>
        <v>1</v>
      </c>
      <c r="AK839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839" s="1" t="str">
        <f>IF(tbl_HRData[[#This Row],[MonthlyIncome]]&lt;5000,"Low",
IF(tbl_HRData[[#This Row],[MonthlyIncome]]&lt;10000,"Medium",
IF(tbl_HRData[[#This Row],[MonthlyIncome]]&lt;15000,"Upper Medium","High")))</f>
        <v>Upper Medium</v>
      </c>
      <c r="AM839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840" spans="1:39" x14ac:dyDescent="0.35">
      <c r="A840" s="1">
        <v>839</v>
      </c>
      <c r="B840">
        <v>42</v>
      </c>
      <c r="C840" s="1" t="s">
        <v>33</v>
      </c>
      <c r="D840" s="1" t="s">
        <v>41</v>
      </c>
      <c r="E840">
        <v>481</v>
      </c>
      <c r="F840" s="1" t="s">
        <v>35</v>
      </c>
      <c r="G840">
        <v>12</v>
      </c>
      <c r="H840">
        <v>3</v>
      </c>
      <c r="I840" s="1" t="s">
        <v>36</v>
      </c>
      <c r="J840">
        <v>1167</v>
      </c>
      <c r="K840">
        <v>3</v>
      </c>
      <c r="L840" s="1" t="s">
        <v>43</v>
      </c>
      <c r="M840">
        <v>44</v>
      </c>
      <c r="N840">
        <v>3</v>
      </c>
      <c r="O840">
        <v>4</v>
      </c>
      <c r="P840" s="1" t="s">
        <v>38</v>
      </c>
      <c r="Q840">
        <v>1</v>
      </c>
      <c r="R840" s="1" t="s">
        <v>39</v>
      </c>
      <c r="S840">
        <v>13758</v>
      </c>
      <c r="T840">
        <v>2447</v>
      </c>
      <c r="U840">
        <v>0</v>
      </c>
      <c r="V840" s="1" t="s">
        <v>33</v>
      </c>
      <c r="W840">
        <v>12</v>
      </c>
      <c r="X840">
        <v>3</v>
      </c>
      <c r="Y840">
        <v>2</v>
      </c>
      <c r="Z840">
        <v>80</v>
      </c>
      <c r="AA840">
        <v>0</v>
      </c>
      <c r="AB840">
        <v>22</v>
      </c>
      <c r="AC840">
        <v>2</v>
      </c>
      <c r="AD840">
        <v>2</v>
      </c>
      <c r="AE840">
        <v>21</v>
      </c>
      <c r="AF840">
        <v>9</v>
      </c>
      <c r="AG840">
        <v>13</v>
      </c>
      <c r="AH840">
        <v>14</v>
      </c>
      <c r="AI840">
        <f>IF(tbl_HRData[[#This Row],[Attrition]] = "Yes",1,0)</f>
        <v>1</v>
      </c>
      <c r="AJ840">
        <f>IF(tbl_HRData[[#This Row],[Attrition]] = "No",1,0)</f>
        <v>0</v>
      </c>
      <c r="AK840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840" s="1" t="str">
        <f>IF(tbl_HRData[[#This Row],[MonthlyIncome]]&lt;5000,"Low",
IF(tbl_HRData[[#This Row],[MonthlyIncome]]&lt;10000,"Medium",
IF(tbl_HRData[[#This Row],[MonthlyIncome]]&lt;15000,"Upper Medium","High")))</f>
        <v>Upper Medium</v>
      </c>
      <c r="AM840" s="1" t="str">
        <f>IF(tbl_HRData[[#This Row],[YearsAtCompany]]&lt;=5,"0-5 Years",
IF(tbl_HRData[[#This Row],[YearsAtCompany]]&lt;=10,"6-10 Years",
IF(tbl_HRData[[#This Row],[YearsAtCompany]]&lt;=20,"11-20 Years","21+ Years")))</f>
        <v>21+ Years</v>
      </c>
    </row>
    <row r="841" spans="1:39" x14ac:dyDescent="0.35">
      <c r="A841" s="1">
        <v>840</v>
      </c>
      <c r="B841">
        <v>42</v>
      </c>
      <c r="C841" s="1" t="s">
        <v>40</v>
      </c>
      <c r="D841" s="1" t="s">
        <v>34</v>
      </c>
      <c r="E841">
        <v>647</v>
      </c>
      <c r="F841" s="1" t="s">
        <v>35</v>
      </c>
      <c r="G841">
        <v>4</v>
      </c>
      <c r="H841">
        <v>4</v>
      </c>
      <c r="I841" s="1" t="s">
        <v>56</v>
      </c>
      <c r="J841">
        <v>1171</v>
      </c>
      <c r="K841">
        <v>2</v>
      </c>
      <c r="L841" s="1" t="s">
        <v>43</v>
      </c>
      <c r="M841">
        <v>45</v>
      </c>
      <c r="N841">
        <v>3</v>
      </c>
      <c r="O841">
        <v>2</v>
      </c>
      <c r="P841" s="1" t="s">
        <v>38</v>
      </c>
      <c r="Q841">
        <v>1</v>
      </c>
      <c r="R841" s="1" t="s">
        <v>39</v>
      </c>
      <c r="S841">
        <v>5155</v>
      </c>
      <c r="T841">
        <v>2253</v>
      </c>
      <c r="U841">
        <v>7</v>
      </c>
      <c r="V841" s="1" t="s">
        <v>40</v>
      </c>
      <c r="W841">
        <v>13</v>
      </c>
      <c r="X841">
        <v>3</v>
      </c>
      <c r="Y841">
        <v>4</v>
      </c>
      <c r="Z841">
        <v>80</v>
      </c>
      <c r="AA841">
        <v>0</v>
      </c>
      <c r="AB841">
        <v>9</v>
      </c>
      <c r="AC841">
        <v>3</v>
      </c>
      <c r="AD841">
        <v>4</v>
      </c>
      <c r="AE841">
        <v>6</v>
      </c>
      <c r="AF841">
        <v>4</v>
      </c>
      <c r="AG841">
        <v>1</v>
      </c>
      <c r="AH841">
        <v>5</v>
      </c>
      <c r="AI841">
        <f>IF(tbl_HRData[[#This Row],[Attrition]] = "Yes",1,0)</f>
        <v>0</v>
      </c>
      <c r="AJ841">
        <f>IF(tbl_HRData[[#This Row],[Attrition]] = "No",1,0)</f>
        <v>1</v>
      </c>
      <c r="AK841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841" s="1" t="str">
        <f>IF(tbl_HRData[[#This Row],[MonthlyIncome]]&lt;5000,"Low",
IF(tbl_HRData[[#This Row],[MonthlyIncome]]&lt;10000,"Medium",
IF(tbl_HRData[[#This Row],[MonthlyIncome]]&lt;15000,"Upper Medium","High")))</f>
        <v>Medium</v>
      </c>
      <c r="AM841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842" spans="1:39" x14ac:dyDescent="0.35">
      <c r="A842" s="1">
        <v>841</v>
      </c>
      <c r="B842">
        <v>35</v>
      </c>
      <c r="C842" s="1" t="s">
        <v>40</v>
      </c>
      <c r="D842" s="1" t="s">
        <v>34</v>
      </c>
      <c r="E842">
        <v>982</v>
      </c>
      <c r="F842" s="1" t="s">
        <v>42</v>
      </c>
      <c r="G842">
        <v>1</v>
      </c>
      <c r="H842">
        <v>4</v>
      </c>
      <c r="I842" s="1" t="s">
        <v>48</v>
      </c>
      <c r="J842">
        <v>1172</v>
      </c>
      <c r="K842">
        <v>4</v>
      </c>
      <c r="L842" s="1" t="s">
        <v>43</v>
      </c>
      <c r="M842">
        <v>58</v>
      </c>
      <c r="N842">
        <v>2</v>
      </c>
      <c r="O842">
        <v>1</v>
      </c>
      <c r="P842" s="1" t="s">
        <v>47</v>
      </c>
      <c r="Q842">
        <v>3</v>
      </c>
      <c r="R842" s="1" t="s">
        <v>45</v>
      </c>
      <c r="S842">
        <v>2258</v>
      </c>
      <c r="T842">
        <v>16340</v>
      </c>
      <c r="U842">
        <v>6</v>
      </c>
      <c r="V842" s="1" t="s">
        <v>40</v>
      </c>
      <c r="W842">
        <v>12</v>
      </c>
      <c r="X842">
        <v>3</v>
      </c>
      <c r="Y842">
        <v>2</v>
      </c>
      <c r="Z842">
        <v>80</v>
      </c>
      <c r="AA842">
        <v>1</v>
      </c>
      <c r="AB842">
        <v>10</v>
      </c>
      <c r="AC842">
        <v>2</v>
      </c>
      <c r="AD842">
        <v>3</v>
      </c>
      <c r="AE842">
        <v>8</v>
      </c>
      <c r="AF842">
        <v>0</v>
      </c>
      <c r="AG842">
        <v>1</v>
      </c>
      <c r="AH842">
        <v>7</v>
      </c>
      <c r="AI842">
        <f>IF(tbl_HRData[[#This Row],[Attrition]] = "Yes",1,0)</f>
        <v>0</v>
      </c>
      <c r="AJ842">
        <f>IF(tbl_HRData[[#This Row],[Attrition]] = "No",1,0)</f>
        <v>1</v>
      </c>
      <c r="AK842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842" s="1" t="str">
        <f>IF(tbl_HRData[[#This Row],[MonthlyIncome]]&lt;5000,"Low",
IF(tbl_HRData[[#This Row],[MonthlyIncome]]&lt;10000,"Medium",
IF(tbl_HRData[[#This Row],[MonthlyIncome]]&lt;15000,"Upper Medium","High")))</f>
        <v>Low</v>
      </c>
      <c r="AM842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843" spans="1:39" x14ac:dyDescent="0.35">
      <c r="A843" s="1">
        <v>842</v>
      </c>
      <c r="B843">
        <v>24</v>
      </c>
      <c r="C843" s="1" t="s">
        <v>40</v>
      </c>
      <c r="D843" s="1" t="s">
        <v>34</v>
      </c>
      <c r="E843">
        <v>477</v>
      </c>
      <c r="F843" s="1" t="s">
        <v>42</v>
      </c>
      <c r="G843">
        <v>24</v>
      </c>
      <c r="H843">
        <v>3</v>
      </c>
      <c r="I843" s="1" t="s">
        <v>48</v>
      </c>
      <c r="J843">
        <v>1173</v>
      </c>
      <c r="K843">
        <v>4</v>
      </c>
      <c r="L843" s="1" t="s">
        <v>43</v>
      </c>
      <c r="M843">
        <v>49</v>
      </c>
      <c r="N843">
        <v>3</v>
      </c>
      <c r="O843">
        <v>1</v>
      </c>
      <c r="P843" s="1" t="s">
        <v>47</v>
      </c>
      <c r="Q843">
        <v>2</v>
      </c>
      <c r="R843" s="1" t="s">
        <v>39</v>
      </c>
      <c r="S843">
        <v>3597</v>
      </c>
      <c r="T843">
        <v>6409</v>
      </c>
      <c r="U843">
        <v>8</v>
      </c>
      <c r="V843" s="1" t="s">
        <v>40</v>
      </c>
      <c r="W843">
        <v>22</v>
      </c>
      <c r="X843">
        <v>4</v>
      </c>
      <c r="Y843">
        <v>4</v>
      </c>
      <c r="Z843">
        <v>80</v>
      </c>
      <c r="AA843">
        <v>0</v>
      </c>
      <c r="AB843">
        <v>6</v>
      </c>
      <c r="AC843">
        <v>2</v>
      </c>
      <c r="AD843">
        <v>3</v>
      </c>
      <c r="AE843">
        <v>4</v>
      </c>
      <c r="AF843">
        <v>3</v>
      </c>
      <c r="AG843">
        <v>1</v>
      </c>
      <c r="AH843">
        <v>2</v>
      </c>
      <c r="AI843">
        <f>IF(tbl_HRData[[#This Row],[Attrition]] = "Yes",1,0)</f>
        <v>0</v>
      </c>
      <c r="AJ843">
        <f>IF(tbl_HRData[[#This Row],[Attrition]] = "No",1,0)</f>
        <v>1</v>
      </c>
      <c r="AK843" t="str">
        <f>IF(tbl_HRData[[#This Row],[Age]] &lt; 25, "Under 25", IF(tbl_HRData[[#This Row],[Age]] &lt;= 34, "25-34", IF(tbl_HRData[[#This Row],[Age]] &lt;= 44, "35-44", IF(tbl_HRData[[#This Row],[Age]] &lt;= 54, "45-54", "55+"))))</f>
        <v>Under 25</v>
      </c>
      <c r="AL843" s="1" t="str">
        <f>IF(tbl_HRData[[#This Row],[MonthlyIncome]]&lt;5000,"Low",
IF(tbl_HRData[[#This Row],[MonthlyIncome]]&lt;10000,"Medium",
IF(tbl_HRData[[#This Row],[MonthlyIncome]]&lt;15000,"Upper Medium","High")))</f>
        <v>Low</v>
      </c>
      <c r="AM843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844" spans="1:39" x14ac:dyDescent="0.35">
      <c r="A844" s="1">
        <v>843</v>
      </c>
      <c r="B844">
        <v>28</v>
      </c>
      <c r="C844" s="1" t="s">
        <v>33</v>
      </c>
      <c r="D844" s="1" t="s">
        <v>34</v>
      </c>
      <c r="E844">
        <v>1485</v>
      </c>
      <c r="F844" s="1" t="s">
        <v>42</v>
      </c>
      <c r="G844">
        <v>12</v>
      </c>
      <c r="H844">
        <v>1</v>
      </c>
      <c r="I844" s="1" t="s">
        <v>36</v>
      </c>
      <c r="J844">
        <v>1175</v>
      </c>
      <c r="K844">
        <v>3</v>
      </c>
      <c r="L844" s="1" t="s">
        <v>37</v>
      </c>
      <c r="M844">
        <v>79</v>
      </c>
      <c r="N844">
        <v>3</v>
      </c>
      <c r="O844">
        <v>1</v>
      </c>
      <c r="P844" s="1" t="s">
        <v>47</v>
      </c>
      <c r="Q844">
        <v>4</v>
      </c>
      <c r="R844" s="1" t="s">
        <v>45</v>
      </c>
      <c r="S844">
        <v>2515</v>
      </c>
      <c r="T844">
        <v>22955</v>
      </c>
      <c r="U844">
        <v>1</v>
      </c>
      <c r="V844" s="1" t="s">
        <v>33</v>
      </c>
      <c r="W844">
        <v>11</v>
      </c>
      <c r="X844">
        <v>3</v>
      </c>
      <c r="Y844">
        <v>4</v>
      </c>
      <c r="Z844">
        <v>80</v>
      </c>
      <c r="AA844">
        <v>0</v>
      </c>
      <c r="AB844">
        <v>1</v>
      </c>
      <c r="AC844">
        <v>4</v>
      </c>
      <c r="AD844">
        <v>2</v>
      </c>
      <c r="AE844">
        <v>1</v>
      </c>
      <c r="AF844">
        <v>1</v>
      </c>
      <c r="AG844">
        <v>0</v>
      </c>
      <c r="AH844">
        <v>0</v>
      </c>
      <c r="AI844">
        <f>IF(tbl_HRData[[#This Row],[Attrition]] = "Yes",1,0)</f>
        <v>1</v>
      </c>
      <c r="AJ844">
        <f>IF(tbl_HRData[[#This Row],[Attrition]] = "No",1,0)</f>
        <v>0</v>
      </c>
      <c r="AK844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844" s="1" t="str">
        <f>IF(tbl_HRData[[#This Row],[MonthlyIncome]]&lt;5000,"Low",
IF(tbl_HRData[[#This Row],[MonthlyIncome]]&lt;10000,"Medium",
IF(tbl_HRData[[#This Row],[MonthlyIncome]]&lt;15000,"Upper Medium","High")))</f>
        <v>Low</v>
      </c>
      <c r="AM844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845" spans="1:39" x14ac:dyDescent="0.35">
      <c r="A845" s="1">
        <v>844</v>
      </c>
      <c r="B845">
        <v>26</v>
      </c>
      <c r="C845" s="1" t="s">
        <v>40</v>
      </c>
      <c r="D845" s="1" t="s">
        <v>34</v>
      </c>
      <c r="E845">
        <v>1384</v>
      </c>
      <c r="F845" s="1" t="s">
        <v>42</v>
      </c>
      <c r="G845">
        <v>3</v>
      </c>
      <c r="H845">
        <v>4</v>
      </c>
      <c r="I845" s="1" t="s">
        <v>48</v>
      </c>
      <c r="J845">
        <v>1177</v>
      </c>
      <c r="K845">
        <v>1</v>
      </c>
      <c r="L845" s="1" t="s">
        <v>43</v>
      </c>
      <c r="M845">
        <v>82</v>
      </c>
      <c r="N845">
        <v>4</v>
      </c>
      <c r="O845">
        <v>1</v>
      </c>
      <c r="P845" s="1" t="s">
        <v>47</v>
      </c>
      <c r="Q845">
        <v>4</v>
      </c>
      <c r="R845" s="1" t="s">
        <v>45</v>
      </c>
      <c r="S845">
        <v>4420</v>
      </c>
      <c r="T845">
        <v>13421</v>
      </c>
      <c r="U845">
        <v>1</v>
      </c>
      <c r="V845" s="1" t="s">
        <v>40</v>
      </c>
      <c r="W845">
        <v>22</v>
      </c>
      <c r="X845">
        <v>4</v>
      </c>
      <c r="Y845">
        <v>2</v>
      </c>
      <c r="Z845">
        <v>80</v>
      </c>
      <c r="AA845">
        <v>1</v>
      </c>
      <c r="AB845">
        <v>8</v>
      </c>
      <c r="AC845">
        <v>2</v>
      </c>
      <c r="AD845">
        <v>3</v>
      </c>
      <c r="AE845">
        <v>8</v>
      </c>
      <c r="AF845">
        <v>7</v>
      </c>
      <c r="AG845">
        <v>0</v>
      </c>
      <c r="AH845">
        <v>7</v>
      </c>
      <c r="AI845">
        <f>IF(tbl_HRData[[#This Row],[Attrition]] = "Yes",1,0)</f>
        <v>0</v>
      </c>
      <c r="AJ845">
        <f>IF(tbl_HRData[[#This Row],[Attrition]] = "No",1,0)</f>
        <v>1</v>
      </c>
      <c r="AK845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845" s="1" t="str">
        <f>IF(tbl_HRData[[#This Row],[MonthlyIncome]]&lt;5000,"Low",
IF(tbl_HRData[[#This Row],[MonthlyIncome]]&lt;10000,"Medium",
IF(tbl_HRData[[#This Row],[MonthlyIncome]]&lt;15000,"Upper Medium","High")))</f>
        <v>Low</v>
      </c>
      <c r="AM845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846" spans="1:39" x14ac:dyDescent="0.35">
      <c r="A846" s="1">
        <v>845</v>
      </c>
      <c r="B846">
        <v>30</v>
      </c>
      <c r="C846" s="1" t="s">
        <v>40</v>
      </c>
      <c r="D846" s="1" t="s">
        <v>34</v>
      </c>
      <c r="E846">
        <v>852</v>
      </c>
      <c r="F846" s="1" t="s">
        <v>35</v>
      </c>
      <c r="G846">
        <v>10</v>
      </c>
      <c r="H846">
        <v>3</v>
      </c>
      <c r="I846" s="1" t="s">
        <v>56</v>
      </c>
      <c r="J846">
        <v>1179</v>
      </c>
      <c r="K846">
        <v>3</v>
      </c>
      <c r="L846" s="1" t="s">
        <v>43</v>
      </c>
      <c r="M846">
        <v>72</v>
      </c>
      <c r="N846">
        <v>2</v>
      </c>
      <c r="O846">
        <v>2</v>
      </c>
      <c r="P846" s="1" t="s">
        <v>38</v>
      </c>
      <c r="Q846">
        <v>3</v>
      </c>
      <c r="R846" s="1" t="s">
        <v>45</v>
      </c>
      <c r="S846">
        <v>6578</v>
      </c>
      <c r="T846">
        <v>2706</v>
      </c>
      <c r="U846">
        <v>1</v>
      </c>
      <c r="V846" s="1" t="s">
        <v>40</v>
      </c>
      <c r="W846">
        <v>18</v>
      </c>
      <c r="X846">
        <v>3</v>
      </c>
      <c r="Y846">
        <v>1</v>
      </c>
      <c r="Z846">
        <v>80</v>
      </c>
      <c r="AA846">
        <v>1</v>
      </c>
      <c r="AB846">
        <v>10</v>
      </c>
      <c r="AC846">
        <v>3</v>
      </c>
      <c r="AD846">
        <v>3</v>
      </c>
      <c r="AE846">
        <v>10</v>
      </c>
      <c r="AF846">
        <v>3</v>
      </c>
      <c r="AG846">
        <v>1</v>
      </c>
      <c r="AH846">
        <v>4</v>
      </c>
      <c r="AI846">
        <f>IF(tbl_HRData[[#This Row],[Attrition]] = "Yes",1,0)</f>
        <v>0</v>
      </c>
      <c r="AJ846">
        <f>IF(tbl_HRData[[#This Row],[Attrition]] = "No",1,0)</f>
        <v>1</v>
      </c>
      <c r="AK846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846" s="1" t="str">
        <f>IF(tbl_HRData[[#This Row],[MonthlyIncome]]&lt;5000,"Low",
IF(tbl_HRData[[#This Row],[MonthlyIncome]]&lt;10000,"Medium",
IF(tbl_HRData[[#This Row],[MonthlyIncome]]&lt;15000,"Upper Medium","High")))</f>
        <v>Medium</v>
      </c>
      <c r="AM846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847" spans="1:39" x14ac:dyDescent="0.35">
      <c r="A847" s="1">
        <v>846</v>
      </c>
      <c r="B847">
        <v>40</v>
      </c>
      <c r="C847" s="1" t="s">
        <v>40</v>
      </c>
      <c r="D847" s="1" t="s">
        <v>41</v>
      </c>
      <c r="E847">
        <v>902</v>
      </c>
      <c r="F847" s="1" t="s">
        <v>42</v>
      </c>
      <c r="G847">
        <v>26</v>
      </c>
      <c r="H847">
        <v>2</v>
      </c>
      <c r="I847" s="1" t="s">
        <v>48</v>
      </c>
      <c r="J847">
        <v>1180</v>
      </c>
      <c r="K847">
        <v>3</v>
      </c>
      <c r="L847" s="1" t="s">
        <v>37</v>
      </c>
      <c r="M847">
        <v>92</v>
      </c>
      <c r="N847">
        <v>2</v>
      </c>
      <c r="O847">
        <v>2</v>
      </c>
      <c r="P847" s="1" t="s">
        <v>44</v>
      </c>
      <c r="Q847">
        <v>4</v>
      </c>
      <c r="R847" s="1" t="s">
        <v>45</v>
      </c>
      <c r="S847">
        <v>4422</v>
      </c>
      <c r="T847">
        <v>21203</v>
      </c>
      <c r="U847">
        <v>3</v>
      </c>
      <c r="V847" s="1" t="s">
        <v>33</v>
      </c>
      <c r="W847">
        <v>13</v>
      </c>
      <c r="X847">
        <v>3</v>
      </c>
      <c r="Y847">
        <v>4</v>
      </c>
      <c r="Z847">
        <v>80</v>
      </c>
      <c r="AA847">
        <v>1</v>
      </c>
      <c r="AB847">
        <v>16</v>
      </c>
      <c r="AC847">
        <v>3</v>
      </c>
      <c r="AD847">
        <v>1</v>
      </c>
      <c r="AE847">
        <v>1</v>
      </c>
      <c r="AF847">
        <v>1</v>
      </c>
      <c r="AG847">
        <v>0</v>
      </c>
      <c r="AH847">
        <v>0</v>
      </c>
      <c r="AI847">
        <f>IF(tbl_HRData[[#This Row],[Attrition]] = "Yes",1,0)</f>
        <v>0</v>
      </c>
      <c r="AJ847">
        <f>IF(tbl_HRData[[#This Row],[Attrition]] = "No",1,0)</f>
        <v>1</v>
      </c>
      <c r="AK847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847" s="1" t="str">
        <f>IF(tbl_HRData[[#This Row],[MonthlyIncome]]&lt;5000,"Low",
IF(tbl_HRData[[#This Row],[MonthlyIncome]]&lt;10000,"Medium",
IF(tbl_HRData[[#This Row],[MonthlyIncome]]&lt;15000,"Upper Medium","High")))</f>
        <v>Low</v>
      </c>
      <c r="AM847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848" spans="1:39" x14ac:dyDescent="0.35">
      <c r="A848" s="1">
        <v>847</v>
      </c>
      <c r="B848">
        <v>35</v>
      </c>
      <c r="C848" s="1" t="s">
        <v>40</v>
      </c>
      <c r="D848" s="1" t="s">
        <v>34</v>
      </c>
      <c r="E848">
        <v>819</v>
      </c>
      <c r="F848" s="1" t="s">
        <v>42</v>
      </c>
      <c r="G848">
        <v>2</v>
      </c>
      <c r="H848">
        <v>3</v>
      </c>
      <c r="I848" s="1" t="s">
        <v>36</v>
      </c>
      <c r="J848">
        <v>1182</v>
      </c>
      <c r="K848">
        <v>3</v>
      </c>
      <c r="L848" s="1" t="s">
        <v>43</v>
      </c>
      <c r="M848">
        <v>44</v>
      </c>
      <c r="N848">
        <v>2</v>
      </c>
      <c r="O848">
        <v>3</v>
      </c>
      <c r="P848" s="1" t="s">
        <v>50</v>
      </c>
      <c r="Q848">
        <v>2</v>
      </c>
      <c r="R848" s="1" t="s">
        <v>49</v>
      </c>
      <c r="S848">
        <v>10274</v>
      </c>
      <c r="T848">
        <v>19588</v>
      </c>
      <c r="U848">
        <v>2</v>
      </c>
      <c r="V848" s="1" t="s">
        <v>40</v>
      </c>
      <c r="W848">
        <v>18</v>
      </c>
      <c r="X848">
        <v>3</v>
      </c>
      <c r="Y848">
        <v>2</v>
      </c>
      <c r="Z848">
        <v>80</v>
      </c>
      <c r="AA848">
        <v>1</v>
      </c>
      <c r="AB848">
        <v>15</v>
      </c>
      <c r="AC848">
        <v>2</v>
      </c>
      <c r="AD848">
        <v>4</v>
      </c>
      <c r="AE848">
        <v>7</v>
      </c>
      <c r="AF848">
        <v>7</v>
      </c>
      <c r="AG848">
        <v>6</v>
      </c>
      <c r="AH848">
        <v>4</v>
      </c>
      <c r="AI848">
        <f>IF(tbl_HRData[[#This Row],[Attrition]] = "Yes",1,0)</f>
        <v>0</v>
      </c>
      <c r="AJ848">
        <f>IF(tbl_HRData[[#This Row],[Attrition]] = "No",1,0)</f>
        <v>1</v>
      </c>
      <c r="AK848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848" s="1" t="str">
        <f>IF(tbl_HRData[[#This Row],[MonthlyIncome]]&lt;5000,"Low",
IF(tbl_HRData[[#This Row],[MonthlyIncome]]&lt;10000,"Medium",
IF(tbl_HRData[[#This Row],[MonthlyIncome]]&lt;15000,"Upper Medium","High")))</f>
        <v>Upper Medium</v>
      </c>
      <c r="AM848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849" spans="1:39" x14ac:dyDescent="0.35">
      <c r="A849" s="1">
        <v>848</v>
      </c>
      <c r="B849">
        <v>34</v>
      </c>
      <c r="C849" s="1" t="s">
        <v>40</v>
      </c>
      <c r="D849" s="1" t="s">
        <v>41</v>
      </c>
      <c r="E849">
        <v>669</v>
      </c>
      <c r="F849" s="1" t="s">
        <v>42</v>
      </c>
      <c r="G849">
        <v>1</v>
      </c>
      <c r="H849">
        <v>3</v>
      </c>
      <c r="I849" s="1" t="s">
        <v>48</v>
      </c>
      <c r="J849">
        <v>1184</v>
      </c>
      <c r="K849">
        <v>4</v>
      </c>
      <c r="L849" s="1" t="s">
        <v>43</v>
      </c>
      <c r="M849">
        <v>97</v>
      </c>
      <c r="N849">
        <v>2</v>
      </c>
      <c r="O849">
        <v>2</v>
      </c>
      <c r="P849" s="1" t="s">
        <v>51</v>
      </c>
      <c r="Q849">
        <v>1</v>
      </c>
      <c r="R849" s="1" t="s">
        <v>39</v>
      </c>
      <c r="S849">
        <v>5343</v>
      </c>
      <c r="T849">
        <v>25755</v>
      </c>
      <c r="U849">
        <v>0</v>
      </c>
      <c r="V849" s="1" t="s">
        <v>40</v>
      </c>
      <c r="W849">
        <v>20</v>
      </c>
      <c r="X849">
        <v>4</v>
      </c>
      <c r="Y849">
        <v>3</v>
      </c>
      <c r="Z849">
        <v>80</v>
      </c>
      <c r="AA849">
        <v>0</v>
      </c>
      <c r="AB849">
        <v>14</v>
      </c>
      <c r="AC849">
        <v>3</v>
      </c>
      <c r="AD849">
        <v>3</v>
      </c>
      <c r="AE849">
        <v>13</v>
      </c>
      <c r="AF849">
        <v>9</v>
      </c>
      <c r="AG849">
        <v>4</v>
      </c>
      <c r="AH849">
        <v>9</v>
      </c>
      <c r="AI849">
        <f>IF(tbl_HRData[[#This Row],[Attrition]] = "Yes",1,0)</f>
        <v>0</v>
      </c>
      <c r="AJ849">
        <f>IF(tbl_HRData[[#This Row],[Attrition]] = "No",1,0)</f>
        <v>1</v>
      </c>
      <c r="AK849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849" s="1" t="str">
        <f>IF(tbl_HRData[[#This Row],[MonthlyIncome]]&lt;5000,"Low",
IF(tbl_HRData[[#This Row],[MonthlyIncome]]&lt;10000,"Medium",
IF(tbl_HRData[[#This Row],[MonthlyIncome]]&lt;15000,"Upper Medium","High")))</f>
        <v>Medium</v>
      </c>
      <c r="AM849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850" spans="1:39" x14ac:dyDescent="0.35">
      <c r="A850" s="1">
        <v>849</v>
      </c>
      <c r="B850">
        <v>35</v>
      </c>
      <c r="C850" s="1" t="s">
        <v>40</v>
      </c>
      <c r="D850" s="1" t="s">
        <v>41</v>
      </c>
      <c r="E850">
        <v>636</v>
      </c>
      <c r="F850" s="1" t="s">
        <v>42</v>
      </c>
      <c r="G850">
        <v>4</v>
      </c>
      <c r="H850">
        <v>4</v>
      </c>
      <c r="I850" s="1" t="s">
        <v>46</v>
      </c>
      <c r="J850">
        <v>1185</v>
      </c>
      <c r="K850">
        <v>4</v>
      </c>
      <c r="L850" s="1" t="s">
        <v>43</v>
      </c>
      <c r="M850">
        <v>47</v>
      </c>
      <c r="N850">
        <v>2</v>
      </c>
      <c r="O850">
        <v>1</v>
      </c>
      <c r="P850" s="1" t="s">
        <v>47</v>
      </c>
      <c r="Q850">
        <v>4</v>
      </c>
      <c r="R850" s="1" t="s">
        <v>45</v>
      </c>
      <c r="S850">
        <v>2376</v>
      </c>
      <c r="T850">
        <v>26537</v>
      </c>
      <c r="U850">
        <v>1</v>
      </c>
      <c r="V850" s="1" t="s">
        <v>40</v>
      </c>
      <c r="W850">
        <v>13</v>
      </c>
      <c r="X850">
        <v>3</v>
      </c>
      <c r="Y850">
        <v>2</v>
      </c>
      <c r="Z850">
        <v>80</v>
      </c>
      <c r="AA850">
        <v>1</v>
      </c>
      <c r="AB850">
        <v>2</v>
      </c>
      <c r="AC850">
        <v>2</v>
      </c>
      <c r="AD850">
        <v>4</v>
      </c>
      <c r="AE850">
        <v>2</v>
      </c>
      <c r="AF850">
        <v>2</v>
      </c>
      <c r="AG850">
        <v>2</v>
      </c>
      <c r="AH850">
        <v>2</v>
      </c>
      <c r="AI850">
        <f>IF(tbl_HRData[[#This Row],[Attrition]] = "Yes",1,0)</f>
        <v>0</v>
      </c>
      <c r="AJ850">
        <f>IF(tbl_HRData[[#This Row],[Attrition]] = "No",1,0)</f>
        <v>1</v>
      </c>
      <c r="AK850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850" s="1" t="str">
        <f>IF(tbl_HRData[[#This Row],[MonthlyIncome]]&lt;5000,"Low",
IF(tbl_HRData[[#This Row],[MonthlyIncome]]&lt;10000,"Medium",
IF(tbl_HRData[[#This Row],[MonthlyIncome]]&lt;15000,"Upper Medium","High")))</f>
        <v>Low</v>
      </c>
      <c r="AM850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851" spans="1:39" x14ac:dyDescent="0.35">
      <c r="A851" s="1">
        <v>850</v>
      </c>
      <c r="B851">
        <v>43</v>
      </c>
      <c r="C851" s="1" t="s">
        <v>33</v>
      </c>
      <c r="D851" s="1" t="s">
        <v>34</v>
      </c>
      <c r="E851">
        <v>1372</v>
      </c>
      <c r="F851" s="1" t="s">
        <v>35</v>
      </c>
      <c r="G851">
        <v>9</v>
      </c>
      <c r="H851">
        <v>3</v>
      </c>
      <c r="I851" s="1" t="s">
        <v>56</v>
      </c>
      <c r="J851">
        <v>1188</v>
      </c>
      <c r="K851">
        <v>1</v>
      </c>
      <c r="L851" s="1" t="s">
        <v>37</v>
      </c>
      <c r="M851">
        <v>85</v>
      </c>
      <c r="N851">
        <v>1</v>
      </c>
      <c r="O851">
        <v>2</v>
      </c>
      <c r="P851" s="1" t="s">
        <v>38</v>
      </c>
      <c r="Q851">
        <v>3</v>
      </c>
      <c r="R851" s="1" t="s">
        <v>39</v>
      </c>
      <c r="S851">
        <v>5346</v>
      </c>
      <c r="T851">
        <v>9489</v>
      </c>
      <c r="U851">
        <v>8</v>
      </c>
      <c r="V851" s="1" t="s">
        <v>40</v>
      </c>
      <c r="W851">
        <v>13</v>
      </c>
      <c r="X851">
        <v>3</v>
      </c>
      <c r="Y851">
        <v>2</v>
      </c>
      <c r="Z851">
        <v>80</v>
      </c>
      <c r="AA851">
        <v>0</v>
      </c>
      <c r="AB851">
        <v>7</v>
      </c>
      <c r="AC851">
        <v>2</v>
      </c>
      <c r="AD851">
        <v>2</v>
      </c>
      <c r="AE851">
        <v>4</v>
      </c>
      <c r="AF851">
        <v>3</v>
      </c>
      <c r="AG851">
        <v>1</v>
      </c>
      <c r="AH851">
        <v>3</v>
      </c>
      <c r="AI851">
        <f>IF(tbl_HRData[[#This Row],[Attrition]] = "Yes",1,0)</f>
        <v>1</v>
      </c>
      <c r="AJ851">
        <f>IF(tbl_HRData[[#This Row],[Attrition]] = "No",1,0)</f>
        <v>0</v>
      </c>
      <c r="AK851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851" s="1" t="str">
        <f>IF(tbl_HRData[[#This Row],[MonthlyIncome]]&lt;5000,"Low",
IF(tbl_HRData[[#This Row],[MonthlyIncome]]&lt;10000,"Medium",
IF(tbl_HRData[[#This Row],[MonthlyIncome]]&lt;15000,"Upper Medium","High")))</f>
        <v>Medium</v>
      </c>
      <c r="AM851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852" spans="1:39" x14ac:dyDescent="0.35">
      <c r="A852" s="1">
        <v>851</v>
      </c>
      <c r="B852">
        <v>32</v>
      </c>
      <c r="C852" s="1" t="s">
        <v>40</v>
      </c>
      <c r="D852" s="1" t="s">
        <v>52</v>
      </c>
      <c r="E852">
        <v>862</v>
      </c>
      <c r="F852" s="1" t="s">
        <v>35</v>
      </c>
      <c r="G852">
        <v>2</v>
      </c>
      <c r="H852">
        <v>1</v>
      </c>
      <c r="I852" s="1" t="s">
        <v>36</v>
      </c>
      <c r="J852">
        <v>1190</v>
      </c>
      <c r="K852">
        <v>3</v>
      </c>
      <c r="L852" s="1" t="s">
        <v>37</v>
      </c>
      <c r="M852">
        <v>76</v>
      </c>
      <c r="N852">
        <v>3</v>
      </c>
      <c r="O852">
        <v>1</v>
      </c>
      <c r="P852" s="1" t="s">
        <v>54</v>
      </c>
      <c r="Q852">
        <v>1</v>
      </c>
      <c r="R852" s="1" t="s">
        <v>49</v>
      </c>
      <c r="S852">
        <v>2827</v>
      </c>
      <c r="T852">
        <v>14947</v>
      </c>
      <c r="U852">
        <v>1</v>
      </c>
      <c r="V852" s="1" t="s">
        <v>40</v>
      </c>
      <c r="W852">
        <v>12</v>
      </c>
      <c r="X852">
        <v>3</v>
      </c>
      <c r="Y852">
        <v>3</v>
      </c>
      <c r="Z852">
        <v>80</v>
      </c>
      <c r="AA852">
        <v>3</v>
      </c>
      <c r="AB852">
        <v>1</v>
      </c>
      <c r="AC852">
        <v>3</v>
      </c>
      <c r="AD852">
        <v>3</v>
      </c>
      <c r="AE852">
        <v>1</v>
      </c>
      <c r="AF852">
        <v>0</v>
      </c>
      <c r="AG852">
        <v>0</v>
      </c>
      <c r="AH852">
        <v>0</v>
      </c>
      <c r="AI852">
        <f>IF(tbl_HRData[[#This Row],[Attrition]] = "Yes",1,0)</f>
        <v>0</v>
      </c>
      <c r="AJ852">
        <f>IF(tbl_HRData[[#This Row],[Attrition]] = "No",1,0)</f>
        <v>1</v>
      </c>
      <c r="AK852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852" s="1" t="str">
        <f>IF(tbl_HRData[[#This Row],[MonthlyIncome]]&lt;5000,"Low",
IF(tbl_HRData[[#This Row],[MonthlyIncome]]&lt;10000,"Medium",
IF(tbl_HRData[[#This Row],[MonthlyIncome]]&lt;15000,"Upper Medium","High")))</f>
        <v>Low</v>
      </c>
      <c r="AM852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853" spans="1:39" x14ac:dyDescent="0.35">
      <c r="A853" s="1">
        <v>852</v>
      </c>
      <c r="B853">
        <v>56</v>
      </c>
      <c r="C853" s="1" t="s">
        <v>40</v>
      </c>
      <c r="D853" s="1" t="s">
        <v>34</v>
      </c>
      <c r="E853">
        <v>718</v>
      </c>
      <c r="F853" s="1" t="s">
        <v>42</v>
      </c>
      <c r="G853">
        <v>4</v>
      </c>
      <c r="H853">
        <v>4</v>
      </c>
      <c r="I853" s="1" t="s">
        <v>57</v>
      </c>
      <c r="J853">
        <v>1191</v>
      </c>
      <c r="K853">
        <v>4</v>
      </c>
      <c r="L853" s="1" t="s">
        <v>37</v>
      </c>
      <c r="M853">
        <v>92</v>
      </c>
      <c r="N853">
        <v>3</v>
      </c>
      <c r="O853">
        <v>5</v>
      </c>
      <c r="P853" s="1" t="s">
        <v>53</v>
      </c>
      <c r="Q853">
        <v>1</v>
      </c>
      <c r="R853" s="1" t="s">
        <v>49</v>
      </c>
      <c r="S853">
        <v>19943</v>
      </c>
      <c r="T853">
        <v>18575</v>
      </c>
      <c r="U853">
        <v>4</v>
      </c>
      <c r="V853" s="1" t="s">
        <v>40</v>
      </c>
      <c r="W853">
        <v>13</v>
      </c>
      <c r="X853">
        <v>3</v>
      </c>
      <c r="Y853">
        <v>4</v>
      </c>
      <c r="Z853">
        <v>80</v>
      </c>
      <c r="AA853">
        <v>1</v>
      </c>
      <c r="AB853">
        <v>28</v>
      </c>
      <c r="AC853">
        <v>2</v>
      </c>
      <c r="AD853">
        <v>3</v>
      </c>
      <c r="AE853">
        <v>5</v>
      </c>
      <c r="AF853">
        <v>2</v>
      </c>
      <c r="AG853">
        <v>4</v>
      </c>
      <c r="AH853">
        <v>2</v>
      </c>
      <c r="AI853">
        <f>IF(tbl_HRData[[#This Row],[Attrition]] = "Yes",1,0)</f>
        <v>0</v>
      </c>
      <c r="AJ853">
        <f>IF(tbl_HRData[[#This Row],[Attrition]] = "No",1,0)</f>
        <v>1</v>
      </c>
      <c r="AK853" t="str">
        <f>IF(tbl_HRData[[#This Row],[Age]] &lt; 25, "Under 25", IF(tbl_HRData[[#This Row],[Age]] &lt;= 34, "25-34", IF(tbl_HRData[[#This Row],[Age]] &lt;= 44, "35-44", IF(tbl_HRData[[#This Row],[Age]] &lt;= 54, "45-54", "55+"))))</f>
        <v>55+</v>
      </c>
      <c r="AL853" s="1" t="str">
        <f>IF(tbl_HRData[[#This Row],[MonthlyIncome]]&lt;5000,"Low",
IF(tbl_HRData[[#This Row],[MonthlyIncome]]&lt;10000,"Medium",
IF(tbl_HRData[[#This Row],[MonthlyIncome]]&lt;15000,"Upper Medium","High")))</f>
        <v>High</v>
      </c>
      <c r="AM853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854" spans="1:39" x14ac:dyDescent="0.35">
      <c r="A854" s="1">
        <v>853</v>
      </c>
      <c r="B854">
        <v>29</v>
      </c>
      <c r="C854" s="1" t="s">
        <v>40</v>
      </c>
      <c r="D854" s="1" t="s">
        <v>34</v>
      </c>
      <c r="E854">
        <v>1401</v>
      </c>
      <c r="F854" s="1" t="s">
        <v>42</v>
      </c>
      <c r="G854">
        <v>6</v>
      </c>
      <c r="H854">
        <v>1</v>
      </c>
      <c r="I854" s="1" t="s">
        <v>48</v>
      </c>
      <c r="J854">
        <v>1192</v>
      </c>
      <c r="K854">
        <v>2</v>
      </c>
      <c r="L854" s="1" t="s">
        <v>37</v>
      </c>
      <c r="M854">
        <v>54</v>
      </c>
      <c r="N854">
        <v>3</v>
      </c>
      <c r="O854">
        <v>1</v>
      </c>
      <c r="P854" s="1" t="s">
        <v>47</v>
      </c>
      <c r="Q854">
        <v>4</v>
      </c>
      <c r="R854" s="1" t="s">
        <v>45</v>
      </c>
      <c r="S854">
        <v>3131</v>
      </c>
      <c r="T854">
        <v>26342</v>
      </c>
      <c r="U854">
        <v>1</v>
      </c>
      <c r="V854" s="1" t="s">
        <v>40</v>
      </c>
      <c r="W854">
        <v>13</v>
      </c>
      <c r="X854">
        <v>3</v>
      </c>
      <c r="Y854">
        <v>1</v>
      </c>
      <c r="Z854">
        <v>80</v>
      </c>
      <c r="AA854">
        <v>1</v>
      </c>
      <c r="AB854">
        <v>10</v>
      </c>
      <c r="AC854">
        <v>5</v>
      </c>
      <c r="AD854">
        <v>3</v>
      </c>
      <c r="AE854">
        <v>10</v>
      </c>
      <c r="AF854">
        <v>8</v>
      </c>
      <c r="AG854">
        <v>0</v>
      </c>
      <c r="AH854">
        <v>8</v>
      </c>
      <c r="AI854">
        <f>IF(tbl_HRData[[#This Row],[Attrition]] = "Yes",1,0)</f>
        <v>0</v>
      </c>
      <c r="AJ854">
        <f>IF(tbl_HRData[[#This Row],[Attrition]] = "No",1,0)</f>
        <v>1</v>
      </c>
      <c r="AK854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854" s="1" t="str">
        <f>IF(tbl_HRData[[#This Row],[MonthlyIncome]]&lt;5000,"Low",
IF(tbl_HRData[[#This Row],[MonthlyIncome]]&lt;10000,"Medium",
IF(tbl_HRData[[#This Row],[MonthlyIncome]]&lt;15000,"Upper Medium","High")))</f>
        <v>Low</v>
      </c>
      <c r="AM854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855" spans="1:39" x14ac:dyDescent="0.35">
      <c r="A855" s="1">
        <v>854</v>
      </c>
      <c r="B855">
        <v>19</v>
      </c>
      <c r="C855" s="1" t="s">
        <v>40</v>
      </c>
      <c r="D855" s="1" t="s">
        <v>34</v>
      </c>
      <c r="E855">
        <v>645</v>
      </c>
      <c r="F855" s="1" t="s">
        <v>42</v>
      </c>
      <c r="G855">
        <v>9</v>
      </c>
      <c r="H855">
        <v>2</v>
      </c>
      <c r="I855" s="1" t="s">
        <v>36</v>
      </c>
      <c r="J855">
        <v>1193</v>
      </c>
      <c r="K855">
        <v>3</v>
      </c>
      <c r="L855" s="1" t="s">
        <v>43</v>
      </c>
      <c r="M855">
        <v>54</v>
      </c>
      <c r="N855">
        <v>3</v>
      </c>
      <c r="O855">
        <v>1</v>
      </c>
      <c r="P855" s="1" t="s">
        <v>44</v>
      </c>
      <c r="Q855">
        <v>1</v>
      </c>
      <c r="R855" s="1" t="s">
        <v>39</v>
      </c>
      <c r="S855">
        <v>2552</v>
      </c>
      <c r="T855">
        <v>7172</v>
      </c>
      <c r="U855">
        <v>1</v>
      </c>
      <c r="V855" s="1" t="s">
        <v>40</v>
      </c>
      <c r="W855">
        <v>25</v>
      </c>
      <c r="X855">
        <v>4</v>
      </c>
      <c r="Y855">
        <v>3</v>
      </c>
      <c r="Z855">
        <v>80</v>
      </c>
      <c r="AA855">
        <v>0</v>
      </c>
      <c r="AB855">
        <v>1</v>
      </c>
      <c r="AC855">
        <v>4</v>
      </c>
      <c r="AD855">
        <v>3</v>
      </c>
      <c r="AE855">
        <v>1</v>
      </c>
      <c r="AF855">
        <v>1</v>
      </c>
      <c r="AG855">
        <v>0</v>
      </c>
      <c r="AH855">
        <v>0</v>
      </c>
      <c r="AI855">
        <f>IF(tbl_HRData[[#This Row],[Attrition]] = "Yes",1,0)</f>
        <v>0</v>
      </c>
      <c r="AJ855">
        <f>IF(tbl_HRData[[#This Row],[Attrition]] = "No",1,0)</f>
        <v>1</v>
      </c>
      <c r="AK855" t="str">
        <f>IF(tbl_HRData[[#This Row],[Age]] &lt; 25, "Under 25", IF(tbl_HRData[[#This Row],[Age]] &lt;= 34, "25-34", IF(tbl_HRData[[#This Row],[Age]] &lt;= 44, "35-44", IF(tbl_HRData[[#This Row],[Age]] &lt;= 54, "45-54", "55+"))))</f>
        <v>Under 25</v>
      </c>
      <c r="AL855" s="1" t="str">
        <f>IF(tbl_HRData[[#This Row],[MonthlyIncome]]&lt;5000,"Low",
IF(tbl_HRData[[#This Row],[MonthlyIncome]]&lt;10000,"Medium",
IF(tbl_HRData[[#This Row],[MonthlyIncome]]&lt;15000,"Upper Medium","High")))</f>
        <v>Low</v>
      </c>
      <c r="AM855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856" spans="1:39" x14ac:dyDescent="0.35">
      <c r="A856" s="1">
        <v>855</v>
      </c>
      <c r="B856">
        <v>45</v>
      </c>
      <c r="C856" s="1" t="s">
        <v>40</v>
      </c>
      <c r="D856" s="1" t="s">
        <v>34</v>
      </c>
      <c r="E856">
        <v>1457</v>
      </c>
      <c r="F856" s="1" t="s">
        <v>42</v>
      </c>
      <c r="G856">
        <v>7</v>
      </c>
      <c r="H856">
        <v>3</v>
      </c>
      <c r="I856" s="1" t="s">
        <v>48</v>
      </c>
      <c r="J856">
        <v>1195</v>
      </c>
      <c r="K856">
        <v>1</v>
      </c>
      <c r="L856" s="1" t="s">
        <v>37</v>
      </c>
      <c r="M856">
        <v>83</v>
      </c>
      <c r="N856">
        <v>3</v>
      </c>
      <c r="O856">
        <v>1</v>
      </c>
      <c r="P856" s="1" t="s">
        <v>44</v>
      </c>
      <c r="Q856">
        <v>3</v>
      </c>
      <c r="R856" s="1" t="s">
        <v>45</v>
      </c>
      <c r="S856">
        <v>4477</v>
      </c>
      <c r="T856">
        <v>20100</v>
      </c>
      <c r="U856">
        <v>4</v>
      </c>
      <c r="V856" s="1" t="s">
        <v>33</v>
      </c>
      <c r="W856">
        <v>19</v>
      </c>
      <c r="X856">
        <v>3</v>
      </c>
      <c r="Y856">
        <v>3</v>
      </c>
      <c r="Z856">
        <v>80</v>
      </c>
      <c r="AA856">
        <v>1</v>
      </c>
      <c r="AB856">
        <v>7</v>
      </c>
      <c r="AC856">
        <v>2</v>
      </c>
      <c r="AD856">
        <v>2</v>
      </c>
      <c r="AE856">
        <v>3</v>
      </c>
      <c r="AF856">
        <v>2</v>
      </c>
      <c r="AG856">
        <v>0</v>
      </c>
      <c r="AH856">
        <v>2</v>
      </c>
      <c r="AI856">
        <f>IF(tbl_HRData[[#This Row],[Attrition]] = "Yes",1,0)</f>
        <v>0</v>
      </c>
      <c r="AJ856">
        <f>IF(tbl_HRData[[#This Row],[Attrition]] = "No",1,0)</f>
        <v>1</v>
      </c>
      <c r="AK856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856" s="1" t="str">
        <f>IF(tbl_HRData[[#This Row],[MonthlyIncome]]&lt;5000,"Low",
IF(tbl_HRData[[#This Row],[MonthlyIncome]]&lt;10000,"Medium",
IF(tbl_HRData[[#This Row],[MonthlyIncome]]&lt;15000,"Upper Medium","High")))</f>
        <v>Low</v>
      </c>
      <c r="AM856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857" spans="1:39" x14ac:dyDescent="0.35">
      <c r="A857" s="1">
        <v>856</v>
      </c>
      <c r="B857">
        <v>37</v>
      </c>
      <c r="C857" s="1" t="s">
        <v>40</v>
      </c>
      <c r="D857" s="1" t="s">
        <v>34</v>
      </c>
      <c r="E857">
        <v>977</v>
      </c>
      <c r="F857" s="1" t="s">
        <v>42</v>
      </c>
      <c r="G857">
        <v>1</v>
      </c>
      <c r="H857">
        <v>3</v>
      </c>
      <c r="I857" s="1" t="s">
        <v>36</v>
      </c>
      <c r="J857">
        <v>1196</v>
      </c>
      <c r="K857">
        <v>4</v>
      </c>
      <c r="L857" s="1" t="s">
        <v>37</v>
      </c>
      <c r="M857">
        <v>56</v>
      </c>
      <c r="N857">
        <v>2</v>
      </c>
      <c r="O857">
        <v>2</v>
      </c>
      <c r="P857" s="1" t="s">
        <v>50</v>
      </c>
      <c r="Q857">
        <v>4</v>
      </c>
      <c r="R857" s="1" t="s">
        <v>45</v>
      </c>
      <c r="S857">
        <v>6474</v>
      </c>
      <c r="T857">
        <v>9961</v>
      </c>
      <c r="U857">
        <v>1</v>
      </c>
      <c r="V857" s="1" t="s">
        <v>40</v>
      </c>
      <c r="W857">
        <v>13</v>
      </c>
      <c r="X857">
        <v>3</v>
      </c>
      <c r="Y857">
        <v>2</v>
      </c>
      <c r="Z857">
        <v>80</v>
      </c>
      <c r="AA857">
        <v>1</v>
      </c>
      <c r="AB857">
        <v>14</v>
      </c>
      <c r="AC857">
        <v>2</v>
      </c>
      <c r="AD857">
        <v>2</v>
      </c>
      <c r="AE857">
        <v>14</v>
      </c>
      <c r="AF857">
        <v>8</v>
      </c>
      <c r="AG857">
        <v>3</v>
      </c>
      <c r="AH857">
        <v>11</v>
      </c>
      <c r="AI857">
        <f>IF(tbl_HRData[[#This Row],[Attrition]] = "Yes",1,0)</f>
        <v>0</v>
      </c>
      <c r="AJ857">
        <f>IF(tbl_HRData[[#This Row],[Attrition]] = "No",1,0)</f>
        <v>1</v>
      </c>
      <c r="AK857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857" s="1" t="str">
        <f>IF(tbl_HRData[[#This Row],[MonthlyIncome]]&lt;5000,"Low",
IF(tbl_HRData[[#This Row],[MonthlyIncome]]&lt;10000,"Medium",
IF(tbl_HRData[[#This Row],[MonthlyIncome]]&lt;15000,"Upper Medium","High")))</f>
        <v>Medium</v>
      </c>
      <c r="AM857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858" spans="1:39" x14ac:dyDescent="0.35">
      <c r="A858" s="1">
        <v>857</v>
      </c>
      <c r="B858">
        <v>20</v>
      </c>
      <c r="C858" s="1" t="s">
        <v>40</v>
      </c>
      <c r="D858" s="1" t="s">
        <v>34</v>
      </c>
      <c r="E858">
        <v>805</v>
      </c>
      <c r="F858" s="1" t="s">
        <v>42</v>
      </c>
      <c r="G858">
        <v>3</v>
      </c>
      <c r="H858">
        <v>3</v>
      </c>
      <c r="I858" s="1" t="s">
        <v>36</v>
      </c>
      <c r="J858">
        <v>1198</v>
      </c>
      <c r="K858">
        <v>1</v>
      </c>
      <c r="L858" s="1" t="s">
        <v>43</v>
      </c>
      <c r="M858">
        <v>87</v>
      </c>
      <c r="N858">
        <v>2</v>
      </c>
      <c r="O858">
        <v>1</v>
      </c>
      <c r="P858" s="1" t="s">
        <v>47</v>
      </c>
      <c r="Q858">
        <v>3</v>
      </c>
      <c r="R858" s="1" t="s">
        <v>39</v>
      </c>
      <c r="S858">
        <v>3033</v>
      </c>
      <c r="T858">
        <v>12828</v>
      </c>
      <c r="U858">
        <v>1</v>
      </c>
      <c r="V858" s="1" t="s">
        <v>40</v>
      </c>
      <c r="W858">
        <v>12</v>
      </c>
      <c r="X858">
        <v>3</v>
      </c>
      <c r="Y858">
        <v>1</v>
      </c>
      <c r="Z858">
        <v>80</v>
      </c>
      <c r="AA858">
        <v>0</v>
      </c>
      <c r="AB858">
        <v>2</v>
      </c>
      <c r="AC858">
        <v>2</v>
      </c>
      <c r="AD858">
        <v>2</v>
      </c>
      <c r="AE858">
        <v>2</v>
      </c>
      <c r="AF858">
        <v>2</v>
      </c>
      <c r="AG858">
        <v>1</v>
      </c>
      <c r="AH858">
        <v>2</v>
      </c>
      <c r="AI858">
        <f>IF(tbl_HRData[[#This Row],[Attrition]] = "Yes",1,0)</f>
        <v>0</v>
      </c>
      <c r="AJ858">
        <f>IF(tbl_HRData[[#This Row],[Attrition]] = "No",1,0)</f>
        <v>1</v>
      </c>
      <c r="AK858" t="str">
        <f>IF(tbl_HRData[[#This Row],[Age]] &lt; 25, "Under 25", IF(tbl_HRData[[#This Row],[Age]] &lt;= 34, "25-34", IF(tbl_HRData[[#This Row],[Age]] &lt;= 44, "35-44", IF(tbl_HRData[[#This Row],[Age]] &lt;= 54, "45-54", "55+"))))</f>
        <v>Under 25</v>
      </c>
      <c r="AL858" s="1" t="str">
        <f>IF(tbl_HRData[[#This Row],[MonthlyIncome]]&lt;5000,"Low",
IF(tbl_HRData[[#This Row],[MonthlyIncome]]&lt;10000,"Medium",
IF(tbl_HRData[[#This Row],[MonthlyIncome]]&lt;15000,"Upper Medium","High")))</f>
        <v>Low</v>
      </c>
      <c r="AM858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859" spans="1:39" x14ac:dyDescent="0.35">
      <c r="A859" s="1">
        <v>858</v>
      </c>
      <c r="B859">
        <v>44</v>
      </c>
      <c r="C859" s="1" t="s">
        <v>33</v>
      </c>
      <c r="D859" s="1" t="s">
        <v>34</v>
      </c>
      <c r="E859">
        <v>1097</v>
      </c>
      <c r="F859" s="1" t="s">
        <v>42</v>
      </c>
      <c r="G859">
        <v>10</v>
      </c>
      <c r="H859">
        <v>4</v>
      </c>
      <c r="I859" s="1" t="s">
        <v>36</v>
      </c>
      <c r="J859">
        <v>1200</v>
      </c>
      <c r="K859">
        <v>3</v>
      </c>
      <c r="L859" s="1" t="s">
        <v>43</v>
      </c>
      <c r="M859">
        <v>96</v>
      </c>
      <c r="N859">
        <v>3</v>
      </c>
      <c r="O859">
        <v>1</v>
      </c>
      <c r="P859" s="1" t="s">
        <v>44</v>
      </c>
      <c r="Q859">
        <v>3</v>
      </c>
      <c r="R859" s="1" t="s">
        <v>39</v>
      </c>
      <c r="S859">
        <v>2936</v>
      </c>
      <c r="T859">
        <v>10826</v>
      </c>
      <c r="U859">
        <v>1</v>
      </c>
      <c r="V859" s="1" t="s">
        <v>33</v>
      </c>
      <c r="W859">
        <v>11</v>
      </c>
      <c r="X859">
        <v>3</v>
      </c>
      <c r="Y859">
        <v>3</v>
      </c>
      <c r="Z859">
        <v>80</v>
      </c>
      <c r="AA859">
        <v>0</v>
      </c>
      <c r="AB859">
        <v>6</v>
      </c>
      <c r="AC859">
        <v>4</v>
      </c>
      <c r="AD859">
        <v>3</v>
      </c>
      <c r="AE859">
        <v>6</v>
      </c>
      <c r="AF859">
        <v>4</v>
      </c>
      <c r="AG859">
        <v>0</v>
      </c>
      <c r="AH859">
        <v>2</v>
      </c>
      <c r="AI859">
        <f>IF(tbl_HRData[[#This Row],[Attrition]] = "Yes",1,0)</f>
        <v>1</v>
      </c>
      <c r="AJ859">
        <f>IF(tbl_HRData[[#This Row],[Attrition]] = "No",1,0)</f>
        <v>0</v>
      </c>
      <c r="AK859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859" s="1" t="str">
        <f>IF(tbl_HRData[[#This Row],[MonthlyIncome]]&lt;5000,"Low",
IF(tbl_HRData[[#This Row],[MonthlyIncome]]&lt;10000,"Medium",
IF(tbl_HRData[[#This Row],[MonthlyIncome]]&lt;15000,"Upper Medium","High")))</f>
        <v>Low</v>
      </c>
      <c r="AM859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860" spans="1:39" x14ac:dyDescent="0.35">
      <c r="A860" s="1">
        <v>859</v>
      </c>
      <c r="B860">
        <v>53</v>
      </c>
      <c r="C860" s="1" t="s">
        <v>40</v>
      </c>
      <c r="D860" s="1" t="s">
        <v>34</v>
      </c>
      <c r="E860">
        <v>1223</v>
      </c>
      <c r="F860" s="1" t="s">
        <v>42</v>
      </c>
      <c r="G860">
        <v>7</v>
      </c>
      <c r="H860">
        <v>2</v>
      </c>
      <c r="I860" s="1" t="s">
        <v>48</v>
      </c>
      <c r="J860">
        <v>1201</v>
      </c>
      <c r="K860">
        <v>4</v>
      </c>
      <c r="L860" s="1" t="s">
        <v>37</v>
      </c>
      <c r="M860">
        <v>50</v>
      </c>
      <c r="N860">
        <v>3</v>
      </c>
      <c r="O860">
        <v>5</v>
      </c>
      <c r="P860" s="1" t="s">
        <v>53</v>
      </c>
      <c r="Q860">
        <v>3</v>
      </c>
      <c r="R860" s="1" t="s">
        <v>49</v>
      </c>
      <c r="S860">
        <v>18606</v>
      </c>
      <c r="T860">
        <v>18640</v>
      </c>
      <c r="U860">
        <v>3</v>
      </c>
      <c r="V860" s="1" t="s">
        <v>40</v>
      </c>
      <c r="W860">
        <v>18</v>
      </c>
      <c r="X860">
        <v>3</v>
      </c>
      <c r="Y860">
        <v>2</v>
      </c>
      <c r="Z860">
        <v>80</v>
      </c>
      <c r="AA860">
        <v>1</v>
      </c>
      <c r="AB860">
        <v>26</v>
      </c>
      <c r="AC860">
        <v>6</v>
      </c>
      <c r="AD860">
        <v>3</v>
      </c>
      <c r="AE860">
        <v>7</v>
      </c>
      <c r="AF860">
        <v>7</v>
      </c>
      <c r="AG860">
        <v>4</v>
      </c>
      <c r="AH860">
        <v>7</v>
      </c>
      <c r="AI860">
        <f>IF(tbl_HRData[[#This Row],[Attrition]] = "Yes",1,0)</f>
        <v>0</v>
      </c>
      <c r="AJ860">
        <f>IF(tbl_HRData[[#This Row],[Attrition]] = "No",1,0)</f>
        <v>1</v>
      </c>
      <c r="AK860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860" s="1" t="str">
        <f>IF(tbl_HRData[[#This Row],[MonthlyIncome]]&lt;5000,"Low",
IF(tbl_HRData[[#This Row],[MonthlyIncome]]&lt;10000,"Medium",
IF(tbl_HRData[[#This Row],[MonthlyIncome]]&lt;15000,"Upper Medium","High")))</f>
        <v>High</v>
      </c>
      <c r="AM860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861" spans="1:39" x14ac:dyDescent="0.35">
      <c r="A861" s="1">
        <v>860</v>
      </c>
      <c r="B861">
        <v>29</v>
      </c>
      <c r="C861" s="1" t="s">
        <v>40</v>
      </c>
      <c r="D861" s="1" t="s">
        <v>34</v>
      </c>
      <c r="E861">
        <v>942</v>
      </c>
      <c r="F861" s="1" t="s">
        <v>42</v>
      </c>
      <c r="G861">
        <v>15</v>
      </c>
      <c r="H861">
        <v>1</v>
      </c>
      <c r="I861" s="1" t="s">
        <v>36</v>
      </c>
      <c r="J861">
        <v>1202</v>
      </c>
      <c r="K861">
        <v>2</v>
      </c>
      <c r="L861" s="1" t="s">
        <v>37</v>
      </c>
      <c r="M861">
        <v>69</v>
      </c>
      <c r="N861">
        <v>1</v>
      </c>
      <c r="O861">
        <v>1</v>
      </c>
      <c r="P861" s="1" t="s">
        <v>44</v>
      </c>
      <c r="Q861">
        <v>4</v>
      </c>
      <c r="R861" s="1" t="s">
        <v>45</v>
      </c>
      <c r="S861">
        <v>2168</v>
      </c>
      <c r="T861">
        <v>26933</v>
      </c>
      <c r="U861">
        <v>0</v>
      </c>
      <c r="V861" s="1" t="s">
        <v>33</v>
      </c>
      <c r="W861">
        <v>18</v>
      </c>
      <c r="X861">
        <v>3</v>
      </c>
      <c r="Y861">
        <v>1</v>
      </c>
      <c r="Z861">
        <v>80</v>
      </c>
      <c r="AA861">
        <v>1</v>
      </c>
      <c r="AB861">
        <v>6</v>
      </c>
      <c r="AC861">
        <v>2</v>
      </c>
      <c r="AD861">
        <v>2</v>
      </c>
      <c r="AE861">
        <v>5</v>
      </c>
      <c r="AF861">
        <v>4</v>
      </c>
      <c r="AG861">
        <v>1</v>
      </c>
      <c r="AH861">
        <v>3</v>
      </c>
      <c r="AI861">
        <f>IF(tbl_HRData[[#This Row],[Attrition]] = "Yes",1,0)</f>
        <v>0</v>
      </c>
      <c r="AJ861">
        <f>IF(tbl_HRData[[#This Row],[Attrition]] = "No",1,0)</f>
        <v>1</v>
      </c>
      <c r="AK861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861" s="1" t="str">
        <f>IF(tbl_HRData[[#This Row],[MonthlyIncome]]&lt;5000,"Low",
IF(tbl_HRData[[#This Row],[MonthlyIncome]]&lt;10000,"Medium",
IF(tbl_HRData[[#This Row],[MonthlyIncome]]&lt;15000,"Upper Medium","High")))</f>
        <v>Low</v>
      </c>
      <c r="AM861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862" spans="1:39" x14ac:dyDescent="0.35">
      <c r="A862" s="1">
        <v>861</v>
      </c>
      <c r="B862">
        <v>22</v>
      </c>
      <c r="C862" s="1" t="s">
        <v>33</v>
      </c>
      <c r="D862" s="1" t="s">
        <v>41</v>
      </c>
      <c r="E862">
        <v>1256</v>
      </c>
      <c r="F862" s="1" t="s">
        <v>42</v>
      </c>
      <c r="G862">
        <v>3</v>
      </c>
      <c r="H862">
        <v>4</v>
      </c>
      <c r="I862" s="1" t="s">
        <v>36</v>
      </c>
      <c r="J862">
        <v>1203</v>
      </c>
      <c r="K862">
        <v>3</v>
      </c>
      <c r="L862" s="1" t="s">
        <v>43</v>
      </c>
      <c r="M862">
        <v>48</v>
      </c>
      <c r="N862">
        <v>2</v>
      </c>
      <c r="O862">
        <v>1</v>
      </c>
      <c r="P862" s="1" t="s">
        <v>44</v>
      </c>
      <c r="Q862">
        <v>4</v>
      </c>
      <c r="R862" s="1" t="s">
        <v>45</v>
      </c>
      <c r="S862">
        <v>2853</v>
      </c>
      <c r="T862">
        <v>4223</v>
      </c>
      <c r="U862">
        <v>0</v>
      </c>
      <c r="V862" s="1" t="s">
        <v>33</v>
      </c>
      <c r="W862">
        <v>11</v>
      </c>
      <c r="X862">
        <v>3</v>
      </c>
      <c r="Y862">
        <v>2</v>
      </c>
      <c r="Z862">
        <v>80</v>
      </c>
      <c r="AA862">
        <v>1</v>
      </c>
      <c r="AB862">
        <v>1</v>
      </c>
      <c r="AC862">
        <v>5</v>
      </c>
      <c r="AD862">
        <v>3</v>
      </c>
      <c r="AE862">
        <v>0</v>
      </c>
      <c r="AF862">
        <v>0</v>
      </c>
      <c r="AG862">
        <v>0</v>
      </c>
      <c r="AH862">
        <v>0</v>
      </c>
      <c r="AI862">
        <f>IF(tbl_HRData[[#This Row],[Attrition]] = "Yes",1,0)</f>
        <v>1</v>
      </c>
      <c r="AJ862">
        <f>IF(tbl_HRData[[#This Row],[Attrition]] = "No",1,0)</f>
        <v>0</v>
      </c>
      <c r="AK862" t="str">
        <f>IF(tbl_HRData[[#This Row],[Age]] &lt; 25, "Under 25", IF(tbl_HRData[[#This Row],[Age]] &lt;= 34, "25-34", IF(tbl_HRData[[#This Row],[Age]] &lt;= 44, "35-44", IF(tbl_HRData[[#This Row],[Age]] &lt;= 54, "45-54", "55+"))))</f>
        <v>Under 25</v>
      </c>
      <c r="AL862" s="1" t="str">
        <f>IF(tbl_HRData[[#This Row],[MonthlyIncome]]&lt;5000,"Low",
IF(tbl_HRData[[#This Row],[MonthlyIncome]]&lt;10000,"Medium",
IF(tbl_HRData[[#This Row],[MonthlyIncome]]&lt;15000,"Upper Medium","High")))</f>
        <v>Low</v>
      </c>
      <c r="AM862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863" spans="1:39" x14ac:dyDescent="0.35">
      <c r="A863" s="1">
        <v>862</v>
      </c>
      <c r="B863">
        <v>46</v>
      </c>
      <c r="C863" s="1" t="s">
        <v>40</v>
      </c>
      <c r="D863" s="1" t="s">
        <v>34</v>
      </c>
      <c r="E863">
        <v>1402</v>
      </c>
      <c r="F863" s="1" t="s">
        <v>35</v>
      </c>
      <c r="G863">
        <v>2</v>
      </c>
      <c r="H863">
        <v>3</v>
      </c>
      <c r="I863" s="1" t="s">
        <v>56</v>
      </c>
      <c r="J863">
        <v>1204</v>
      </c>
      <c r="K863">
        <v>3</v>
      </c>
      <c r="L863" s="1" t="s">
        <v>37</v>
      </c>
      <c r="M863">
        <v>69</v>
      </c>
      <c r="N863">
        <v>3</v>
      </c>
      <c r="O863">
        <v>4</v>
      </c>
      <c r="P863" s="1" t="s">
        <v>53</v>
      </c>
      <c r="Q863">
        <v>1</v>
      </c>
      <c r="R863" s="1" t="s">
        <v>45</v>
      </c>
      <c r="S863">
        <v>17048</v>
      </c>
      <c r="T863">
        <v>24097</v>
      </c>
      <c r="U863">
        <v>8</v>
      </c>
      <c r="V863" s="1" t="s">
        <v>40</v>
      </c>
      <c r="W863">
        <v>23</v>
      </c>
      <c r="X863">
        <v>4</v>
      </c>
      <c r="Y863">
        <v>1</v>
      </c>
      <c r="Z863">
        <v>80</v>
      </c>
      <c r="AA863">
        <v>0</v>
      </c>
      <c r="AB863">
        <v>28</v>
      </c>
      <c r="AC863">
        <v>2</v>
      </c>
      <c r="AD863">
        <v>3</v>
      </c>
      <c r="AE863">
        <v>26</v>
      </c>
      <c r="AF863">
        <v>15</v>
      </c>
      <c r="AG863">
        <v>15</v>
      </c>
      <c r="AH863">
        <v>9</v>
      </c>
      <c r="AI863">
        <f>IF(tbl_HRData[[#This Row],[Attrition]] = "Yes",1,0)</f>
        <v>0</v>
      </c>
      <c r="AJ863">
        <f>IF(tbl_HRData[[#This Row],[Attrition]] = "No",1,0)</f>
        <v>1</v>
      </c>
      <c r="AK863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863" s="1" t="str">
        <f>IF(tbl_HRData[[#This Row],[MonthlyIncome]]&lt;5000,"Low",
IF(tbl_HRData[[#This Row],[MonthlyIncome]]&lt;10000,"Medium",
IF(tbl_HRData[[#This Row],[MonthlyIncome]]&lt;15000,"Upper Medium","High")))</f>
        <v>High</v>
      </c>
      <c r="AM863" s="1" t="str">
        <f>IF(tbl_HRData[[#This Row],[YearsAtCompany]]&lt;=5,"0-5 Years",
IF(tbl_HRData[[#This Row],[YearsAtCompany]]&lt;=10,"6-10 Years",
IF(tbl_HRData[[#This Row],[YearsAtCompany]]&lt;=20,"11-20 Years","21+ Years")))</f>
        <v>21+ Years</v>
      </c>
    </row>
    <row r="864" spans="1:39" x14ac:dyDescent="0.35">
      <c r="A864" s="1">
        <v>863</v>
      </c>
      <c r="B864">
        <v>44</v>
      </c>
      <c r="C864" s="1" t="s">
        <v>40</v>
      </c>
      <c r="D864" s="1" t="s">
        <v>52</v>
      </c>
      <c r="E864">
        <v>111</v>
      </c>
      <c r="F864" s="1" t="s">
        <v>42</v>
      </c>
      <c r="G864">
        <v>17</v>
      </c>
      <c r="H864">
        <v>3</v>
      </c>
      <c r="I864" s="1" t="s">
        <v>36</v>
      </c>
      <c r="J864">
        <v>1206</v>
      </c>
      <c r="K864">
        <v>4</v>
      </c>
      <c r="L864" s="1" t="s">
        <v>43</v>
      </c>
      <c r="M864">
        <v>74</v>
      </c>
      <c r="N864">
        <v>1</v>
      </c>
      <c r="O864">
        <v>1</v>
      </c>
      <c r="P864" s="1" t="s">
        <v>44</v>
      </c>
      <c r="Q864">
        <v>3</v>
      </c>
      <c r="R864" s="1" t="s">
        <v>39</v>
      </c>
      <c r="S864">
        <v>2290</v>
      </c>
      <c r="T864">
        <v>4279</v>
      </c>
      <c r="U864">
        <v>2</v>
      </c>
      <c r="V864" s="1" t="s">
        <v>40</v>
      </c>
      <c r="W864">
        <v>13</v>
      </c>
      <c r="X864">
        <v>3</v>
      </c>
      <c r="Y864">
        <v>4</v>
      </c>
      <c r="Z864">
        <v>80</v>
      </c>
      <c r="AA864">
        <v>0</v>
      </c>
      <c r="AB864">
        <v>6</v>
      </c>
      <c r="AC864">
        <v>3</v>
      </c>
      <c r="AD864">
        <v>3</v>
      </c>
      <c r="AE864">
        <v>0</v>
      </c>
      <c r="AF864">
        <v>0</v>
      </c>
      <c r="AG864">
        <v>0</v>
      </c>
      <c r="AH864">
        <v>0</v>
      </c>
      <c r="AI864">
        <f>IF(tbl_HRData[[#This Row],[Attrition]] = "Yes",1,0)</f>
        <v>0</v>
      </c>
      <c r="AJ864">
        <f>IF(tbl_HRData[[#This Row],[Attrition]] = "No",1,0)</f>
        <v>1</v>
      </c>
      <c r="AK864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864" s="1" t="str">
        <f>IF(tbl_HRData[[#This Row],[MonthlyIncome]]&lt;5000,"Low",
IF(tbl_HRData[[#This Row],[MonthlyIncome]]&lt;10000,"Medium",
IF(tbl_HRData[[#This Row],[MonthlyIncome]]&lt;15000,"Upper Medium","High")))</f>
        <v>Low</v>
      </c>
      <c r="AM864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865" spans="1:39" x14ac:dyDescent="0.35">
      <c r="A865" s="1">
        <v>864</v>
      </c>
      <c r="B865">
        <v>33</v>
      </c>
      <c r="C865" s="1" t="s">
        <v>40</v>
      </c>
      <c r="D865" s="1" t="s">
        <v>34</v>
      </c>
      <c r="E865">
        <v>147</v>
      </c>
      <c r="F865" s="1" t="s">
        <v>58</v>
      </c>
      <c r="G865">
        <v>2</v>
      </c>
      <c r="H865">
        <v>3</v>
      </c>
      <c r="I865" s="1" t="s">
        <v>58</v>
      </c>
      <c r="J865">
        <v>1207</v>
      </c>
      <c r="K865">
        <v>2</v>
      </c>
      <c r="L865" s="1" t="s">
        <v>43</v>
      </c>
      <c r="M865">
        <v>99</v>
      </c>
      <c r="N865">
        <v>3</v>
      </c>
      <c r="O865">
        <v>1</v>
      </c>
      <c r="P865" s="1" t="s">
        <v>58</v>
      </c>
      <c r="Q865">
        <v>3</v>
      </c>
      <c r="R865" s="1" t="s">
        <v>45</v>
      </c>
      <c r="S865">
        <v>3600</v>
      </c>
      <c r="T865">
        <v>8429</v>
      </c>
      <c r="U865">
        <v>1</v>
      </c>
      <c r="V865" s="1" t="s">
        <v>40</v>
      </c>
      <c r="W865">
        <v>13</v>
      </c>
      <c r="X865">
        <v>3</v>
      </c>
      <c r="Y865">
        <v>4</v>
      </c>
      <c r="Z865">
        <v>80</v>
      </c>
      <c r="AA865">
        <v>1</v>
      </c>
      <c r="AB865">
        <v>5</v>
      </c>
      <c r="AC865">
        <v>2</v>
      </c>
      <c r="AD865">
        <v>3</v>
      </c>
      <c r="AE865">
        <v>5</v>
      </c>
      <c r="AF865">
        <v>4</v>
      </c>
      <c r="AG865">
        <v>1</v>
      </c>
      <c r="AH865">
        <v>4</v>
      </c>
      <c r="AI865">
        <f>IF(tbl_HRData[[#This Row],[Attrition]] = "Yes",1,0)</f>
        <v>0</v>
      </c>
      <c r="AJ865">
        <f>IF(tbl_HRData[[#This Row],[Attrition]] = "No",1,0)</f>
        <v>1</v>
      </c>
      <c r="AK865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865" s="1" t="str">
        <f>IF(tbl_HRData[[#This Row],[MonthlyIncome]]&lt;5000,"Low",
IF(tbl_HRData[[#This Row],[MonthlyIncome]]&lt;10000,"Medium",
IF(tbl_HRData[[#This Row],[MonthlyIncome]]&lt;15000,"Upper Medium","High")))</f>
        <v>Low</v>
      </c>
      <c r="AM865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866" spans="1:39" x14ac:dyDescent="0.35">
      <c r="A866" s="1">
        <v>865</v>
      </c>
      <c r="B866">
        <v>41</v>
      </c>
      <c r="C866" s="1" t="s">
        <v>33</v>
      </c>
      <c r="D866" s="1" t="s">
        <v>52</v>
      </c>
      <c r="E866">
        <v>906</v>
      </c>
      <c r="F866" s="1" t="s">
        <v>42</v>
      </c>
      <c r="G866">
        <v>5</v>
      </c>
      <c r="H866">
        <v>2</v>
      </c>
      <c r="I866" s="1" t="s">
        <v>36</v>
      </c>
      <c r="J866">
        <v>1210</v>
      </c>
      <c r="K866">
        <v>1</v>
      </c>
      <c r="L866" s="1" t="s">
        <v>43</v>
      </c>
      <c r="M866">
        <v>95</v>
      </c>
      <c r="N866">
        <v>2</v>
      </c>
      <c r="O866">
        <v>1</v>
      </c>
      <c r="P866" s="1" t="s">
        <v>44</v>
      </c>
      <c r="Q866">
        <v>1</v>
      </c>
      <c r="R866" s="1" t="s">
        <v>49</v>
      </c>
      <c r="S866">
        <v>2107</v>
      </c>
      <c r="T866">
        <v>20293</v>
      </c>
      <c r="U866">
        <v>6</v>
      </c>
      <c r="V866" s="1" t="s">
        <v>40</v>
      </c>
      <c r="W866">
        <v>17</v>
      </c>
      <c r="X866">
        <v>3</v>
      </c>
      <c r="Y866">
        <v>1</v>
      </c>
      <c r="Z866">
        <v>80</v>
      </c>
      <c r="AA866">
        <v>1</v>
      </c>
      <c r="AB866">
        <v>5</v>
      </c>
      <c r="AC866">
        <v>2</v>
      </c>
      <c r="AD866">
        <v>1</v>
      </c>
      <c r="AE866">
        <v>1</v>
      </c>
      <c r="AF866">
        <v>0</v>
      </c>
      <c r="AG866">
        <v>0</v>
      </c>
      <c r="AH866">
        <v>0</v>
      </c>
      <c r="AI866">
        <f>IF(tbl_HRData[[#This Row],[Attrition]] = "Yes",1,0)</f>
        <v>1</v>
      </c>
      <c r="AJ866">
        <f>IF(tbl_HRData[[#This Row],[Attrition]] = "No",1,0)</f>
        <v>0</v>
      </c>
      <c r="AK866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866" s="1" t="str">
        <f>IF(tbl_HRData[[#This Row],[MonthlyIncome]]&lt;5000,"Low",
IF(tbl_HRData[[#This Row],[MonthlyIncome]]&lt;10000,"Medium",
IF(tbl_HRData[[#This Row],[MonthlyIncome]]&lt;15000,"Upper Medium","High")))</f>
        <v>Low</v>
      </c>
      <c r="AM866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867" spans="1:39" x14ac:dyDescent="0.35">
      <c r="A867" s="1">
        <v>866</v>
      </c>
      <c r="B867">
        <v>30</v>
      </c>
      <c r="C867" s="1" t="s">
        <v>40</v>
      </c>
      <c r="D867" s="1" t="s">
        <v>34</v>
      </c>
      <c r="E867">
        <v>1329</v>
      </c>
      <c r="F867" s="1" t="s">
        <v>35</v>
      </c>
      <c r="G867">
        <v>29</v>
      </c>
      <c r="H867">
        <v>4</v>
      </c>
      <c r="I867" s="1" t="s">
        <v>36</v>
      </c>
      <c r="J867">
        <v>1211</v>
      </c>
      <c r="K867">
        <v>3</v>
      </c>
      <c r="L867" s="1" t="s">
        <v>43</v>
      </c>
      <c r="M867">
        <v>61</v>
      </c>
      <c r="N867">
        <v>3</v>
      </c>
      <c r="O867">
        <v>2</v>
      </c>
      <c r="P867" s="1" t="s">
        <v>38</v>
      </c>
      <c r="Q867">
        <v>1</v>
      </c>
      <c r="R867" s="1" t="s">
        <v>49</v>
      </c>
      <c r="S867">
        <v>4115</v>
      </c>
      <c r="T867">
        <v>13192</v>
      </c>
      <c r="U867">
        <v>8</v>
      </c>
      <c r="V867" s="1" t="s">
        <v>40</v>
      </c>
      <c r="W867">
        <v>19</v>
      </c>
      <c r="X867">
        <v>3</v>
      </c>
      <c r="Y867">
        <v>3</v>
      </c>
      <c r="Z867">
        <v>80</v>
      </c>
      <c r="AA867">
        <v>3</v>
      </c>
      <c r="AB867">
        <v>8</v>
      </c>
      <c r="AC867">
        <v>3</v>
      </c>
      <c r="AD867">
        <v>3</v>
      </c>
      <c r="AE867">
        <v>4</v>
      </c>
      <c r="AF867">
        <v>3</v>
      </c>
      <c r="AG867">
        <v>0</v>
      </c>
      <c r="AH867">
        <v>3</v>
      </c>
      <c r="AI867">
        <f>IF(tbl_HRData[[#This Row],[Attrition]] = "Yes",1,0)</f>
        <v>0</v>
      </c>
      <c r="AJ867">
        <f>IF(tbl_HRData[[#This Row],[Attrition]] = "No",1,0)</f>
        <v>1</v>
      </c>
      <c r="AK867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867" s="1" t="str">
        <f>IF(tbl_HRData[[#This Row],[MonthlyIncome]]&lt;5000,"Low",
IF(tbl_HRData[[#This Row],[MonthlyIncome]]&lt;10000,"Medium",
IF(tbl_HRData[[#This Row],[MonthlyIncome]]&lt;15000,"Upper Medium","High")))</f>
        <v>Low</v>
      </c>
      <c r="AM867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868" spans="1:39" x14ac:dyDescent="0.35">
      <c r="A868" s="1">
        <v>867</v>
      </c>
      <c r="B868">
        <v>40</v>
      </c>
      <c r="C868" s="1" t="s">
        <v>40</v>
      </c>
      <c r="D868" s="1" t="s">
        <v>41</v>
      </c>
      <c r="E868">
        <v>1184</v>
      </c>
      <c r="F868" s="1" t="s">
        <v>35</v>
      </c>
      <c r="G868">
        <v>2</v>
      </c>
      <c r="H868">
        <v>4</v>
      </c>
      <c r="I868" s="1" t="s">
        <v>48</v>
      </c>
      <c r="J868">
        <v>1212</v>
      </c>
      <c r="K868">
        <v>2</v>
      </c>
      <c r="L868" s="1" t="s">
        <v>43</v>
      </c>
      <c r="M868">
        <v>62</v>
      </c>
      <c r="N868">
        <v>3</v>
      </c>
      <c r="O868">
        <v>2</v>
      </c>
      <c r="P868" s="1" t="s">
        <v>38</v>
      </c>
      <c r="Q868">
        <v>2</v>
      </c>
      <c r="R868" s="1" t="s">
        <v>45</v>
      </c>
      <c r="S868">
        <v>4327</v>
      </c>
      <c r="T868">
        <v>25440</v>
      </c>
      <c r="U868">
        <v>5</v>
      </c>
      <c r="V868" s="1" t="s">
        <v>40</v>
      </c>
      <c r="W868">
        <v>12</v>
      </c>
      <c r="X868">
        <v>3</v>
      </c>
      <c r="Y868">
        <v>4</v>
      </c>
      <c r="Z868">
        <v>80</v>
      </c>
      <c r="AA868">
        <v>3</v>
      </c>
      <c r="AB868">
        <v>5</v>
      </c>
      <c r="AC868">
        <v>2</v>
      </c>
      <c r="AD868">
        <v>3</v>
      </c>
      <c r="AE868">
        <v>0</v>
      </c>
      <c r="AF868">
        <v>0</v>
      </c>
      <c r="AG868">
        <v>0</v>
      </c>
      <c r="AH868">
        <v>0</v>
      </c>
      <c r="AI868">
        <f>IF(tbl_HRData[[#This Row],[Attrition]] = "Yes",1,0)</f>
        <v>0</v>
      </c>
      <c r="AJ868">
        <f>IF(tbl_HRData[[#This Row],[Attrition]] = "No",1,0)</f>
        <v>1</v>
      </c>
      <c r="AK868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868" s="1" t="str">
        <f>IF(tbl_HRData[[#This Row],[MonthlyIncome]]&lt;5000,"Low",
IF(tbl_HRData[[#This Row],[MonthlyIncome]]&lt;10000,"Medium",
IF(tbl_HRData[[#This Row],[MonthlyIncome]]&lt;15000,"Upper Medium","High")))</f>
        <v>Low</v>
      </c>
      <c r="AM868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869" spans="1:39" x14ac:dyDescent="0.35">
      <c r="A869" s="1">
        <v>868</v>
      </c>
      <c r="B869">
        <v>50</v>
      </c>
      <c r="C869" s="1" t="s">
        <v>40</v>
      </c>
      <c r="D869" s="1" t="s">
        <v>41</v>
      </c>
      <c r="E869">
        <v>1421</v>
      </c>
      <c r="F869" s="1" t="s">
        <v>42</v>
      </c>
      <c r="G869">
        <v>2</v>
      </c>
      <c r="H869">
        <v>3</v>
      </c>
      <c r="I869" s="1" t="s">
        <v>48</v>
      </c>
      <c r="J869">
        <v>1215</v>
      </c>
      <c r="K869">
        <v>4</v>
      </c>
      <c r="L869" s="1" t="s">
        <v>37</v>
      </c>
      <c r="M869">
        <v>30</v>
      </c>
      <c r="N869">
        <v>3</v>
      </c>
      <c r="O869">
        <v>4</v>
      </c>
      <c r="P869" s="1" t="s">
        <v>53</v>
      </c>
      <c r="Q869">
        <v>1</v>
      </c>
      <c r="R869" s="1" t="s">
        <v>45</v>
      </c>
      <c r="S869">
        <v>17856</v>
      </c>
      <c r="T869">
        <v>9490</v>
      </c>
      <c r="U869">
        <v>2</v>
      </c>
      <c r="V869" s="1" t="s">
        <v>40</v>
      </c>
      <c r="W869">
        <v>22</v>
      </c>
      <c r="X869">
        <v>4</v>
      </c>
      <c r="Y869">
        <v>3</v>
      </c>
      <c r="Z869">
        <v>80</v>
      </c>
      <c r="AA869">
        <v>1</v>
      </c>
      <c r="AB869">
        <v>32</v>
      </c>
      <c r="AC869">
        <v>3</v>
      </c>
      <c r="AD869">
        <v>3</v>
      </c>
      <c r="AE869">
        <v>2</v>
      </c>
      <c r="AF869">
        <v>2</v>
      </c>
      <c r="AG869">
        <v>2</v>
      </c>
      <c r="AH869">
        <v>2</v>
      </c>
      <c r="AI869">
        <f>IF(tbl_HRData[[#This Row],[Attrition]] = "Yes",1,0)</f>
        <v>0</v>
      </c>
      <c r="AJ869">
        <f>IF(tbl_HRData[[#This Row],[Attrition]] = "No",1,0)</f>
        <v>1</v>
      </c>
      <c r="AK869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869" s="1" t="str">
        <f>IF(tbl_HRData[[#This Row],[MonthlyIncome]]&lt;5000,"Low",
IF(tbl_HRData[[#This Row],[MonthlyIncome]]&lt;10000,"Medium",
IF(tbl_HRData[[#This Row],[MonthlyIncome]]&lt;15000,"Upper Medium","High")))</f>
        <v>High</v>
      </c>
      <c r="AM869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870" spans="1:39" x14ac:dyDescent="0.35">
      <c r="A870" s="1">
        <v>869</v>
      </c>
      <c r="B870">
        <v>28</v>
      </c>
      <c r="C870" s="1" t="s">
        <v>40</v>
      </c>
      <c r="D870" s="1" t="s">
        <v>34</v>
      </c>
      <c r="E870">
        <v>1179</v>
      </c>
      <c r="F870" s="1" t="s">
        <v>42</v>
      </c>
      <c r="G870">
        <v>19</v>
      </c>
      <c r="H870">
        <v>4</v>
      </c>
      <c r="I870" s="1" t="s">
        <v>48</v>
      </c>
      <c r="J870">
        <v>1216</v>
      </c>
      <c r="K870">
        <v>4</v>
      </c>
      <c r="L870" s="1" t="s">
        <v>43</v>
      </c>
      <c r="M870">
        <v>78</v>
      </c>
      <c r="N870">
        <v>2</v>
      </c>
      <c r="O870">
        <v>1</v>
      </c>
      <c r="P870" s="1" t="s">
        <v>47</v>
      </c>
      <c r="Q870">
        <v>1</v>
      </c>
      <c r="R870" s="1" t="s">
        <v>45</v>
      </c>
      <c r="S870">
        <v>3196</v>
      </c>
      <c r="T870">
        <v>12449</v>
      </c>
      <c r="U870">
        <v>1</v>
      </c>
      <c r="V870" s="1" t="s">
        <v>40</v>
      </c>
      <c r="W870">
        <v>12</v>
      </c>
      <c r="X870">
        <v>3</v>
      </c>
      <c r="Y870">
        <v>3</v>
      </c>
      <c r="Z870">
        <v>80</v>
      </c>
      <c r="AA870">
        <v>3</v>
      </c>
      <c r="AB870">
        <v>6</v>
      </c>
      <c r="AC870">
        <v>2</v>
      </c>
      <c r="AD870">
        <v>3</v>
      </c>
      <c r="AE870">
        <v>6</v>
      </c>
      <c r="AF870">
        <v>5</v>
      </c>
      <c r="AG870">
        <v>3</v>
      </c>
      <c r="AH870">
        <v>3</v>
      </c>
      <c r="AI870">
        <f>IF(tbl_HRData[[#This Row],[Attrition]] = "Yes",1,0)</f>
        <v>0</v>
      </c>
      <c r="AJ870">
        <f>IF(tbl_HRData[[#This Row],[Attrition]] = "No",1,0)</f>
        <v>1</v>
      </c>
      <c r="AK870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870" s="1" t="str">
        <f>IF(tbl_HRData[[#This Row],[MonthlyIncome]]&lt;5000,"Low",
IF(tbl_HRData[[#This Row],[MonthlyIncome]]&lt;10000,"Medium",
IF(tbl_HRData[[#This Row],[MonthlyIncome]]&lt;15000,"Upper Medium","High")))</f>
        <v>Low</v>
      </c>
      <c r="AM870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871" spans="1:39" x14ac:dyDescent="0.35">
      <c r="A871" s="1">
        <v>870</v>
      </c>
      <c r="B871">
        <v>46</v>
      </c>
      <c r="C871" s="1" t="s">
        <v>40</v>
      </c>
      <c r="D871" s="1" t="s">
        <v>34</v>
      </c>
      <c r="E871">
        <v>1450</v>
      </c>
      <c r="F871" s="1" t="s">
        <v>42</v>
      </c>
      <c r="G871">
        <v>15</v>
      </c>
      <c r="H871">
        <v>2</v>
      </c>
      <c r="I871" s="1" t="s">
        <v>36</v>
      </c>
      <c r="J871">
        <v>1217</v>
      </c>
      <c r="K871">
        <v>4</v>
      </c>
      <c r="L871" s="1" t="s">
        <v>43</v>
      </c>
      <c r="M871">
        <v>52</v>
      </c>
      <c r="N871">
        <v>3</v>
      </c>
      <c r="O871">
        <v>5</v>
      </c>
      <c r="P871" s="1" t="s">
        <v>55</v>
      </c>
      <c r="Q871">
        <v>2</v>
      </c>
      <c r="R871" s="1" t="s">
        <v>45</v>
      </c>
      <c r="S871">
        <v>19081</v>
      </c>
      <c r="T871">
        <v>10849</v>
      </c>
      <c r="U871">
        <v>5</v>
      </c>
      <c r="V871" s="1" t="s">
        <v>40</v>
      </c>
      <c r="W871">
        <v>11</v>
      </c>
      <c r="X871">
        <v>3</v>
      </c>
      <c r="Y871">
        <v>1</v>
      </c>
      <c r="Z871">
        <v>80</v>
      </c>
      <c r="AA871">
        <v>1</v>
      </c>
      <c r="AB871">
        <v>25</v>
      </c>
      <c r="AC871">
        <v>2</v>
      </c>
      <c r="AD871">
        <v>3</v>
      </c>
      <c r="AE871">
        <v>4</v>
      </c>
      <c r="AF871">
        <v>2</v>
      </c>
      <c r="AG871">
        <v>0</v>
      </c>
      <c r="AH871">
        <v>3</v>
      </c>
      <c r="AI871">
        <f>IF(tbl_HRData[[#This Row],[Attrition]] = "Yes",1,0)</f>
        <v>0</v>
      </c>
      <c r="AJ871">
        <f>IF(tbl_HRData[[#This Row],[Attrition]] = "No",1,0)</f>
        <v>1</v>
      </c>
      <c r="AK871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871" s="1" t="str">
        <f>IF(tbl_HRData[[#This Row],[MonthlyIncome]]&lt;5000,"Low",
IF(tbl_HRData[[#This Row],[MonthlyIncome]]&lt;10000,"Medium",
IF(tbl_HRData[[#This Row],[MonthlyIncome]]&lt;15000,"Upper Medium","High")))</f>
        <v>High</v>
      </c>
      <c r="AM871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872" spans="1:39" x14ac:dyDescent="0.35">
      <c r="A872" s="1">
        <v>871</v>
      </c>
      <c r="B872">
        <v>35</v>
      </c>
      <c r="C872" s="1" t="s">
        <v>40</v>
      </c>
      <c r="D872" s="1" t="s">
        <v>34</v>
      </c>
      <c r="E872">
        <v>1361</v>
      </c>
      <c r="F872" s="1" t="s">
        <v>35</v>
      </c>
      <c r="G872">
        <v>17</v>
      </c>
      <c r="H872">
        <v>4</v>
      </c>
      <c r="I872" s="1" t="s">
        <v>36</v>
      </c>
      <c r="J872">
        <v>1218</v>
      </c>
      <c r="K872">
        <v>3</v>
      </c>
      <c r="L872" s="1" t="s">
        <v>43</v>
      </c>
      <c r="M872">
        <v>94</v>
      </c>
      <c r="N872">
        <v>3</v>
      </c>
      <c r="O872">
        <v>2</v>
      </c>
      <c r="P872" s="1" t="s">
        <v>38</v>
      </c>
      <c r="Q872">
        <v>1</v>
      </c>
      <c r="R872" s="1" t="s">
        <v>45</v>
      </c>
      <c r="S872">
        <v>8966</v>
      </c>
      <c r="T872">
        <v>21026</v>
      </c>
      <c r="U872">
        <v>3</v>
      </c>
      <c r="V872" s="1" t="s">
        <v>33</v>
      </c>
      <c r="W872">
        <v>15</v>
      </c>
      <c r="X872">
        <v>3</v>
      </c>
      <c r="Y872">
        <v>4</v>
      </c>
      <c r="Z872">
        <v>80</v>
      </c>
      <c r="AA872">
        <v>3</v>
      </c>
      <c r="AB872">
        <v>15</v>
      </c>
      <c r="AC872">
        <v>2</v>
      </c>
      <c r="AD872">
        <v>3</v>
      </c>
      <c r="AE872">
        <v>7</v>
      </c>
      <c r="AF872">
        <v>7</v>
      </c>
      <c r="AG872">
        <v>1</v>
      </c>
      <c r="AH872">
        <v>7</v>
      </c>
      <c r="AI872">
        <f>IF(tbl_HRData[[#This Row],[Attrition]] = "Yes",1,0)</f>
        <v>0</v>
      </c>
      <c r="AJ872">
        <f>IF(tbl_HRData[[#This Row],[Attrition]] = "No",1,0)</f>
        <v>1</v>
      </c>
      <c r="AK872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872" s="1" t="str">
        <f>IF(tbl_HRData[[#This Row],[MonthlyIncome]]&lt;5000,"Low",
IF(tbl_HRData[[#This Row],[MonthlyIncome]]&lt;10000,"Medium",
IF(tbl_HRData[[#This Row],[MonthlyIncome]]&lt;15000,"Upper Medium","High")))</f>
        <v>Medium</v>
      </c>
      <c r="AM872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873" spans="1:39" x14ac:dyDescent="0.35">
      <c r="A873" s="1">
        <v>872</v>
      </c>
      <c r="B873">
        <v>24</v>
      </c>
      <c r="C873" s="1" t="s">
        <v>33</v>
      </c>
      <c r="D873" s="1" t="s">
        <v>34</v>
      </c>
      <c r="E873">
        <v>984</v>
      </c>
      <c r="F873" s="1" t="s">
        <v>42</v>
      </c>
      <c r="G873">
        <v>17</v>
      </c>
      <c r="H873">
        <v>2</v>
      </c>
      <c r="I873" s="1" t="s">
        <v>36</v>
      </c>
      <c r="J873">
        <v>1219</v>
      </c>
      <c r="K873">
        <v>4</v>
      </c>
      <c r="L873" s="1" t="s">
        <v>37</v>
      </c>
      <c r="M873">
        <v>97</v>
      </c>
      <c r="N873">
        <v>3</v>
      </c>
      <c r="O873">
        <v>1</v>
      </c>
      <c r="P873" s="1" t="s">
        <v>47</v>
      </c>
      <c r="Q873">
        <v>2</v>
      </c>
      <c r="R873" s="1" t="s">
        <v>45</v>
      </c>
      <c r="S873">
        <v>2210</v>
      </c>
      <c r="T873">
        <v>3372</v>
      </c>
      <c r="U873">
        <v>1</v>
      </c>
      <c r="V873" s="1" t="s">
        <v>40</v>
      </c>
      <c r="W873">
        <v>13</v>
      </c>
      <c r="X873">
        <v>3</v>
      </c>
      <c r="Y873">
        <v>1</v>
      </c>
      <c r="Z873">
        <v>80</v>
      </c>
      <c r="AA873">
        <v>1</v>
      </c>
      <c r="AB873">
        <v>1</v>
      </c>
      <c r="AC873">
        <v>3</v>
      </c>
      <c r="AD873">
        <v>1</v>
      </c>
      <c r="AE873">
        <v>1</v>
      </c>
      <c r="AF873">
        <v>0</v>
      </c>
      <c r="AG873">
        <v>0</v>
      </c>
      <c r="AH873">
        <v>0</v>
      </c>
      <c r="AI873">
        <f>IF(tbl_HRData[[#This Row],[Attrition]] = "Yes",1,0)</f>
        <v>1</v>
      </c>
      <c r="AJ873">
        <f>IF(tbl_HRData[[#This Row],[Attrition]] = "No",1,0)</f>
        <v>0</v>
      </c>
      <c r="AK873" t="str">
        <f>IF(tbl_HRData[[#This Row],[Age]] &lt; 25, "Under 25", IF(tbl_HRData[[#This Row],[Age]] &lt;= 34, "25-34", IF(tbl_HRData[[#This Row],[Age]] &lt;= 44, "35-44", IF(tbl_HRData[[#This Row],[Age]] &lt;= 54, "45-54", "55+"))))</f>
        <v>Under 25</v>
      </c>
      <c r="AL873" s="1" t="str">
        <f>IF(tbl_HRData[[#This Row],[MonthlyIncome]]&lt;5000,"Low",
IF(tbl_HRData[[#This Row],[MonthlyIncome]]&lt;10000,"Medium",
IF(tbl_HRData[[#This Row],[MonthlyIncome]]&lt;15000,"Upper Medium","High")))</f>
        <v>Low</v>
      </c>
      <c r="AM873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874" spans="1:39" x14ac:dyDescent="0.35">
      <c r="A874" s="1">
        <v>873</v>
      </c>
      <c r="B874">
        <v>33</v>
      </c>
      <c r="C874" s="1" t="s">
        <v>40</v>
      </c>
      <c r="D874" s="1" t="s">
        <v>41</v>
      </c>
      <c r="E874">
        <v>1146</v>
      </c>
      <c r="F874" s="1" t="s">
        <v>35</v>
      </c>
      <c r="G874">
        <v>25</v>
      </c>
      <c r="H874">
        <v>3</v>
      </c>
      <c r="I874" s="1" t="s">
        <v>48</v>
      </c>
      <c r="J874">
        <v>1220</v>
      </c>
      <c r="K874">
        <v>2</v>
      </c>
      <c r="L874" s="1" t="s">
        <v>37</v>
      </c>
      <c r="M874">
        <v>82</v>
      </c>
      <c r="N874">
        <v>3</v>
      </c>
      <c r="O874">
        <v>2</v>
      </c>
      <c r="P874" s="1" t="s">
        <v>38</v>
      </c>
      <c r="Q874">
        <v>3</v>
      </c>
      <c r="R874" s="1" t="s">
        <v>45</v>
      </c>
      <c r="S874">
        <v>4539</v>
      </c>
      <c r="T874">
        <v>4905</v>
      </c>
      <c r="U874">
        <v>1</v>
      </c>
      <c r="V874" s="1" t="s">
        <v>40</v>
      </c>
      <c r="W874">
        <v>12</v>
      </c>
      <c r="X874">
        <v>3</v>
      </c>
      <c r="Y874">
        <v>1</v>
      </c>
      <c r="Z874">
        <v>80</v>
      </c>
      <c r="AA874">
        <v>1</v>
      </c>
      <c r="AB874">
        <v>10</v>
      </c>
      <c r="AC874">
        <v>3</v>
      </c>
      <c r="AD874">
        <v>2</v>
      </c>
      <c r="AE874">
        <v>10</v>
      </c>
      <c r="AF874">
        <v>7</v>
      </c>
      <c r="AG874">
        <v>0</v>
      </c>
      <c r="AH874">
        <v>1</v>
      </c>
      <c r="AI874">
        <f>IF(tbl_HRData[[#This Row],[Attrition]] = "Yes",1,0)</f>
        <v>0</v>
      </c>
      <c r="AJ874">
        <f>IF(tbl_HRData[[#This Row],[Attrition]] = "No",1,0)</f>
        <v>1</v>
      </c>
      <c r="AK874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874" s="1" t="str">
        <f>IF(tbl_HRData[[#This Row],[MonthlyIncome]]&lt;5000,"Low",
IF(tbl_HRData[[#This Row],[MonthlyIncome]]&lt;10000,"Medium",
IF(tbl_HRData[[#This Row],[MonthlyIncome]]&lt;15000,"Upper Medium","High")))</f>
        <v>Low</v>
      </c>
      <c r="AM874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875" spans="1:39" x14ac:dyDescent="0.35">
      <c r="A875" s="1">
        <v>874</v>
      </c>
      <c r="B875">
        <v>36</v>
      </c>
      <c r="C875" s="1" t="s">
        <v>40</v>
      </c>
      <c r="D875" s="1" t="s">
        <v>34</v>
      </c>
      <c r="E875">
        <v>917</v>
      </c>
      <c r="F875" s="1" t="s">
        <v>42</v>
      </c>
      <c r="G875">
        <v>6</v>
      </c>
      <c r="H875">
        <v>4</v>
      </c>
      <c r="I875" s="1" t="s">
        <v>36</v>
      </c>
      <c r="J875">
        <v>1221</v>
      </c>
      <c r="K875">
        <v>3</v>
      </c>
      <c r="L875" s="1" t="s">
        <v>43</v>
      </c>
      <c r="M875">
        <v>60</v>
      </c>
      <c r="N875">
        <v>1</v>
      </c>
      <c r="O875">
        <v>1</v>
      </c>
      <c r="P875" s="1" t="s">
        <v>47</v>
      </c>
      <c r="Q875">
        <v>3</v>
      </c>
      <c r="R875" s="1" t="s">
        <v>49</v>
      </c>
      <c r="S875">
        <v>2741</v>
      </c>
      <c r="T875">
        <v>6865</v>
      </c>
      <c r="U875">
        <v>1</v>
      </c>
      <c r="V875" s="1" t="s">
        <v>40</v>
      </c>
      <c r="W875">
        <v>14</v>
      </c>
      <c r="X875">
        <v>3</v>
      </c>
      <c r="Y875">
        <v>3</v>
      </c>
      <c r="Z875">
        <v>80</v>
      </c>
      <c r="AA875">
        <v>1</v>
      </c>
      <c r="AB875">
        <v>7</v>
      </c>
      <c r="AC875">
        <v>4</v>
      </c>
      <c r="AD875">
        <v>3</v>
      </c>
      <c r="AE875">
        <v>7</v>
      </c>
      <c r="AF875">
        <v>7</v>
      </c>
      <c r="AG875">
        <v>1</v>
      </c>
      <c r="AH875">
        <v>7</v>
      </c>
      <c r="AI875">
        <f>IF(tbl_HRData[[#This Row],[Attrition]] = "Yes",1,0)</f>
        <v>0</v>
      </c>
      <c r="AJ875">
        <f>IF(tbl_HRData[[#This Row],[Attrition]] = "No",1,0)</f>
        <v>1</v>
      </c>
      <c r="AK875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875" s="1" t="str">
        <f>IF(tbl_HRData[[#This Row],[MonthlyIncome]]&lt;5000,"Low",
IF(tbl_HRData[[#This Row],[MonthlyIncome]]&lt;10000,"Medium",
IF(tbl_HRData[[#This Row],[MonthlyIncome]]&lt;15000,"Upper Medium","High")))</f>
        <v>Low</v>
      </c>
      <c r="AM875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876" spans="1:39" x14ac:dyDescent="0.35">
      <c r="A876" s="1">
        <v>875</v>
      </c>
      <c r="B876">
        <v>30</v>
      </c>
      <c r="C876" s="1" t="s">
        <v>40</v>
      </c>
      <c r="D876" s="1" t="s">
        <v>34</v>
      </c>
      <c r="E876">
        <v>853</v>
      </c>
      <c r="F876" s="1" t="s">
        <v>42</v>
      </c>
      <c r="G876">
        <v>7</v>
      </c>
      <c r="H876">
        <v>4</v>
      </c>
      <c r="I876" s="1" t="s">
        <v>36</v>
      </c>
      <c r="J876">
        <v>1224</v>
      </c>
      <c r="K876">
        <v>3</v>
      </c>
      <c r="L876" s="1" t="s">
        <v>43</v>
      </c>
      <c r="M876">
        <v>49</v>
      </c>
      <c r="N876">
        <v>3</v>
      </c>
      <c r="O876">
        <v>2</v>
      </c>
      <c r="P876" s="1" t="s">
        <v>47</v>
      </c>
      <c r="Q876">
        <v>3</v>
      </c>
      <c r="R876" s="1" t="s">
        <v>49</v>
      </c>
      <c r="S876">
        <v>3491</v>
      </c>
      <c r="T876">
        <v>11309</v>
      </c>
      <c r="U876">
        <v>1</v>
      </c>
      <c r="V876" s="1" t="s">
        <v>40</v>
      </c>
      <c r="W876">
        <v>13</v>
      </c>
      <c r="X876">
        <v>3</v>
      </c>
      <c r="Y876">
        <v>1</v>
      </c>
      <c r="Z876">
        <v>80</v>
      </c>
      <c r="AA876">
        <v>3</v>
      </c>
      <c r="AB876">
        <v>10</v>
      </c>
      <c r="AC876">
        <v>4</v>
      </c>
      <c r="AD876">
        <v>2</v>
      </c>
      <c r="AE876">
        <v>10</v>
      </c>
      <c r="AF876">
        <v>7</v>
      </c>
      <c r="AG876">
        <v>8</v>
      </c>
      <c r="AH876">
        <v>9</v>
      </c>
      <c r="AI876">
        <f>IF(tbl_HRData[[#This Row],[Attrition]] = "Yes",1,0)</f>
        <v>0</v>
      </c>
      <c r="AJ876">
        <f>IF(tbl_HRData[[#This Row],[Attrition]] = "No",1,0)</f>
        <v>1</v>
      </c>
      <c r="AK876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876" s="1" t="str">
        <f>IF(tbl_HRData[[#This Row],[MonthlyIncome]]&lt;5000,"Low",
IF(tbl_HRData[[#This Row],[MonthlyIncome]]&lt;10000,"Medium",
IF(tbl_HRData[[#This Row],[MonthlyIncome]]&lt;15000,"Upper Medium","High")))</f>
        <v>Low</v>
      </c>
      <c r="AM876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877" spans="1:39" x14ac:dyDescent="0.35">
      <c r="A877" s="1">
        <v>876</v>
      </c>
      <c r="B877">
        <v>44</v>
      </c>
      <c r="C877" s="1" t="s">
        <v>40</v>
      </c>
      <c r="D877" s="1" t="s">
        <v>34</v>
      </c>
      <c r="E877">
        <v>200</v>
      </c>
      <c r="F877" s="1" t="s">
        <v>42</v>
      </c>
      <c r="G877">
        <v>29</v>
      </c>
      <c r="H877">
        <v>4</v>
      </c>
      <c r="I877" s="1" t="s">
        <v>46</v>
      </c>
      <c r="J877">
        <v>1225</v>
      </c>
      <c r="K877">
        <v>4</v>
      </c>
      <c r="L877" s="1" t="s">
        <v>43</v>
      </c>
      <c r="M877">
        <v>32</v>
      </c>
      <c r="N877">
        <v>3</v>
      </c>
      <c r="O877">
        <v>2</v>
      </c>
      <c r="P877" s="1" t="s">
        <v>44</v>
      </c>
      <c r="Q877">
        <v>4</v>
      </c>
      <c r="R877" s="1" t="s">
        <v>39</v>
      </c>
      <c r="S877">
        <v>4541</v>
      </c>
      <c r="T877">
        <v>7744</v>
      </c>
      <c r="U877">
        <v>1</v>
      </c>
      <c r="V877" s="1" t="s">
        <v>40</v>
      </c>
      <c r="W877">
        <v>25</v>
      </c>
      <c r="X877">
        <v>4</v>
      </c>
      <c r="Y877">
        <v>2</v>
      </c>
      <c r="Z877">
        <v>80</v>
      </c>
      <c r="AA877">
        <v>0</v>
      </c>
      <c r="AB877">
        <v>20</v>
      </c>
      <c r="AC877">
        <v>3</v>
      </c>
      <c r="AD877">
        <v>3</v>
      </c>
      <c r="AE877">
        <v>20</v>
      </c>
      <c r="AF877">
        <v>11</v>
      </c>
      <c r="AG877">
        <v>13</v>
      </c>
      <c r="AH877">
        <v>17</v>
      </c>
      <c r="AI877">
        <f>IF(tbl_HRData[[#This Row],[Attrition]] = "Yes",1,0)</f>
        <v>0</v>
      </c>
      <c r="AJ877">
        <f>IF(tbl_HRData[[#This Row],[Attrition]] = "No",1,0)</f>
        <v>1</v>
      </c>
      <c r="AK877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877" s="1" t="str">
        <f>IF(tbl_HRData[[#This Row],[MonthlyIncome]]&lt;5000,"Low",
IF(tbl_HRData[[#This Row],[MonthlyIncome]]&lt;10000,"Medium",
IF(tbl_HRData[[#This Row],[MonthlyIncome]]&lt;15000,"Upper Medium","High")))</f>
        <v>Low</v>
      </c>
      <c r="AM877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878" spans="1:39" x14ac:dyDescent="0.35">
      <c r="A878" s="1">
        <v>877</v>
      </c>
      <c r="B878">
        <v>20</v>
      </c>
      <c r="C878" s="1" t="s">
        <v>40</v>
      </c>
      <c r="D878" s="1" t="s">
        <v>34</v>
      </c>
      <c r="E878">
        <v>654</v>
      </c>
      <c r="F878" s="1" t="s">
        <v>35</v>
      </c>
      <c r="G878">
        <v>21</v>
      </c>
      <c r="H878">
        <v>3</v>
      </c>
      <c r="I878" s="1" t="s">
        <v>56</v>
      </c>
      <c r="J878">
        <v>1226</v>
      </c>
      <c r="K878">
        <v>3</v>
      </c>
      <c r="L878" s="1" t="s">
        <v>43</v>
      </c>
      <c r="M878">
        <v>43</v>
      </c>
      <c r="N878">
        <v>4</v>
      </c>
      <c r="O878">
        <v>1</v>
      </c>
      <c r="P878" s="1" t="s">
        <v>54</v>
      </c>
      <c r="Q878">
        <v>4</v>
      </c>
      <c r="R878" s="1" t="s">
        <v>39</v>
      </c>
      <c r="S878">
        <v>2678</v>
      </c>
      <c r="T878">
        <v>5050</v>
      </c>
      <c r="U878">
        <v>1</v>
      </c>
      <c r="V878" s="1" t="s">
        <v>40</v>
      </c>
      <c r="W878">
        <v>17</v>
      </c>
      <c r="X878">
        <v>3</v>
      </c>
      <c r="Y878">
        <v>4</v>
      </c>
      <c r="Z878">
        <v>80</v>
      </c>
      <c r="AA878">
        <v>0</v>
      </c>
      <c r="AB878">
        <v>2</v>
      </c>
      <c r="AC878">
        <v>2</v>
      </c>
      <c r="AD878">
        <v>3</v>
      </c>
      <c r="AE878">
        <v>2</v>
      </c>
      <c r="AF878">
        <v>1</v>
      </c>
      <c r="AG878">
        <v>2</v>
      </c>
      <c r="AH878">
        <v>2</v>
      </c>
      <c r="AI878">
        <f>IF(tbl_HRData[[#This Row],[Attrition]] = "Yes",1,0)</f>
        <v>0</v>
      </c>
      <c r="AJ878">
        <f>IF(tbl_HRData[[#This Row],[Attrition]] = "No",1,0)</f>
        <v>1</v>
      </c>
      <c r="AK878" t="str">
        <f>IF(tbl_HRData[[#This Row],[Age]] &lt; 25, "Under 25", IF(tbl_HRData[[#This Row],[Age]] &lt;= 34, "25-34", IF(tbl_HRData[[#This Row],[Age]] &lt;= 44, "35-44", IF(tbl_HRData[[#This Row],[Age]] &lt;= 54, "45-54", "55+"))))</f>
        <v>Under 25</v>
      </c>
      <c r="AL878" s="1" t="str">
        <f>IF(tbl_HRData[[#This Row],[MonthlyIncome]]&lt;5000,"Low",
IF(tbl_HRData[[#This Row],[MonthlyIncome]]&lt;10000,"Medium",
IF(tbl_HRData[[#This Row],[MonthlyIncome]]&lt;15000,"Upper Medium","High")))</f>
        <v>Low</v>
      </c>
      <c r="AM878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879" spans="1:39" x14ac:dyDescent="0.35">
      <c r="A879" s="1">
        <v>878</v>
      </c>
      <c r="B879">
        <v>46</v>
      </c>
      <c r="C879" s="1" t="s">
        <v>40</v>
      </c>
      <c r="D879" s="1" t="s">
        <v>34</v>
      </c>
      <c r="E879">
        <v>150</v>
      </c>
      <c r="F879" s="1" t="s">
        <v>42</v>
      </c>
      <c r="G879">
        <v>2</v>
      </c>
      <c r="H879">
        <v>4</v>
      </c>
      <c r="I879" s="1" t="s">
        <v>57</v>
      </c>
      <c r="J879">
        <v>1228</v>
      </c>
      <c r="K879">
        <v>4</v>
      </c>
      <c r="L879" s="1" t="s">
        <v>43</v>
      </c>
      <c r="M879">
        <v>60</v>
      </c>
      <c r="N879">
        <v>3</v>
      </c>
      <c r="O879">
        <v>2</v>
      </c>
      <c r="P879" s="1" t="s">
        <v>50</v>
      </c>
      <c r="Q879">
        <v>4</v>
      </c>
      <c r="R879" s="1" t="s">
        <v>49</v>
      </c>
      <c r="S879">
        <v>7379</v>
      </c>
      <c r="T879">
        <v>17433</v>
      </c>
      <c r="U879">
        <v>2</v>
      </c>
      <c r="V879" s="1" t="s">
        <v>40</v>
      </c>
      <c r="W879">
        <v>11</v>
      </c>
      <c r="X879">
        <v>3</v>
      </c>
      <c r="Y879">
        <v>3</v>
      </c>
      <c r="Z879">
        <v>80</v>
      </c>
      <c r="AA879">
        <v>1</v>
      </c>
      <c r="AB879">
        <v>12</v>
      </c>
      <c r="AC879">
        <v>3</v>
      </c>
      <c r="AD879">
        <v>2</v>
      </c>
      <c r="AE879">
        <v>6</v>
      </c>
      <c r="AF879">
        <v>3</v>
      </c>
      <c r="AG879">
        <v>1</v>
      </c>
      <c r="AH879">
        <v>4</v>
      </c>
      <c r="AI879">
        <f>IF(tbl_HRData[[#This Row],[Attrition]] = "Yes",1,0)</f>
        <v>0</v>
      </c>
      <c r="AJ879">
        <f>IF(tbl_HRData[[#This Row],[Attrition]] = "No",1,0)</f>
        <v>1</v>
      </c>
      <c r="AK879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879" s="1" t="str">
        <f>IF(tbl_HRData[[#This Row],[MonthlyIncome]]&lt;5000,"Low",
IF(tbl_HRData[[#This Row],[MonthlyIncome]]&lt;10000,"Medium",
IF(tbl_HRData[[#This Row],[MonthlyIncome]]&lt;15000,"Upper Medium","High")))</f>
        <v>Medium</v>
      </c>
      <c r="AM879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880" spans="1:39" x14ac:dyDescent="0.35">
      <c r="A880" s="1">
        <v>879</v>
      </c>
      <c r="B880">
        <v>42</v>
      </c>
      <c r="C880" s="1" t="s">
        <v>40</v>
      </c>
      <c r="D880" s="1" t="s">
        <v>52</v>
      </c>
      <c r="E880">
        <v>179</v>
      </c>
      <c r="F880" s="1" t="s">
        <v>58</v>
      </c>
      <c r="G880">
        <v>2</v>
      </c>
      <c r="H880">
        <v>5</v>
      </c>
      <c r="I880" s="1" t="s">
        <v>48</v>
      </c>
      <c r="J880">
        <v>1231</v>
      </c>
      <c r="K880">
        <v>4</v>
      </c>
      <c r="L880" s="1" t="s">
        <v>43</v>
      </c>
      <c r="M880">
        <v>79</v>
      </c>
      <c r="N880">
        <v>4</v>
      </c>
      <c r="O880">
        <v>2</v>
      </c>
      <c r="P880" s="1" t="s">
        <v>58</v>
      </c>
      <c r="Q880">
        <v>1</v>
      </c>
      <c r="R880" s="1" t="s">
        <v>45</v>
      </c>
      <c r="S880">
        <v>6272</v>
      </c>
      <c r="T880">
        <v>12858</v>
      </c>
      <c r="U880">
        <v>7</v>
      </c>
      <c r="V880" s="1" t="s">
        <v>40</v>
      </c>
      <c r="W880">
        <v>16</v>
      </c>
      <c r="X880">
        <v>3</v>
      </c>
      <c r="Y880">
        <v>1</v>
      </c>
      <c r="Z880">
        <v>80</v>
      </c>
      <c r="AA880">
        <v>1</v>
      </c>
      <c r="AB880">
        <v>10</v>
      </c>
      <c r="AC880">
        <v>3</v>
      </c>
      <c r="AD880">
        <v>4</v>
      </c>
      <c r="AE880">
        <v>4</v>
      </c>
      <c r="AF880">
        <v>3</v>
      </c>
      <c r="AG880">
        <v>0</v>
      </c>
      <c r="AH880">
        <v>3</v>
      </c>
      <c r="AI880">
        <f>IF(tbl_HRData[[#This Row],[Attrition]] = "Yes",1,0)</f>
        <v>0</v>
      </c>
      <c r="AJ880">
        <f>IF(tbl_HRData[[#This Row],[Attrition]] = "No",1,0)</f>
        <v>1</v>
      </c>
      <c r="AK880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880" s="1" t="str">
        <f>IF(tbl_HRData[[#This Row],[MonthlyIncome]]&lt;5000,"Low",
IF(tbl_HRData[[#This Row],[MonthlyIncome]]&lt;10000,"Medium",
IF(tbl_HRData[[#This Row],[MonthlyIncome]]&lt;15000,"Upper Medium","High")))</f>
        <v>Medium</v>
      </c>
      <c r="AM880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881" spans="1:39" x14ac:dyDescent="0.35">
      <c r="A881" s="1">
        <v>880</v>
      </c>
      <c r="B881">
        <v>60</v>
      </c>
      <c r="C881" s="1" t="s">
        <v>40</v>
      </c>
      <c r="D881" s="1" t="s">
        <v>34</v>
      </c>
      <c r="E881">
        <v>696</v>
      </c>
      <c r="F881" s="1" t="s">
        <v>35</v>
      </c>
      <c r="G881">
        <v>7</v>
      </c>
      <c r="H881">
        <v>4</v>
      </c>
      <c r="I881" s="1" t="s">
        <v>56</v>
      </c>
      <c r="J881">
        <v>1233</v>
      </c>
      <c r="K881">
        <v>2</v>
      </c>
      <c r="L881" s="1" t="s">
        <v>43</v>
      </c>
      <c r="M881">
        <v>52</v>
      </c>
      <c r="N881">
        <v>4</v>
      </c>
      <c r="O881">
        <v>2</v>
      </c>
      <c r="P881" s="1" t="s">
        <v>38</v>
      </c>
      <c r="Q881">
        <v>4</v>
      </c>
      <c r="R881" s="1" t="s">
        <v>49</v>
      </c>
      <c r="S881">
        <v>5220</v>
      </c>
      <c r="T881">
        <v>10893</v>
      </c>
      <c r="U881">
        <v>0</v>
      </c>
      <c r="V881" s="1" t="s">
        <v>33</v>
      </c>
      <c r="W881">
        <v>18</v>
      </c>
      <c r="X881">
        <v>3</v>
      </c>
      <c r="Y881">
        <v>2</v>
      </c>
      <c r="Z881">
        <v>80</v>
      </c>
      <c r="AA881">
        <v>1</v>
      </c>
      <c r="AB881">
        <v>12</v>
      </c>
      <c r="AC881">
        <v>3</v>
      </c>
      <c r="AD881">
        <v>3</v>
      </c>
      <c r="AE881">
        <v>11</v>
      </c>
      <c r="AF881">
        <v>7</v>
      </c>
      <c r="AG881">
        <v>1</v>
      </c>
      <c r="AH881">
        <v>9</v>
      </c>
      <c r="AI881">
        <f>IF(tbl_HRData[[#This Row],[Attrition]] = "Yes",1,0)</f>
        <v>0</v>
      </c>
      <c r="AJ881">
        <f>IF(tbl_HRData[[#This Row],[Attrition]] = "No",1,0)</f>
        <v>1</v>
      </c>
      <c r="AK881" t="str">
        <f>IF(tbl_HRData[[#This Row],[Age]] &lt; 25, "Under 25", IF(tbl_HRData[[#This Row],[Age]] &lt;= 34, "25-34", IF(tbl_HRData[[#This Row],[Age]] &lt;= 44, "35-44", IF(tbl_HRData[[#This Row],[Age]] &lt;= 54, "45-54", "55+"))))</f>
        <v>55+</v>
      </c>
      <c r="AL881" s="1" t="str">
        <f>IF(tbl_HRData[[#This Row],[MonthlyIncome]]&lt;5000,"Low",
IF(tbl_HRData[[#This Row],[MonthlyIncome]]&lt;10000,"Medium",
IF(tbl_HRData[[#This Row],[MonthlyIncome]]&lt;15000,"Upper Medium","High")))</f>
        <v>Medium</v>
      </c>
      <c r="AM881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882" spans="1:39" x14ac:dyDescent="0.35">
      <c r="A882" s="1">
        <v>881</v>
      </c>
      <c r="B882">
        <v>32</v>
      </c>
      <c r="C882" s="1" t="s">
        <v>40</v>
      </c>
      <c r="D882" s="1" t="s">
        <v>41</v>
      </c>
      <c r="E882">
        <v>116</v>
      </c>
      <c r="F882" s="1" t="s">
        <v>42</v>
      </c>
      <c r="G882">
        <v>13</v>
      </c>
      <c r="H882">
        <v>3</v>
      </c>
      <c r="I882" s="1" t="s">
        <v>46</v>
      </c>
      <c r="J882">
        <v>1234</v>
      </c>
      <c r="K882">
        <v>3</v>
      </c>
      <c r="L882" s="1" t="s">
        <v>37</v>
      </c>
      <c r="M882">
        <v>77</v>
      </c>
      <c r="N882">
        <v>2</v>
      </c>
      <c r="O882">
        <v>1</v>
      </c>
      <c r="P882" s="1" t="s">
        <v>47</v>
      </c>
      <c r="Q882">
        <v>2</v>
      </c>
      <c r="R882" s="1" t="s">
        <v>45</v>
      </c>
      <c r="S882">
        <v>2743</v>
      </c>
      <c r="T882">
        <v>7331</v>
      </c>
      <c r="U882">
        <v>1</v>
      </c>
      <c r="V882" s="1" t="s">
        <v>40</v>
      </c>
      <c r="W882">
        <v>20</v>
      </c>
      <c r="X882">
        <v>4</v>
      </c>
      <c r="Y882">
        <v>3</v>
      </c>
      <c r="Z882">
        <v>80</v>
      </c>
      <c r="AA882">
        <v>1</v>
      </c>
      <c r="AB882">
        <v>2</v>
      </c>
      <c r="AC882">
        <v>2</v>
      </c>
      <c r="AD882">
        <v>3</v>
      </c>
      <c r="AE882">
        <v>2</v>
      </c>
      <c r="AF882">
        <v>2</v>
      </c>
      <c r="AG882">
        <v>2</v>
      </c>
      <c r="AH882">
        <v>2</v>
      </c>
      <c r="AI882">
        <f>IF(tbl_HRData[[#This Row],[Attrition]] = "Yes",1,0)</f>
        <v>0</v>
      </c>
      <c r="AJ882">
        <f>IF(tbl_HRData[[#This Row],[Attrition]] = "No",1,0)</f>
        <v>1</v>
      </c>
      <c r="AK882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882" s="1" t="str">
        <f>IF(tbl_HRData[[#This Row],[MonthlyIncome]]&lt;5000,"Low",
IF(tbl_HRData[[#This Row],[MonthlyIncome]]&lt;10000,"Medium",
IF(tbl_HRData[[#This Row],[MonthlyIncome]]&lt;15000,"Upper Medium","High")))</f>
        <v>Low</v>
      </c>
      <c r="AM882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883" spans="1:39" x14ac:dyDescent="0.35">
      <c r="A883" s="1">
        <v>882</v>
      </c>
      <c r="B883">
        <v>32</v>
      </c>
      <c r="C883" s="1" t="s">
        <v>40</v>
      </c>
      <c r="D883" s="1" t="s">
        <v>41</v>
      </c>
      <c r="E883">
        <v>1316</v>
      </c>
      <c r="F883" s="1" t="s">
        <v>42</v>
      </c>
      <c r="G883">
        <v>2</v>
      </c>
      <c r="H883">
        <v>2</v>
      </c>
      <c r="I883" s="1" t="s">
        <v>36</v>
      </c>
      <c r="J883">
        <v>1235</v>
      </c>
      <c r="K883">
        <v>4</v>
      </c>
      <c r="L883" s="1" t="s">
        <v>37</v>
      </c>
      <c r="M883">
        <v>38</v>
      </c>
      <c r="N883">
        <v>3</v>
      </c>
      <c r="O883">
        <v>2</v>
      </c>
      <c r="P883" s="1" t="s">
        <v>44</v>
      </c>
      <c r="Q883">
        <v>3</v>
      </c>
      <c r="R883" s="1" t="s">
        <v>39</v>
      </c>
      <c r="S883">
        <v>4998</v>
      </c>
      <c r="T883">
        <v>2338</v>
      </c>
      <c r="U883">
        <v>4</v>
      </c>
      <c r="V883" s="1" t="s">
        <v>33</v>
      </c>
      <c r="W883">
        <v>14</v>
      </c>
      <c r="X883">
        <v>3</v>
      </c>
      <c r="Y883">
        <v>4</v>
      </c>
      <c r="Z883">
        <v>80</v>
      </c>
      <c r="AA883">
        <v>0</v>
      </c>
      <c r="AB883">
        <v>10</v>
      </c>
      <c r="AC883">
        <v>2</v>
      </c>
      <c r="AD883">
        <v>3</v>
      </c>
      <c r="AE883">
        <v>8</v>
      </c>
      <c r="AF883">
        <v>7</v>
      </c>
      <c r="AG883">
        <v>0</v>
      </c>
      <c r="AH883">
        <v>7</v>
      </c>
      <c r="AI883">
        <f>IF(tbl_HRData[[#This Row],[Attrition]] = "Yes",1,0)</f>
        <v>0</v>
      </c>
      <c r="AJ883">
        <f>IF(tbl_HRData[[#This Row],[Attrition]] = "No",1,0)</f>
        <v>1</v>
      </c>
      <c r="AK883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883" s="1" t="str">
        <f>IF(tbl_HRData[[#This Row],[MonthlyIncome]]&lt;5000,"Low",
IF(tbl_HRData[[#This Row],[MonthlyIncome]]&lt;10000,"Medium",
IF(tbl_HRData[[#This Row],[MonthlyIncome]]&lt;15000,"Upper Medium","High")))</f>
        <v>Low</v>
      </c>
      <c r="AM883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884" spans="1:39" x14ac:dyDescent="0.35">
      <c r="A884" s="1">
        <v>883</v>
      </c>
      <c r="B884">
        <v>36</v>
      </c>
      <c r="C884" s="1" t="s">
        <v>40</v>
      </c>
      <c r="D884" s="1" t="s">
        <v>34</v>
      </c>
      <c r="E884">
        <v>363</v>
      </c>
      <c r="F884" s="1" t="s">
        <v>42</v>
      </c>
      <c r="G884">
        <v>1</v>
      </c>
      <c r="H884">
        <v>3</v>
      </c>
      <c r="I884" s="1" t="s">
        <v>57</v>
      </c>
      <c r="J884">
        <v>1237</v>
      </c>
      <c r="K884">
        <v>3</v>
      </c>
      <c r="L884" s="1" t="s">
        <v>37</v>
      </c>
      <c r="M884">
        <v>77</v>
      </c>
      <c r="N884">
        <v>1</v>
      </c>
      <c r="O884">
        <v>3</v>
      </c>
      <c r="P884" s="1" t="s">
        <v>50</v>
      </c>
      <c r="Q884">
        <v>1</v>
      </c>
      <c r="R884" s="1" t="s">
        <v>49</v>
      </c>
      <c r="S884">
        <v>10252</v>
      </c>
      <c r="T884">
        <v>4235</v>
      </c>
      <c r="U884">
        <v>2</v>
      </c>
      <c r="V884" s="1" t="s">
        <v>33</v>
      </c>
      <c r="W884">
        <v>21</v>
      </c>
      <c r="X884">
        <v>4</v>
      </c>
      <c r="Y884">
        <v>3</v>
      </c>
      <c r="Z884">
        <v>80</v>
      </c>
      <c r="AA884">
        <v>1</v>
      </c>
      <c r="AB884">
        <v>17</v>
      </c>
      <c r="AC884">
        <v>2</v>
      </c>
      <c r="AD884">
        <v>3</v>
      </c>
      <c r="AE884">
        <v>7</v>
      </c>
      <c r="AF884">
        <v>7</v>
      </c>
      <c r="AG884">
        <v>7</v>
      </c>
      <c r="AH884">
        <v>7</v>
      </c>
      <c r="AI884">
        <f>IF(tbl_HRData[[#This Row],[Attrition]] = "Yes",1,0)</f>
        <v>0</v>
      </c>
      <c r="AJ884">
        <f>IF(tbl_HRData[[#This Row],[Attrition]] = "No",1,0)</f>
        <v>1</v>
      </c>
      <c r="AK884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884" s="1" t="str">
        <f>IF(tbl_HRData[[#This Row],[MonthlyIncome]]&lt;5000,"Low",
IF(tbl_HRData[[#This Row],[MonthlyIncome]]&lt;10000,"Medium",
IF(tbl_HRData[[#This Row],[MonthlyIncome]]&lt;15000,"Upper Medium","High")))</f>
        <v>Upper Medium</v>
      </c>
      <c r="AM884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885" spans="1:39" x14ac:dyDescent="0.35">
      <c r="A885" s="1">
        <v>884</v>
      </c>
      <c r="B885">
        <v>33</v>
      </c>
      <c r="C885" s="1" t="s">
        <v>40</v>
      </c>
      <c r="D885" s="1" t="s">
        <v>34</v>
      </c>
      <c r="E885">
        <v>117</v>
      </c>
      <c r="F885" s="1" t="s">
        <v>42</v>
      </c>
      <c r="G885">
        <v>9</v>
      </c>
      <c r="H885">
        <v>3</v>
      </c>
      <c r="I885" s="1" t="s">
        <v>48</v>
      </c>
      <c r="J885">
        <v>1238</v>
      </c>
      <c r="K885">
        <v>1</v>
      </c>
      <c r="L885" s="1" t="s">
        <v>43</v>
      </c>
      <c r="M885">
        <v>60</v>
      </c>
      <c r="N885">
        <v>3</v>
      </c>
      <c r="O885">
        <v>1</v>
      </c>
      <c r="P885" s="1" t="s">
        <v>44</v>
      </c>
      <c r="Q885">
        <v>4</v>
      </c>
      <c r="R885" s="1" t="s">
        <v>45</v>
      </c>
      <c r="S885">
        <v>2781</v>
      </c>
      <c r="T885">
        <v>6311</v>
      </c>
      <c r="U885">
        <v>0</v>
      </c>
      <c r="V885" s="1" t="s">
        <v>40</v>
      </c>
      <c r="W885">
        <v>13</v>
      </c>
      <c r="X885">
        <v>3</v>
      </c>
      <c r="Y885">
        <v>2</v>
      </c>
      <c r="Z885">
        <v>80</v>
      </c>
      <c r="AA885">
        <v>1</v>
      </c>
      <c r="AB885">
        <v>15</v>
      </c>
      <c r="AC885">
        <v>5</v>
      </c>
      <c r="AD885">
        <v>3</v>
      </c>
      <c r="AE885">
        <v>14</v>
      </c>
      <c r="AF885">
        <v>10</v>
      </c>
      <c r="AG885">
        <v>4</v>
      </c>
      <c r="AH885">
        <v>10</v>
      </c>
      <c r="AI885">
        <f>IF(tbl_HRData[[#This Row],[Attrition]] = "Yes",1,0)</f>
        <v>0</v>
      </c>
      <c r="AJ885">
        <f>IF(tbl_HRData[[#This Row],[Attrition]] = "No",1,0)</f>
        <v>1</v>
      </c>
      <c r="AK885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885" s="1" t="str">
        <f>IF(tbl_HRData[[#This Row],[MonthlyIncome]]&lt;5000,"Low",
IF(tbl_HRData[[#This Row],[MonthlyIncome]]&lt;10000,"Medium",
IF(tbl_HRData[[#This Row],[MonthlyIncome]]&lt;15000,"Upper Medium","High")))</f>
        <v>Low</v>
      </c>
      <c r="AM885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886" spans="1:39" x14ac:dyDescent="0.35">
      <c r="A886" s="1">
        <v>885</v>
      </c>
      <c r="B886">
        <v>40</v>
      </c>
      <c r="C886" s="1" t="s">
        <v>40</v>
      </c>
      <c r="D886" s="1" t="s">
        <v>34</v>
      </c>
      <c r="E886">
        <v>107</v>
      </c>
      <c r="F886" s="1" t="s">
        <v>35</v>
      </c>
      <c r="G886">
        <v>10</v>
      </c>
      <c r="H886">
        <v>3</v>
      </c>
      <c r="I886" s="1" t="s">
        <v>57</v>
      </c>
      <c r="J886">
        <v>1239</v>
      </c>
      <c r="K886">
        <v>2</v>
      </c>
      <c r="L886" s="1" t="s">
        <v>37</v>
      </c>
      <c r="M886">
        <v>84</v>
      </c>
      <c r="N886">
        <v>2</v>
      </c>
      <c r="O886">
        <v>2</v>
      </c>
      <c r="P886" s="1" t="s">
        <v>38</v>
      </c>
      <c r="Q886">
        <v>2</v>
      </c>
      <c r="R886" s="1" t="s">
        <v>49</v>
      </c>
      <c r="S886">
        <v>6852</v>
      </c>
      <c r="T886">
        <v>11591</v>
      </c>
      <c r="U886">
        <v>7</v>
      </c>
      <c r="V886" s="1" t="s">
        <v>40</v>
      </c>
      <c r="W886">
        <v>12</v>
      </c>
      <c r="X886">
        <v>3</v>
      </c>
      <c r="Y886">
        <v>2</v>
      </c>
      <c r="Z886">
        <v>80</v>
      </c>
      <c r="AA886">
        <v>1</v>
      </c>
      <c r="AB886">
        <v>7</v>
      </c>
      <c r="AC886">
        <v>2</v>
      </c>
      <c r="AD886">
        <v>4</v>
      </c>
      <c r="AE886">
        <v>5</v>
      </c>
      <c r="AF886">
        <v>1</v>
      </c>
      <c r="AG886">
        <v>1</v>
      </c>
      <c r="AH886">
        <v>3</v>
      </c>
      <c r="AI886">
        <f>IF(tbl_HRData[[#This Row],[Attrition]] = "Yes",1,0)</f>
        <v>0</v>
      </c>
      <c r="AJ886">
        <f>IF(tbl_HRData[[#This Row],[Attrition]] = "No",1,0)</f>
        <v>1</v>
      </c>
      <c r="AK886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886" s="1" t="str">
        <f>IF(tbl_HRData[[#This Row],[MonthlyIncome]]&lt;5000,"Low",
IF(tbl_HRData[[#This Row],[MonthlyIncome]]&lt;10000,"Medium",
IF(tbl_HRData[[#This Row],[MonthlyIncome]]&lt;15000,"Upper Medium","High")))</f>
        <v>Medium</v>
      </c>
      <c r="AM886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887" spans="1:39" x14ac:dyDescent="0.35">
      <c r="A887" s="1">
        <v>886</v>
      </c>
      <c r="B887">
        <v>25</v>
      </c>
      <c r="C887" s="1" t="s">
        <v>40</v>
      </c>
      <c r="D887" s="1" t="s">
        <v>34</v>
      </c>
      <c r="E887">
        <v>1356</v>
      </c>
      <c r="F887" s="1" t="s">
        <v>35</v>
      </c>
      <c r="G887">
        <v>10</v>
      </c>
      <c r="H887">
        <v>4</v>
      </c>
      <c r="I887" s="1" t="s">
        <v>36</v>
      </c>
      <c r="J887">
        <v>1240</v>
      </c>
      <c r="K887">
        <v>3</v>
      </c>
      <c r="L887" s="1" t="s">
        <v>43</v>
      </c>
      <c r="M887">
        <v>57</v>
      </c>
      <c r="N887">
        <v>3</v>
      </c>
      <c r="O887">
        <v>2</v>
      </c>
      <c r="P887" s="1" t="s">
        <v>38</v>
      </c>
      <c r="Q887">
        <v>4</v>
      </c>
      <c r="R887" s="1" t="s">
        <v>39</v>
      </c>
      <c r="S887">
        <v>4950</v>
      </c>
      <c r="T887">
        <v>20623</v>
      </c>
      <c r="U887">
        <v>0</v>
      </c>
      <c r="V887" s="1" t="s">
        <v>40</v>
      </c>
      <c r="W887">
        <v>14</v>
      </c>
      <c r="X887">
        <v>3</v>
      </c>
      <c r="Y887">
        <v>2</v>
      </c>
      <c r="Z887">
        <v>80</v>
      </c>
      <c r="AA887">
        <v>0</v>
      </c>
      <c r="AB887">
        <v>5</v>
      </c>
      <c r="AC887">
        <v>4</v>
      </c>
      <c r="AD887">
        <v>3</v>
      </c>
      <c r="AE887">
        <v>4</v>
      </c>
      <c r="AF887">
        <v>3</v>
      </c>
      <c r="AG887">
        <v>1</v>
      </c>
      <c r="AH887">
        <v>1</v>
      </c>
      <c r="AI887">
        <f>IF(tbl_HRData[[#This Row],[Attrition]] = "Yes",1,0)</f>
        <v>0</v>
      </c>
      <c r="AJ887">
        <f>IF(tbl_HRData[[#This Row],[Attrition]] = "No",1,0)</f>
        <v>1</v>
      </c>
      <c r="AK887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887" s="1" t="str">
        <f>IF(tbl_HRData[[#This Row],[MonthlyIncome]]&lt;5000,"Low",
IF(tbl_HRData[[#This Row],[MonthlyIncome]]&lt;10000,"Medium",
IF(tbl_HRData[[#This Row],[MonthlyIncome]]&lt;15000,"Upper Medium","High")))</f>
        <v>Low</v>
      </c>
      <c r="AM887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888" spans="1:39" x14ac:dyDescent="0.35">
      <c r="A888" s="1">
        <v>887</v>
      </c>
      <c r="B888">
        <v>30</v>
      </c>
      <c r="C888" s="1" t="s">
        <v>40</v>
      </c>
      <c r="D888" s="1" t="s">
        <v>34</v>
      </c>
      <c r="E888">
        <v>1465</v>
      </c>
      <c r="F888" s="1" t="s">
        <v>42</v>
      </c>
      <c r="G888">
        <v>1</v>
      </c>
      <c r="H888">
        <v>3</v>
      </c>
      <c r="I888" s="1" t="s">
        <v>48</v>
      </c>
      <c r="J888">
        <v>1241</v>
      </c>
      <c r="K888">
        <v>4</v>
      </c>
      <c r="L888" s="1" t="s">
        <v>43</v>
      </c>
      <c r="M888">
        <v>63</v>
      </c>
      <c r="N888">
        <v>3</v>
      </c>
      <c r="O888">
        <v>1</v>
      </c>
      <c r="P888" s="1" t="s">
        <v>44</v>
      </c>
      <c r="Q888">
        <v>2</v>
      </c>
      <c r="R888" s="1" t="s">
        <v>45</v>
      </c>
      <c r="S888">
        <v>3579</v>
      </c>
      <c r="T888">
        <v>9369</v>
      </c>
      <c r="U888">
        <v>0</v>
      </c>
      <c r="V888" s="1" t="s">
        <v>33</v>
      </c>
      <c r="W888">
        <v>21</v>
      </c>
      <c r="X888">
        <v>4</v>
      </c>
      <c r="Y888">
        <v>1</v>
      </c>
      <c r="Z888">
        <v>80</v>
      </c>
      <c r="AA888">
        <v>1</v>
      </c>
      <c r="AB888">
        <v>12</v>
      </c>
      <c r="AC888">
        <v>2</v>
      </c>
      <c r="AD888">
        <v>3</v>
      </c>
      <c r="AE888">
        <v>11</v>
      </c>
      <c r="AF888">
        <v>9</v>
      </c>
      <c r="AG888">
        <v>5</v>
      </c>
      <c r="AH888">
        <v>7</v>
      </c>
      <c r="AI888">
        <f>IF(tbl_HRData[[#This Row],[Attrition]] = "Yes",1,0)</f>
        <v>0</v>
      </c>
      <c r="AJ888">
        <f>IF(tbl_HRData[[#This Row],[Attrition]] = "No",1,0)</f>
        <v>1</v>
      </c>
      <c r="AK888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888" s="1" t="str">
        <f>IF(tbl_HRData[[#This Row],[MonthlyIncome]]&lt;5000,"Low",
IF(tbl_HRData[[#This Row],[MonthlyIncome]]&lt;10000,"Medium",
IF(tbl_HRData[[#This Row],[MonthlyIncome]]&lt;15000,"Upper Medium","High")))</f>
        <v>Low</v>
      </c>
      <c r="AM888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889" spans="1:39" x14ac:dyDescent="0.35">
      <c r="A889" s="1">
        <v>888</v>
      </c>
      <c r="B889">
        <v>42</v>
      </c>
      <c r="C889" s="1" t="s">
        <v>40</v>
      </c>
      <c r="D889" s="1" t="s">
        <v>41</v>
      </c>
      <c r="E889">
        <v>458</v>
      </c>
      <c r="F889" s="1" t="s">
        <v>42</v>
      </c>
      <c r="G889">
        <v>26</v>
      </c>
      <c r="H889">
        <v>5</v>
      </c>
      <c r="I889" s="1" t="s">
        <v>48</v>
      </c>
      <c r="J889">
        <v>1242</v>
      </c>
      <c r="K889">
        <v>1</v>
      </c>
      <c r="L889" s="1" t="s">
        <v>37</v>
      </c>
      <c r="M889">
        <v>60</v>
      </c>
      <c r="N889">
        <v>3</v>
      </c>
      <c r="O889">
        <v>3</v>
      </c>
      <c r="P889" s="1" t="s">
        <v>55</v>
      </c>
      <c r="Q889">
        <v>1</v>
      </c>
      <c r="R889" s="1" t="s">
        <v>45</v>
      </c>
      <c r="S889">
        <v>13191</v>
      </c>
      <c r="T889">
        <v>23281</v>
      </c>
      <c r="U889">
        <v>3</v>
      </c>
      <c r="V889" s="1" t="s">
        <v>33</v>
      </c>
      <c r="W889">
        <v>17</v>
      </c>
      <c r="X889">
        <v>3</v>
      </c>
      <c r="Y889">
        <v>3</v>
      </c>
      <c r="Z889">
        <v>80</v>
      </c>
      <c r="AA889">
        <v>0</v>
      </c>
      <c r="AB889">
        <v>20</v>
      </c>
      <c r="AC889">
        <v>6</v>
      </c>
      <c r="AD889">
        <v>3</v>
      </c>
      <c r="AE889">
        <v>1</v>
      </c>
      <c r="AF889">
        <v>0</v>
      </c>
      <c r="AG889">
        <v>0</v>
      </c>
      <c r="AH889">
        <v>0</v>
      </c>
      <c r="AI889">
        <f>IF(tbl_HRData[[#This Row],[Attrition]] = "Yes",1,0)</f>
        <v>0</v>
      </c>
      <c r="AJ889">
        <f>IF(tbl_HRData[[#This Row],[Attrition]] = "No",1,0)</f>
        <v>1</v>
      </c>
      <c r="AK889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889" s="1" t="str">
        <f>IF(tbl_HRData[[#This Row],[MonthlyIncome]]&lt;5000,"Low",
IF(tbl_HRData[[#This Row],[MonthlyIncome]]&lt;10000,"Medium",
IF(tbl_HRData[[#This Row],[MonthlyIncome]]&lt;15000,"Upper Medium","High")))</f>
        <v>Upper Medium</v>
      </c>
      <c r="AM889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890" spans="1:39" x14ac:dyDescent="0.35">
      <c r="A890" s="1">
        <v>889</v>
      </c>
      <c r="B890">
        <v>35</v>
      </c>
      <c r="C890" s="1" t="s">
        <v>40</v>
      </c>
      <c r="D890" s="1" t="s">
        <v>52</v>
      </c>
      <c r="E890">
        <v>1212</v>
      </c>
      <c r="F890" s="1" t="s">
        <v>35</v>
      </c>
      <c r="G890">
        <v>8</v>
      </c>
      <c r="H890">
        <v>2</v>
      </c>
      <c r="I890" s="1" t="s">
        <v>56</v>
      </c>
      <c r="J890">
        <v>1243</v>
      </c>
      <c r="K890">
        <v>3</v>
      </c>
      <c r="L890" s="1" t="s">
        <v>37</v>
      </c>
      <c r="M890">
        <v>78</v>
      </c>
      <c r="N890">
        <v>2</v>
      </c>
      <c r="O890">
        <v>3</v>
      </c>
      <c r="P890" s="1" t="s">
        <v>38</v>
      </c>
      <c r="Q890">
        <v>4</v>
      </c>
      <c r="R890" s="1" t="s">
        <v>45</v>
      </c>
      <c r="S890">
        <v>10377</v>
      </c>
      <c r="T890">
        <v>13755</v>
      </c>
      <c r="U890">
        <v>4</v>
      </c>
      <c r="V890" s="1" t="s">
        <v>33</v>
      </c>
      <c r="W890">
        <v>11</v>
      </c>
      <c r="X890">
        <v>3</v>
      </c>
      <c r="Y890">
        <v>2</v>
      </c>
      <c r="Z890">
        <v>80</v>
      </c>
      <c r="AA890">
        <v>1</v>
      </c>
      <c r="AB890">
        <v>16</v>
      </c>
      <c r="AC890">
        <v>6</v>
      </c>
      <c r="AD890">
        <v>2</v>
      </c>
      <c r="AE890">
        <v>13</v>
      </c>
      <c r="AF890">
        <v>2</v>
      </c>
      <c r="AG890">
        <v>4</v>
      </c>
      <c r="AH890">
        <v>12</v>
      </c>
      <c r="AI890">
        <f>IF(tbl_HRData[[#This Row],[Attrition]] = "Yes",1,0)</f>
        <v>0</v>
      </c>
      <c r="AJ890">
        <f>IF(tbl_HRData[[#This Row],[Attrition]] = "No",1,0)</f>
        <v>1</v>
      </c>
      <c r="AK890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890" s="1" t="str">
        <f>IF(tbl_HRData[[#This Row],[MonthlyIncome]]&lt;5000,"Low",
IF(tbl_HRData[[#This Row],[MonthlyIncome]]&lt;10000,"Medium",
IF(tbl_HRData[[#This Row],[MonthlyIncome]]&lt;15000,"Upper Medium","High")))</f>
        <v>Upper Medium</v>
      </c>
      <c r="AM890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891" spans="1:39" x14ac:dyDescent="0.35">
      <c r="A891" s="1">
        <v>890</v>
      </c>
      <c r="B891">
        <v>27</v>
      </c>
      <c r="C891" s="1" t="s">
        <v>40</v>
      </c>
      <c r="D891" s="1" t="s">
        <v>34</v>
      </c>
      <c r="E891">
        <v>1103</v>
      </c>
      <c r="F891" s="1" t="s">
        <v>42</v>
      </c>
      <c r="G891">
        <v>14</v>
      </c>
      <c r="H891">
        <v>3</v>
      </c>
      <c r="I891" s="1" t="s">
        <v>36</v>
      </c>
      <c r="J891">
        <v>1244</v>
      </c>
      <c r="K891">
        <v>1</v>
      </c>
      <c r="L891" s="1" t="s">
        <v>43</v>
      </c>
      <c r="M891">
        <v>42</v>
      </c>
      <c r="N891">
        <v>3</v>
      </c>
      <c r="O891">
        <v>1</v>
      </c>
      <c r="P891" s="1" t="s">
        <v>44</v>
      </c>
      <c r="Q891">
        <v>1</v>
      </c>
      <c r="R891" s="1" t="s">
        <v>45</v>
      </c>
      <c r="S891">
        <v>2235</v>
      </c>
      <c r="T891">
        <v>14377</v>
      </c>
      <c r="U891">
        <v>1</v>
      </c>
      <c r="V891" s="1" t="s">
        <v>33</v>
      </c>
      <c r="W891">
        <v>14</v>
      </c>
      <c r="X891">
        <v>3</v>
      </c>
      <c r="Y891">
        <v>4</v>
      </c>
      <c r="Z891">
        <v>80</v>
      </c>
      <c r="AA891">
        <v>2</v>
      </c>
      <c r="AB891">
        <v>9</v>
      </c>
      <c r="AC891">
        <v>3</v>
      </c>
      <c r="AD891">
        <v>2</v>
      </c>
      <c r="AE891">
        <v>9</v>
      </c>
      <c r="AF891">
        <v>7</v>
      </c>
      <c r="AG891">
        <v>6</v>
      </c>
      <c r="AH891">
        <v>8</v>
      </c>
      <c r="AI891">
        <f>IF(tbl_HRData[[#This Row],[Attrition]] = "Yes",1,0)</f>
        <v>0</v>
      </c>
      <c r="AJ891">
        <f>IF(tbl_HRData[[#This Row],[Attrition]] = "No",1,0)</f>
        <v>1</v>
      </c>
      <c r="AK891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891" s="1" t="str">
        <f>IF(tbl_HRData[[#This Row],[MonthlyIncome]]&lt;5000,"Low",
IF(tbl_HRData[[#This Row],[MonthlyIncome]]&lt;10000,"Medium",
IF(tbl_HRData[[#This Row],[MonthlyIncome]]&lt;15000,"Upper Medium","High")))</f>
        <v>Low</v>
      </c>
      <c r="AM891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892" spans="1:39" x14ac:dyDescent="0.35">
      <c r="A892" s="1">
        <v>891</v>
      </c>
      <c r="B892">
        <v>54</v>
      </c>
      <c r="C892" s="1" t="s">
        <v>40</v>
      </c>
      <c r="D892" s="1" t="s">
        <v>41</v>
      </c>
      <c r="E892">
        <v>966</v>
      </c>
      <c r="F892" s="1" t="s">
        <v>42</v>
      </c>
      <c r="G892">
        <v>1</v>
      </c>
      <c r="H892">
        <v>4</v>
      </c>
      <c r="I892" s="1" t="s">
        <v>36</v>
      </c>
      <c r="J892">
        <v>1245</v>
      </c>
      <c r="K892">
        <v>4</v>
      </c>
      <c r="L892" s="1" t="s">
        <v>37</v>
      </c>
      <c r="M892">
        <v>53</v>
      </c>
      <c r="N892">
        <v>3</v>
      </c>
      <c r="O892">
        <v>3</v>
      </c>
      <c r="P892" s="1" t="s">
        <v>50</v>
      </c>
      <c r="Q892">
        <v>3</v>
      </c>
      <c r="R892" s="1" t="s">
        <v>49</v>
      </c>
      <c r="S892">
        <v>10502</v>
      </c>
      <c r="T892">
        <v>9659</v>
      </c>
      <c r="U892">
        <v>7</v>
      </c>
      <c r="V892" s="1" t="s">
        <v>40</v>
      </c>
      <c r="W892">
        <v>17</v>
      </c>
      <c r="X892">
        <v>3</v>
      </c>
      <c r="Y892">
        <v>1</v>
      </c>
      <c r="Z892">
        <v>80</v>
      </c>
      <c r="AA892">
        <v>1</v>
      </c>
      <c r="AB892">
        <v>33</v>
      </c>
      <c r="AC892">
        <v>2</v>
      </c>
      <c r="AD892">
        <v>1</v>
      </c>
      <c r="AE892">
        <v>5</v>
      </c>
      <c r="AF892">
        <v>4</v>
      </c>
      <c r="AG892">
        <v>1</v>
      </c>
      <c r="AH892">
        <v>4</v>
      </c>
      <c r="AI892">
        <f>IF(tbl_HRData[[#This Row],[Attrition]] = "Yes",1,0)</f>
        <v>0</v>
      </c>
      <c r="AJ892">
        <f>IF(tbl_HRData[[#This Row],[Attrition]] = "No",1,0)</f>
        <v>1</v>
      </c>
      <c r="AK892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892" s="1" t="str">
        <f>IF(tbl_HRData[[#This Row],[MonthlyIncome]]&lt;5000,"Low",
IF(tbl_HRData[[#This Row],[MonthlyIncome]]&lt;10000,"Medium",
IF(tbl_HRData[[#This Row],[MonthlyIncome]]&lt;15000,"Upper Medium","High")))</f>
        <v>Upper Medium</v>
      </c>
      <c r="AM892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893" spans="1:39" x14ac:dyDescent="0.35">
      <c r="A893" s="1">
        <v>892</v>
      </c>
      <c r="B893">
        <v>44</v>
      </c>
      <c r="C893" s="1" t="s">
        <v>40</v>
      </c>
      <c r="D893" s="1" t="s">
        <v>34</v>
      </c>
      <c r="E893">
        <v>1117</v>
      </c>
      <c r="F893" s="1" t="s">
        <v>42</v>
      </c>
      <c r="G893">
        <v>2</v>
      </c>
      <c r="H893">
        <v>1</v>
      </c>
      <c r="I893" s="1" t="s">
        <v>36</v>
      </c>
      <c r="J893">
        <v>1246</v>
      </c>
      <c r="K893">
        <v>1</v>
      </c>
      <c r="L893" s="1" t="s">
        <v>37</v>
      </c>
      <c r="M893">
        <v>72</v>
      </c>
      <c r="N893">
        <v>4</v>
      </c>
      <c r="O893">
        <v>1</v>
      </c>
      <c r="P893" s="1" t="s">
        <v>44</v>
      </c>
      <c r="Q893">
        <v>4</v>
      </c>
      <c r="R893" s="1" t="s">
        <v>45</v>
      </c>
      <c r="S893">
        <v>2011</v>
      </c>
      <c r="T893">
        <v>19982</v>
      </c>
      <c r="U893">
        <v>1</v>
      </c>
      <c r="V893" s="1" t="s">
        <v>40</v>
      </c>
      <c r="W893">
        <v>13</v>
      </c>
      <c r="X893">
        <v>3</v>
      </c>
      <c r="Y893">
        <v>4</v>
      </c>
      <c r="Z893">
        <v>80</v>
      </c>
      <c r="AA893">
        <v>1</v>
      </c>
      <c r="AB893">
        <v>10</v>
      </c>
      <c r="AC893">
        <v>5</v>
      </c>
      <c r="AD893">
        <v>3</v>
      </c>
      <c r="AE893">
        <v>10</v>
      </c>
      <c r="AF893">
        <v>5</v>
      </c>
      <c r="AG893">
        <v>7</v>
      </c>
      <c r="AH893">
        <v>7</v>
      </c>
      <c r="AI893">
        <f>IF(tbl_HRData[[#This Row],[Attrition]] = "Yes",1,0)</f>
        <v>0</v>
      </c>
      <c r="AJ893">
        <f>IF(tbl_HRData[[#This Row],[Attrition]] = "No",1,0)</f>
        <v>1</v>
      </c>
      <c r="AK893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893" s="1" t="str">
        <f>IF(tbl_HRData[[#This Row],[MonthlyIncome]]&lt;5000,"Low",
IF(tbl_HRData[[#This Row],[MonthlyIncome]]&lt;10000,"Medium",
IF(tbl_HRData[[#This Row],[MonthlyIncome]]&lt;15000,"Upper Medium","High")))</f>
        <v>Low</v>
      </c>
      <c r="AM893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894" spans="1:39" x14ac:dyDescent="0.35">
      <c r="A894" s="1">
        <v>893</v>
      </c>
      <c r="B894">
        <v>19</v>
      </c>
      <c r="C894" s="1" t="s">
        <v>33</v>
      </c>
      <c r="D894" s="1" t="s">
        <v>52</v>
      </c>
      <c r="E894">
        <v>504</v>
      </c>
      <c r="F894" s="1" t="s">
        <v>42</v>
      </c>
      <c r="G894">
        <v>10</v>
      </c>
      <c r="H894">
        <v>3</v>
      </c>
      <c r="I894" s="1" t="s">
        <v>48</v>
      </c>
      <c r="J894">
        <v>1248</v>
      </c>
      <c r="K894">
        <v>1</v>
      </c>
      <c r="L894" s="1" t="s">
        <v>37</v>
      </c>
      <c r="M894">
        <v>96</v>
      </c>
      <c r="N894">
        <v>2</v>
      </c>
      <c r="O894">
        <v>1</v>
      </c>
      <c r="P894" s="1" t="s">
        <v>44</v>
      </c>
      <c r="Q894">
        <v>2</v>
      </c>
      <c r="R894" s="1" t="s">
        <v>39</v>
      </c>
      <c r="S894">
        <v>1859</v>
      </c>
      <c r="T894">
        <v>6148</v>
      </c>
      <c r="U894">
        <v>1</v>
      </c>
      <c r="V894" s="1" t="s">
        <v>33</v>
      </c>
      <c r="W894">
        <v>25</v>
      </c>
      <c r="X894">
        <v>4</v>
      </c>
      <c r="Y894">
        <v>2</v>
      </c>
      <c r="Z894">
        <v>80</v>
      </c>
      <c r="AA894">
        <v>0</v>
      </c>
      <c r="AB894">
        <v>1</v>
      </c>
      <c r="AC894">
        <v>2</v>
      </c>
      <c r="AD894">
        <v>4</v>
      </c>
      <c r="AE894">
        <v>1</v>
      </c>
      <c r="AF894">
        <v>1</v>
      </c>
      <c r="AG894">
        <v>0</v>
      </c>
      <c r="AH894">
        <v>0</v>
      </c>
      <c r="AI894">
        <f>IF(tbl_HRData[[#This Row],[Attrition]] = "Yes",1,0)</f>
        <v>1</v>
      </c>
      <c r="AJ894">
        <f>IF(tbl_HRData[[#This Row],[Attrition]] = "No",1,0)</f>
        <v>0</v>
      </c>
      <c r="AK894" t="str">
        <f>IF(tbl_HRData[[#This Row],[Age]] &lt; 25, "Under 25", IF(tbl_HRData[[#This Row],[Age]] &lt;= 34, "25-34", IF(tbl_HRData[[#This Row],[Age]] &lt;= 44, "35-44", IF(tbl_HRData[[#This Row],[Age]] &lt;= 54, "45-54", "55+"))))</f>
        <v>Under 25</v>
      </c>
      <c r="AL894" s="1" t="str">
        <f>IF(tbl_HRData[[#This Row],[MonthlyIncome]]&lt;5000,"Low",
IF(tbl_HRData[[#This Row],[MonthlyIncome]]&lt;10000,"Medium",
IF(tbl_HRData[[#This Row],[MonthlyIncome]]&lt;15000,"Upper Medium","High")))</f>
        <v>Low</v>
      </c>
      <c r="AM894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895" spans="1:39" x14ac:dyDescent="0.35">
      <c r="A895" s="1">
        <v>894</v>
      </c>
      <c r="B895">
        <v>29</v>
      </c>
      <c r="C895" s="1" t="s">
        <v>40</v>
      </c>
      <c r="D895" s="1" t="s">
        <v>34</v>
      </c>
      <c r="E895">
        <v>1010</v>
      </c>
      <c r="F895" s="1" t="s">
        <v>42</v>
      </c>
      <c r="G895">
        <v>1</v>
      </c>
      <c r="H895">
        <v>3</v>
      </c>
      <c r="I895" s="1" t="s">
        <v>36</v>
      </c>
      <c r="J895">
        <v>1249</v>
      </c>
      <c r="K895">
        <v>1</v>
      </c>
      <c r="L895" s="1" t="s">
        <v>37</v>
      </c>
      <c r="M895">
        <v>97</v>
      </c>
      <c r="N895">
        <v>3</v>
      </c>
      <c r="O895">
        <v>1</v>
      </c>
      <c r="P895" s="1" t="s">
        <v>44</v>
      </c>
      <c r="Q895">
        <v>4</v>
      </c>
      <c r="R895" s="1" t="s">
        <v>49</v>
      </c>
      <c r="S895">
        <v>3760</v>
      </c>
      <c r="T895">
        <v>5598</v>
      </c>
      <c r="U895">
        <v>1</v>
      </c>
      <c r="V895" s="1" t="s">
        <v>40</v>
      </c>
      <c r="W895">
        <v>15</v>
      </c>
      <c r="X895">
        <v>3</v>
      </c>
      <c r="Y895">
        <v>1</v>
      </c>
      <c r="Z895">
        <v>80</v>
      </c>
      <c r="AA895">
        <v>3</v>
      </c>
      <c r="AB895">
        <v>3</v>
      </c>
      <c r="AC895">
        <v>5</v>
      </c>
      <c r="AD895">
        <v>3</v>
      </c>
      <c r="AE895">
        <v>3</v>
      </c>
      <c r="AF895">
        <v>2</v>
      </c>
      <c r="AG895">
        <v>1</v>
      </c>
      <c r="AH895">
        <v>2</v>
      </c>
      <c r="AI895">
        <f>IF(tbl_HRData[[#This Row],[Attrition]] = "Yes",1,0)</f>
        <v>0</v>
      </c>
      <c r="AJ895">
        <f>IF(tbl_HRData[[#This Row],[Attrition]] = "No",1,0)</f>
        <v>1</v>
      </c>
      <c r="AK895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895" s="1" t="str">
        <f>IF(tbl_HRData[[#This Row],[MonthlyIncome]]&lt;5000,"Low",
IF(tbl_HRData[[#This Row],[MonthlyIncome]]&lt;10000,"Medium",
IF(tbl_HRData[[#This Row],[MonthlyIncome]]&lt;15000,"Upper Medium","High")))</f>
        <v>Low</v>
      </c>
      <c r="AM895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896" spans="1:39" x14ac:dyDescent="0.35">
      <c r="A896" s="1">
        <v>895</v>
      </c>
      <c r="B896">
        <v>54</v>
      </c>
      <c r="C896" s="1" t="s">
        <v>40</v>
      </c>
      <c r="D896" s="1" t="s">
        <v>34</v>
      </c>
      <c r="E896">
        <v>685</v>
      </c>
      <c r="F896" s="1" t="s">
        <v>42</v>
      </c>
      <c r="G896">
        <v>3</v>
      </c>
      <c r="H896">
        <v>3</v>
      </c>
      <c r="I896" s="1" t="s">
        <v>36</v>
      </c>
      <c r="J896">
        <v>1250</v>
      </c>
      <c r="K896">
        <v>4</v>
      </c>
      <c r="L896" s="1" t="s">
        <v>43</v>
      </c>
      <c r="M896">
        <v>85</v>
      </c>
      <c r="N896">
        <v>3</v>
      </c>
      <c r="O896">
        <v>4</v>
      </c>
      <c r="P896" s="1" t="s">
        <v>55</v>
      </c>
      <c r="Q896">
        <v>4</v>
      </c>
      <c r="R896" s="1" t="s">
        <v>45</v>
      </c>
      <c r="S896">
        <v>17779</v>
      </c>
      <c r="T896">
        <v>23474</v>
      </c>
      <c r="U896">
        <v>3</v>
      </c>
      <c r="V896" s="1" t="s">
        <v>40</v>
      </c>
      <c r="W896">
        <v>14</v>
      </c>
      <c r="X896">
        <v>3</v>
      </c>
      <c r="Y896">
        <v>1</v>
      </c>
      <c r="Z896">
        <v>80</v>
      </c>
      <c r="AA896">
        <v>0</v>
      </c>
      <c r="AB896">
        <v>36</v>
      </c>
      <c r="AC896">
        <v>2</v>
      </c>
      <c r="AD896">
        <v>3</v>
      </c>
      <c r="AE896">
        <v>10</v>
      </c>
      <c r="AF896">
        <v>9</v>
      </c>
      <c r="AG896">
        <v>0</v>
      </c>
      <c r="AH896">
        <v>9</v>
      </c>
      <c r="AI896">
        <f>IF(tbl_HRData[[#This Row],[Attrition]] = "Yes",1,0)</f>
        <v>0</v>
      </c>
      <c r="AJ896">
        <f>IF(tbl_HRData[[#This Row],[Attrition]] = "No",1,0)</f>
        <v>1</v>
      </c>
      <c r="AK896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896" s="1" t="str">
        <f>IF(tbl_HRData[[#This Row],[MonthlyIncome]]&lt;5000,"Low",
IF(tbl_HRData[[#This Row],[MonthlyIncome]]&lt;10000,"Medium",
IF(tbl_HRData[[#This Row],[MonthlyIncome]]&lt;15000,"Upper Medium","High")))</f>
        <v>High</v>
      </c>
      <c r="AM896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897" spans="1:39" x14ac:dyDescent="0.35">
      <c r="A897" s="1">
        <v>896</v>
      </c>
      <c r="B897">
        <v>31</v>
      </c>
      <c r="C897" s="1" t="s">
        <v>40</v>
      </c>
      <c r="D897" s="1" t="s">
        <v>34</v>
      </c>
      <c r="E897">
        <v>1332</v>
      </c>
      <c r="F897" s="1" t="s">
        <v>42</v>
      </c>
      <c r="G897">
        <v>11</v>
      </c>
      <c r="H897">
        <v>2</v>
      </c>
      <c r="I897" s="1" t="s">
        <v>48</v>
      </c>
      <c r="J897">
        <v>1251</v>
      </c>
      <c r="K897">
        <v>3</v>
      </c>
      <c r="L897" s="1" t="s">
        <v>43</v>
      </c>
      <c r="M897">
        <v>80</v>
      </c>
      <c r="N897">
        <v>3</v>
      </c>
      <c r="O897">
        <v>2</v>
      </c>
      <c r="P897" s="1" t="s">
        <v>51</v>
      </c>
      <c r="Q897">
        <v>1</v>
      </c>
      <c r="R897" s="1" t="s">
        <v>45</v>
      </c>
      <c r="S897">
        <v>6833</v>
      </c>
      <c r="T897">
        <v>17089</v>
      </c>
      <c r="U897">
        <v>1</v>
      </c>
      <c r="V897" s="1" t="s">
        <v>33</v>
      </c>
      <c r="W897">
        <v>12</v>
      </c>
      <c r="X897">
        <v>3</v>
      </c>
      <c r="Y897">
        <v>4</v>
      </c>
      <c r="Z897">
        <v>80</v>
      </c>
      <c r="AA897">
        <v>0</v>
      </c>
      <c r="AB897">
        <v>6</v>
      </c>
      <c r="AC897">
        <v>2</v>
      </c>
      <c r="AD897">
        <v>2</v>
      </c>
      <c r="AE897">
        <v>6</v>
      </c>
      <c r="AF897">
        <v>5</v>
      </c>
      <c r="AG897">
        <v>0</v>
      </c>
      <c r="AH897">
        <v>1</v>
      </c>
      <c r="AI897">
        <f>IF(tbl_HRData[[#This Row],[Attrition]] = "Yes",1,0)</f>
        <v>0</v>
      </c>
      <c r="AJ897">
        <f>IF(tbl_HRData[[#This Row],[Attrition]] = "No",1,0)</f>
        <v>1</v>
      </c>
      <c r="AK897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897" s="1" t="str">
        <f>IF(tbl_HRData[[#This Row],[MonthlyIncome]]&lt;5000,"Low",
IF(tbl_HRData[[#This Row],[MonthlyIncome]]&lt;10000,"Medium",
IF(tbl_HRData[[#This Row],[MonthlyIncome]]&lt;15000,"Upper Medium","High")))</f>
        <v>Medium</v>
      </c>
      <c r="AM897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898" spans="1:39" x14ac:dyDescent="0.35">
      <c r="A898" s="1">
        <v>897</v>
      </c>
      <c r="B898">
        <v>31</v>
      </c>
      <c r="C898" s="1" t="s">
        <v>40</v>
      </c>
      <c r="D898" s="1" t="s">
        <v>34</v>
      </c>
      <c r="E898">
        <v>1062</v>
      </c>
      <c r="F898" s="1" t="s">
        <v>42</v>
      </c>
      <c r="G898">
        <v>24</v>
      </c>
      <c r="H898">
        <v>3</v>
      </c>
      <c r="I898" s="1" t="s">
        <v>48</v>
      </c>
      <c r="J898">
        <v>1252</v>
      </c>
      <c r="K898">
        <v>3</v>
      </c>
      <c r="L898" s="1" t="s">
        <v>37</v>
      </c>
      <c r="M898">
        <v>96</v>
      </c>
      <c r="N898">
        <v>2</v>
      </c>
      <c r="O898">
        <v>2</v>
      </c>
      <c r="P898" s="1" t="s">
        <v>51</v>
      </c>
      <c r="Q898">
        <v>1</v>
      </c>
      <c r="R898" s="1" t="s">
        <v>39</v>
      </c>
      <c r="S898">
        <v>6812</v>
      </c>
      <c r="T898">
        <v>17198</v>
      </c>
      <c r="U898">
        <v>1</v>
      </c>
      <c r="V898" s="1" t="s">
        <v>40</v>
      </c>
      <c r="W898">
        <v>19</v>
      </c>
      <c r="X898">
        <v>3</v>
      </c>
      <c r="Y898">
        <v>2</v>
      </c>
      <c r="Z898">
        <v>80</v>
      </c>
      <c r="AA898">
        <v>0</v>
      </c>
      <c r="AB898">
        <v>10</v>
      </c>
      <c r="AC898">
        <v>2</v>
      </c>
      <c r="AD898">
        <v>3</v>
      </c>
      <c r="AE898">
        <v>10</v>
      </c>
      <c r="AF898">
        <v>9</v>
      </c>
      <c r="AG898">
        <v>1</v>
      </c>
      <c r="AH898">
        <v>8</v>
      </c>
      <c r="AI898">
        <f>IF(tbl_HRData[[#This Row],[Attrition]] = "Yes",1,0)</f>
        <v>0</v>
      </c>
      <c r="AJ898">
        <f>IF(tbl_HRData[[#This Row],[Attrition]] = "No",1,0)</f>
        <v>1</v>
      </c>
      <c r="AK898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898" s="1" t="str">
        <f>IF(tbl_HRData[[#This Row],[MonthlyIncome]]&lt;5000,"Low",
IF(tbl_HRData[[#This Row],[MonthlyIncome]]&lt;10000,"Medium",
IF(tbl_HRData[[#This Row],[MonthlyIncome]]&lt;15000,"Upper Medium","High")))</f>
        <v>Medium</v>
      </c>
      <c r="AM898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899" spans="1:39" x14ac:dyDescent="0.35">
      <c r="A899" s="1">
        <v>898</v>
      </c>
      <c r="B899">
        <v>59</v>
      </c>
      <c r="C899" s="1" t="s">
        <v>40</v>
      </c>
      <c r="D899" s="1" t="s">
        <v>34</v>
      </c>
      <c r="E899">
        <v>326</v>
      </c>
      <c r="F899" s="1" t="s">
        <v>35</v>
      </c>
      <c r="G899">
        <v>3</v>
      </c>
      <c r="H899">
        <v>3</v>
      </c>
      <c r="I899" s="1" t="s">
        <v>36</v>
      </c>
      <c r="J899">
        <v>1254</v>
      </c>
      <c r="K899">
        <v>3</v>
      </c>
      <c r="L899" s="1" t="s">
        <v>37</v>
      </c>
      <c r="M899">
        <v>48</v>
      </c>
      <c r="N899">
        <v>2</v>
      </c>
      <c r="O899">
        <v>2</v>
      </c>
      <c r="P899" s="1" t="s">
        <v>38</v>
      </c>
      <c r="Q899">
        <v>4</v>
      </c>
      <c r="R899" s="1" t="s">
        <v>39</v>
      </c>
      <c r="S899">
        <v>5171</v>
      </c>
      <c r="T899">
        <v>16490</v>
      </c>
      <c r="U899">
        <v>5</v>
      </c>
      <c r="V899" s="1" t="s">
        <v>40</v>
      </c>
      <c r="W899">
        <v>17</v>
      </c>
      <c r="X899">
        <v>3</v>
      </c>
      <c r="Y899">
        <v>4</v>
      </c>
      <c r="Z899">
        <v>80</v>
      </c>
      <c r="AA899">
        <v>0</v>
      </c>
      <c r="AB899">
        <v>13</v>
      </c>
      <c r="AC899">
        <v>2</v>
      </c>
      <c r="AD899">
        <v>3</v>
      </c>
      <c r="AE899">
        <v>6</v>
      </c>
      <c r="AF899">
        <v>1</v>
      </c>
      <c r="AG899">
        <v>0</v>
      </c>
      <c r="AH899">
        <v>5</v>
      </c>
      <c r="AI899">
        <f>IF(tbl_HRData[[#This Row],[Attrition]] = "Yes",1,0)</f>
        <v>0</v>
      </c>
      <c r="AJ899">
        <f>IF(tbl_HRData[[#This Row],[Attrition]] = "No",1,0)</f>
        <v>1</v>
      </c>
      <c r="AK899" t="str">
        <f>IF(tbl_HRData[[#This Row],[Age]] &lt; 25, "Under 25", IF(tbl_HRData[[#This Row],[Age]] &lt;= 34, "25-34", IF(tbl_HRData[[#This Row],[Age]] &lt;= 44, "35-44", IF(tbl_HRData[[#This Row],[Age]] &lt;= 54, "45-54", "55+"))))</f>
        <v>55+</v>
      </c>
      <c r="AL899" s="1" t="str">
        <f>IF(tbl_HRData[[#This Row],[MonthlyIncome]]&lt;5000,"Low",
IF(tbl_HRData[[#This Row],[MonthlyIncome]]&lt;10000,"Medium",
IF(tbl_HRData[[#This Row],[MonthlyIncome]]&lt;15000,"Upper Medium","High")))</f>
        <v>Medium</v>
      </c>
      <c r="AM899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900" spans="1:39" x14ac:dyDescent="0.35">
      <c r="A900" s="1">
        <v>899</v>
      </c>
      <c r="B900">
        <v>43</v>
      </c>
      <c r="C900" s="1" t="s">
        <v>40</v>
      </c>
      <c r="D900" s="1" t="s">
        <v>34</v>
      </c>
      <c r="E900">
        <v>920</v>
      </c>
      <c r="F900" s="1" t="s">
        <v>42</v>
      </c>
      <c r="G900">
        <v>3</v>
      </c>
      <c r="H900">
        <v>3</v>
      </c>
      <c r="I900" s="1" t="s">
        <v>36</v>
      </c>
      <c r="J900">
        <v>1255</v>
      </c>
      <c r="K900">
        <v>3</v>
      </c>
      <c r="L900" s="1" t="s">
        <v>43</v>
      </c>
      <c r="M900">
        <v>96</v>
      </c>
      <c r="N900">
        <v>1</v>
      </c>
      <c r="O900">
        <v>5</v>
      </c>
      <c r="P900" s="1" t="s">
        <v>55</v>
      </c>
      <c r="Q900">
        <v>4</v>
      </c>
      <c r="R900" s="1" t="s">
        <v>45</v>
      </c>
      <c r="S900">
        <v>19740</v>
      </c>
      <c r="T900">
        <v>18625</v>
      </c>
      <c r="U900">
        <v>3</v>
      </c>
      <c r="V900" s="1" t="s">
        <v>40</v>
      </c>
      <c r="W900">
        <v>14</v>
      </c>
      <c r="X900">
        <v>3</v>
      </c>
      <c r="Y900">
        <v>2</v>
      </c>
      <c r="Z900">
        <v>80</v>
      </c>
      <c r="AA900">
        <v>1</v>
      </c>
      <c r="AB900">
        <v>25</v>
      </c>
      <c r="AC900">
        <v>2</v>
      </c>
      <c r="AD900">
        <v>3</v>
      </c>
      <c r="AE900">
        <v>8</v>
      </c>
      <c r="AF900">
        <v>7</v>
      </c>
      <c r="AG900">
        <v>0</v>
      </c>
      <c r="AH900">
        <v>7</v>
      </c>
      <c r="AI900">
        <f>IF(tbl_HRData[[#This Row],[Attrition]] = "Yes",1,0)</f>
        <v>0</v>
      </c>
      <c r="AJ900">
        <f>IF(tbl_HRData[[#This Row],[Attrition]] = "No",1,0)</f>
        <v>1</v>
      </c>
      <c r="AK900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900" s="1" t="str">
        <f>IF(tbl_HRData[[#This Row],[MonthlyIncome]]&lt;5000,"Low",
IF(tbl_HRData[[#This Row],[MonthlyIncome]]&lt;10000,"Medium",
IF(tbl_HRData[[#This Row],[MonthlyIncome]]&lt;15000,"Upper Medium","High")))</f>
        <v>High</v>
      </c>
      <c r="AM900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901" spans="1:39" x14ac:dyDescent="0.35">
      <c r="A901" s="1">
        <v>900</v>
      </c>
      <c r="B901">
        <v>49</v>
      </c>
      <c r="C901" s="1" t="s">
        <v>40</v>
      </c>
      <c r="D901" s="1" t="s">
        <v>34</v>
      </c>
      <c r="E901">
        <v>1098</v>
      </c>
      <c r="F901" s="1" t="s">
        <v>42</v>
      </c>
      <c r="G901">
        <v>4</v>
      </c>
      <c r="H901">
        <v>2</v>
      </c>
      <c r="I901" s="1" t="s">
        <v>48</v>
      </c>
      <c r="J901">
        <v>1256</v>
      </c>
      <c r="K901">
        <v>1</v>
      </c>
      <c r="L901" s="1" t="s">
        <v>43</v>
      </c>
      <c r="M901">
        <v>85</v>
      </c>
      <c r="N901">
        <v>2</v>
      </c>
      <c r="O901">
        <v>5</v>
      </c>
      <c r="P901" s="1" t="s">
        <v>53</v>
      </c>
      <c r="Q901">
        <v>3</v>
      </c>
      <c r="R901" s="1" t="s">
        <v>45</v>
      </c>
      <c r="S901">
        <v>18711</v>
      </c>
      <c r="T901">
        <v>12124</v>
      </c>
      <c r="U901">
        <v>2</v>
      </c>
      <c r="V901" s="1" t="s">
        <v>40</v>
      </c>
      <c r="W901">
        <v>13</v>
      </c>
      <c r="X901">
        <v>3</v>
      </c>
      <c r="Y901">
        <v>3</v>
      </c>
      <c r="Z901">
        <v>80</v>
      </c>
      <c r="AA901">
        <v>1</v>
      </c>
      <c r="AB901">
        <v>23</v>
      </c>
      <c r="AC901">
        <v>2</v>
      </c>
      <c r="AD901">
        <v>4</v>
      </c>
      <c r="AE901">
        <v>1</v>
      </c>
      <c r="AF901">
        <v>0</v>
      </c>
      <c r="AG901">
        <v>0</v>
      </c>
      <c r="AH901">
        <v>0</v>
      </c>
      <c r="AI901">
        <f>IF(tbl_HRData[[#This Row],[Attrition]] = "Yes",1,0)</f>
        <v>0</v>
      </c>
      <c r="AJ901">
        <f>IF(tbl_HRData[[#This Row],[Attrition]] = "No",1,0)</f>
        <v>1</v>
      </c>
      <c r="AK901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901" s="1" t="str">
        <f>IF(tbl_HRData[[#This Row],[MonthlyIncome]]&lt;5000,"Low",
IF(tbl_HRData[[#This Row],[MonthlyIncome]]&lt;10000,"Medium",
IF(tbl_HRData[[#This Row],[MonthlyIncome]]&lt;15000,"Upper Medium","High")))</f>
        <v>High</v>
      </c>
      <c r="AM901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902" spans="1:39" x14ac:dyDescent="0.35">
      <c r="A902" s="1">
        <v>901</v>
      </c>
      <c r="B902">
        <v>36</v>
      </c>
      <c r="C902" s="1" t="s">
        <v>40</v>
      </c>
      <c r="D902" s="1" t="s">
        <v>41</v>
      </c>
      <c r="E902">
        <v>469</v>
      </c>
      <c r="F902" s="1" t="s">
        <v>42</v>
      </c>
      <c r="G902">
        <v>3</v>
      </c>
      <c r="H902">
        <v>3</v>
      </c>
      <c r="I902" s="1" t="s">
        <v>57</v>
      </c>
      <c r="J902">
        <v>1257</v>
      </c>
      <c r="K902">
        <v>3</v>
      </c>
      <c r="L902" s="1" t="s">
        <v>43</v>
      </c>
      <c r="M902">
        <v>46</v>
      </c>
      <c r="N902">
        <v>3</v>
      </c>
      <c r="O902">
        <v>1</v>
      </c>
      <c r="P902" s="1" t="s">
        <v>44</v>
      </c>
      <c r="Q902">
        <v>2</v>
      </c>
      <c r="R902" s="1" t="s">
        <v>45</v>
      </c>
      <c r="S902">
        <v>3692</v>
      </c>
      <c r="T902">
        <v>9256</v>
      </c>
      <c r="U902">
        <v>1</v>
      </c>
      <c r="V902" s="1" t="s">
        <v>40</v>
      </c>
      <c r="W902">
        <v>12</v>
      </c>
      <c r="X902">
        <v>3</v>
      </c>
      <c r="Y902">
        <v>3</v>
      </c>
      <c r="Z902">
        <v>80</v>
      </c>
      <c r="AA902">
        <v>0</v>
      </c>
      <c r="AB902">
        <v>12</v>
      </c>
      <c r="AC902">
        <v>2</v>
      </c>
      <c r="AD902">
        <v>2</v>
      </c>
      <c r="AE902">
        <v>11</v>
      </c>
      <c r="AF902">
        <v>10</v>
      </c>
      <c r="AG902">
        <v>0</v>
      </c>
      <c r="AH902">
        <v>7</v>
      </c>
      <c r="AI902">
        <f>IF(tbl_HRData[[#This Row],[Attrition]] = "Yes",1,0)</f>
        <v>0</v>
      </c>
      <c r="AJ902">
        <f>IF(tbl_HRData[[#This Row],[Attrition]] = "No",1,0)</f>
        <v>1</v>
      </c>
      <c r="AK902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902" s="1" t="str">
        <f>IF(tbl_HRData[[#This Row],[MonthlyIncome]]&lt;5000,"Low",
IF(tbl_HRData[[#This Row],[MonthlyIncome]]&lt;10000,"Medium",
IF(tbl_HRData[[#This Row],[MonthlyIncome]]&lt;15000,"Upper Medium","High")))</f>
        <v>Low</v>
      </c>
      <c r="AM902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903" spans="1:39" x14ac:dyDescent="0.35">
      <c r="A903" s="1">
        <v>902</v>
      </c>
      <c r="B903">
        <v>48</v>
      </c>
      <c r="C903" s="1" t="s">
        <v>40</v>
      </c>
      <c r="D903" s="1" t="s">
        <v>34</v>
      </c>
      <c r="E903">
        <v>969</v>
      </c>
      <c r="F903" s="1" t="s">
        <v>42</v>
      </c>
      <c r="G903">
        <v>2</v>
      </c>
      <c r="H903">
        <v>2</v>
      </c>
      <c r="I903" s="1" t="s">
        <v>57</v>
      </c>
      <c r="J903">
        <v>1258</v>
      </c>
      <c r="K903">
        <v>4</v>
      </c>
      <c r="L903" s="1" t="s">
        <v>43</v>
      </c>
      <c r="M903">
        <v>76</v>
      </c>
      <c r="N903">
        <v>4</v>
      </c>
      <c r="O903">
        <v>1</v>
      </c>
      <c r="P903" s="1" t="s">
        <v>47</v>
      </c>
      <c r="Q903">
        <v>2</v>
      </c>
      <c r="R903" s="1" t="s">
        <v>39</v>
      </c>
      <c r="S903">
        <v>2559</v>
      </c>
      <c r="T903">
        <v>16620</v>
      </c>
      <c r="U903">
        <v>5</v>
      </c>
      <c r="V903" s="1" t="s">
        <v>40</v>
      </c>
      <c r="W903">
        <v>11</v>
      </c>
      <c r="X903">
        <v>3</v>
      </c>
      <c r="Y903">
        <v>3</v>
      </c>
      <c r="Z903">
        <v>80</v>
      </c>
      <c r="AA903">
        <v>0</v>
      </c>
      <c r="AB903">
        <v>7</v>
      </c>
      <c r="AC903">
        <v>4</v>
      </c>
      <c r="AD903">
        <v>2</v>
      </c>
      <c r="AE903">
        <v>1</v>
      </c>
      <c r="AF903">
        <v>0</v>
      </c>
      <c r="AG903">
        <v>0</v>
      </c>
      <c r="AH903">
        <v>0</v>
      </c>
      <c r="AI903">
        <f>IF(tbl_HRData[[#This Row],[Attrition]] = "Yes",1,0)</f>
        <v>0</v>
      </c>
      <c r="AJ903">
        <f>IF(tbl_HRData[[#This Row],[Attrition]] = "No",1,0)</f>
        <v>1</v>
      </c>
      <c r="AK903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903" s="1" t="str">
        <f>IF(tbl_HRData[[#This Row],[MonthlyIncome]]&lt;5000,"Low",
IF(tbl_HRData[[#This Row],[MonthlyIncome]]&lt;10000,"Medium",
IF(tbl_HRData[[#This Row],[MonthlyIncome]]&lt;15000,"Upper Medium","High")))</f>
        <v>Low</v>
      </c>
      <c r="AM903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904" spans="1:39" x14ac:dyDescent="0.35">
      <c r="A904" s="1">
        <v>903</v>
      </c>
      <c r="B904">
        <v>27</v>
      </c>
      <c r="C904" s="1" t="s">
        <v>40</v>
      </c>
      <c r="D904" s="1" t="s">
        <v>34</v>
      </c>
      <c r="E904">
        <v>1167</v>
      </c>
      <c r="F904" s="1" t="s">
        <v>42</v>
      </c>
      <c r="G904">
        <v>4</v>
      </c>
      <c r="H904">
        <v>2</v>
      </c>
      <c r="I904" s="1" t="s">
        <v>36</v>
      </c>
      <c r="J904">
        <v>1259</v>
      </c>
      <c r="K904">
        <v>1</v>
      </c>
      <c r="L904" s="1" t="s">
        <v>43</v>
      </c>
      <c r="M904">
        <v>76</v>
      </c>
      <c r="N904">
        <v>3</v>
      </c>
      <c r="O904">
        <v>1</v>
      </c>
      <c r="P904" s="1" t="s">
        <v>44</v>
      </c>
      <c r="Q904">
        <v>3</v>
      </c>
      <c r="R904" s="1" t="s">
        <v>49</v>
      </c>
      <c r="S904">
        <v>2517</v>
      </c>
      <c r="T904">
        <v>3208</v>
      </c>
      <c r="U904">
        <v>1</v>
      </c>
      <c r="V904" s="1" t="s">
        <v>40</v>
      </c>
      <c r="W904">
        <v>11</v>
      </c>
      <c r="X904">
        <v>3</v>
      </c>
      <c r="Y904">
        <v>2</v>
      </c>
      <c r="Z904">
        <v>80</v>
      </c>
      <c r="AA904">
        <v>3</v>
      </c>
      <c r="AB904">
        <v>5</v>
      </c>
      <c r="AC904">
        <v>2</v>
      </c>
      <c r="AD904">
        <v>3</v>
      </c>
      <c r="AE904">
        <v>5</v>
      </c>
      <c r="AF904">
        <v>3</v>
      </c>
      <c r="AG904">
        <v>0</v>
      </c>
      <c r="AH904">
        <v>3</v>
      </c>
      <c r="AI904">
        <f>IF(tbl_HRData[[#This Row],[Attrition]] = "Yes",1,0)</f>
        <v>0</v>
      </c>
      <c r="AJ904">
        <f>IF(tbl_HRData[[#This Row],[Attrition]] = "No",1,0)</f>
        <v>1</v>
      </c>
      <c r="AK904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904" s="1" t="str">
        <f>IF(tbl_HRData[[#This Row],[MonthlyIncome]]&lt;5000,"Low",
IF(tbl_HRData[[#This Row],[MonthlyIncome]]&lt;10000,"Medium",
IF(tbl_HRData[[#This Row],[MonthlyIncome]]&lt;15000,"Upper Medium","High")))</f>
        <v>Low</v>
      </c>
      <c r="AM904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905" spans="1:39" x14ac:dyDescent="0.35">
      <c r="A905" s="1">
        <v>904</v>
      </c>
      <c r="B905">
        <v>29</v>
      </c>
      <c r="C905" s="1" t="s">
        <v>40</v>
      </c>
      <c r="D905" s="1" t="s">
        <v>34</v>
      </c>
      <c r="E905">
        <v>1329</v>
      </c>
      <c r="F905" s="1" t="s">
        <v>42</v>
      </c>
      <c r="G905">
        <v>7</v>
      </c>
      <c r="H905">
        <v>3</v>
      </c>
      <c r="I905" s="1" t="s">
        <v>36</v>
      </c>
      <c r="J905">
        <v>1260</v>
      </c>
      <c r="K905">
        <v>3</v>
      </c>
      <c r="L905" s="1" t="s">
        <v>43</v>
      </c>
      <c r="M905">
        <v>82</v>
      </c>
      <c r="N905">
        <v>3</v>
      </c>
      <c r="O905">
        <v>2</v>
      </c>
      <c r="P905" s="1" t="s">
        <v>51</v>
      </c>
      <c r="Q905">
        <v>4</v>
      </c>
      <c r="R905" s="1" t="s">
        <v>49</v>
      </c>
      <c r="S905">
        <v>6623</v>
      </c>
      <c r="T905">
        <v>4204</v>
      </c>
      <c r="U905">
        <v>1</v>
      </c>
      <c r="V905" s="1" t="s">
        <v>33</v>
      </c>
      <c r="W905">
        <v>11</v>
      </c>
      <c r="X905">
        <v>3</v>
      </c>
      <c r="Y905">
        <v>2</v>
      </c>
      <c r="Z905">
        <v>80</v>
      </c>
      <c r="AA905">
        <v>2</v>
      </c>
      <c r="AB905">
        <v>6</v>
      </c>
      <c r="AC905">
        <v>2</v>
      </c>
      <c r="AD905">
        <v>3</v>
      </c>
      <c r="AE905">
        <v>6</v>
      </c>
      <c r="AF905">
        <v>0</v>
      </c>
      <c r="AG905">
        <v>1</v>
      </c>
      <c r="AH905">
        <v>0</v>
      </c>
      <c r="AI905">
        <f>IF(tbl_HRData[[#This Row],[Attrition]] = "Yes",1,0)</f>
        <v>0</v>
      </c>
      <c r="AJ905">
        <f>IF(tbl_HRData[[#This Row],[Attrition]] = "No",1,0)</f>
        <v>1</v>
      </c>
      <c r="AK905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905" s="1" t="str">
        <f>IF(tbl_HRData[[#This Row],[MonthlyIncome]]&lt;5000,"Low",
IF(tbl_HRData[[#This Row],[MonthlyIncome]]&lt;10000,"Medium",
IF(tbl_HRData[[#This Row],[MonthlyIncome]]&lt;15000,"Upper Medium","High")))</f>
        <v>Medium</v>
      </c>
      <c r="AM905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906" spans="1:39" x14ac:dyDescent="0.35">
      <c r="A906" s="1">
        <v>905</v>
      </c>
      <c r="B906">
        <v>48</v>
      </c>
      <c r="C906" s="1" t="s">
        <v>40</v>
      </c>
      <c r="D906" s="1" t="s">
        <v>34</v>
      </c>
      <c r="E906">
        <v>715</v>
      </c>
      <c r="F906" s="1" t="s">
        <v>42</v>
      </c>
      <c r="G906">
        <v>1</v>
      </c>
      <c r="H906">
        <v>3</v>
      </c>
      <c r="I906" s="1" t="s">
        <v>36</v>
      </c>
      <c r="J906">
        <v>1263</v>
      </c>
      <c r="K906">
        <v>4</v>
      </c>
      <c r="L906" s="1" t="s">
        <v>43</v>
      </c>
      <c r="M906">
        <v>76</v>
      </c>
      <c r="N906">
        <v>2</v>
      </c>
      <c r="O906">
        <v>5</v>
      </c>
      <c r="P906" s="1" t="s">
        <v>55</v>
      </c>
      <c r="Q906">
        <v>4</v>
      </c>
      <c r="R906" s="1" t="s">
        <v>39</v>
      </c>
      <c r="S906">
        <v>18265</v>
      </c>
      <c r="T906">
        <v>8733</v>
      </c>
      <c r="U906">
        <v>6</v>
      </c>
      <c r="V906" s="1" t="s">
        <v>40</v>
      </c>
      <c r="W906">
        <v>12</v>
      </c>
      <c r="X906">
        <v>3</v>
      </c>
      <c r="Y906">
        <v>3</v>
      </c>
      <c r="Z906">
        <v>80</v>
      </c>
      <c r="AA906">
        <v>0</v>
      </c>
      <c r="AB906">
        <v>25</v>
      </c>
      <c r="AC906">
        <v>3</v>
      </c>
      <c r="AD906">
        <v>4</v>
      </c>
      <c r="AE906">
        <v>1</v>
      </c>
      <c r="AF906">
        <v>0</v>
      </c>
      <c r="AG906">
        <v>0</v>
      </c>
      <c r="AH906">
        <v>0</v>
      </c>
      <c r="AI906">
        <f>IF(tbl_HRData[[#This Row],[Attrition]] = "Yes",1,0)</f>
        <v>0</v>
      </c>
      <c r="AJ906">
        <f>IF(tbl_HRData[[#This Row],[Attrition]] = "No",1,0)</f>
        <v>1</v>
      </c>
      <c r="AK906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906" s="1" t="str">
        <f>IF(tbl_HRData[[#This Row],[MonthlyIncome]]&lt;5000,"Low",
IF(tbl_HRData[[#This Row],[MonthlyIncome]]&lt;10000,"Medium",
IF(tbl_HRData[[#This Row],[MonthlyIncome]]&lt;15000,"Upper Medium","High")))</f>
        <v>High</v>
      </c>
      <c r="AM906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907" spans="1:39" x14ac:dyDescent="0.35">
      <c r="A907" s="1">
        <v>906</v>
      </c>
      <c r="B907">
        <v>29</v>
      </c>
      <c r="C907" s="1" t="s">
        <v>40</v>
      </c>
      <c r="D907" s="1" t="s">
        <v>34</v>
      </c>
      <c r="E907">
        <v>694</v>
      </c>
      <c r="F907" s="1" t="s">
        <v>42</v>
      </c>
      <c r="G907">
        <v>1</v>
      </c>
      <c r="H907">
        <v>3</v>
      </c>
      <c r="I907" s="1" t="s">
        <v>36</v>
      </c>
      <c r="J907">
        <v>1264</v>
      </c>
      <c r="K907">
        <v>4</v>
      </c>
      <c r="L907" s="1" t="s">
        <v>37</v>
      </c>
      <c r="M907">
        <v>87</v>
      </c>
      <c r="N907">
        <v>2</v>
      </c>
      <c r="O907">
        <v>4</v>
      </c>
      <c r="P907" s="1" t="s">
        <v>55</v>
      </c>
      <c r="Q907">
        <v>4</v>
      </c>
      <c r="R907" s="1" t="s">
        <v>49</v>
      </c>
      <c r="S907">
        <v>16124</v>
      </c>
      <c r="T907">
        <v>3423</v>
      </c>
      <c r="U907">
        <v>3</v>
      </c>
      <c r="V907" s="1" t="s">
        <v>40</v>
      </c>
      <c r="W907">
        <v>14</v>
      </c>
      <c r="X907">
        <v>3</v>
      </c>
      <c r="Y907">
        <v>2</v>
      </c>
      <c r="Z907">
        <v>80</v>
      </c>
      <c r="AA907">
        <v>2</v>
      </c>
      <c r="AB907">
        <v>9</v>
      </c>
      <c r="AC907">
        <v>2</v>
      </c>
      <c r="AD907">
        <v>2</v>
      </c>
      <c r="AE907">
        <v>7</v>
      </c>
      <c r="AF907">
        <v>7</v>
      </c>
      <c r="AG907">
        <v>1</v>
      </c>
      <c r="AH907">
        <v>7</v>
      </c>
      <c r="AI907">
        <f>IF(tbl_HRData[[#This Row],[Attrition]] = "Yes",1,0)</f>
        <v>0</v>
      </c>
      <c r="AJ907">
        <f>IF(tbl_HRData[[#This Row],[Attrition]] = "No",1,0)</f>
        <v>1</v>
      </c>
      <c r="AK907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907" s="1" t="str">
        <f>IF(tbl_HRData[[#This Row],[MonthlyIncome]]&lt;5000,"Low",
IF(tbl_HRData[[#This Row],[MonthlyIncome]]&lt;10000,"Medium",
IF(tbl_HRData[[#This Row],[MonthlyIncome]]&lt;15000,"Upper Medium","High")))</f>
        <v>High</v>
      </c>
      <c r="AM907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908" spans="1:39" x14ac:dyDescent="0.35">
      <c r="A908" s="1">
        <v>907</v>
      </c>
      <c r="B908">
        <v>34</v>
      </c>
      <c r="C908" s="1" t="s">
        <v>40</v>
      </c>
      <c r="D908" s="1" t="s">
        <v>34</v>
      </c>
      <c r="E908">
        <v>1320</v>
      </c>
      <c r="F908" s="1" t="s">
        <v>42</v>
      </c>
      <c r="G908">
        <v>20</v>
      </c>
      <c r="H908">
        <v>3</v>
      </c>
      <c r="I908" s="1" t="s">
        <v>57</v>
      </c>
      <c r="J908">
        <v>1265</v>
      </c>
      <c r="K908">
        <v>3</v>
      </c>
      <c r="L908" s="1" t="s">
        <v>37</v>
      </c>
      <c r="M908">
        <v>89</v>
      </c>
      <c r="N908">
        <v>4</v>
      </c>
      <c r="O908">
        <v>1</v>
      </c>
      <c r="P908" s="1" t="s">
        <v>44</v>
      </c>
      <c r="Q908">
        <v>3</v>
      </c>
      <c r="R908" s="1" t="s">
        <v>45</v>
      </c>
      <c r="S908">
        <v>2585</v>
      </c>
      <c r="T908">
        <v>21643</v>
      </c>
      <c r="U908">
        <v>0</v>
      </c>
      <c r="V908" s="1" t="s">
        <v>40</v>
      </c>
      <c r="W908">
        <v>17</v>
      </c>
      <c r="X908">
        <v>3</v>
      </c>
      <c r="Y908">
        <v>4</v>
      </c>
      <c r="Z908">
        <v>80</v>
      </c>
      <c r="AA908">
        <v>0</v>
      </c>
      <c r="AB908">
        <v>2</v>
      </c>
      <c r="AC908">
        <v>5</v>
      </c>
      <c r="AD908">
        <v>2</v>
      </c>
      <c r="AE908">
        <v>1</v>
      </c>
      <c r="AF908">
        <v>0</v>
      </c>
      <c r="AG908">
        <v>0</v>
      </c>
      <c r="AH908">
        <v>0</v>
      </c>
      <c r="AI908">
        <f>IF(tbl_HRData[[#This Row],[Attrition]] = "Yes",1,0)</f>
        <v>0</v>
      </c>
      <c r="AJ908">
        <f>IF(tbl_HRData[[#This Row],[Attrition]] = "No",1,0)</f>
        <v>1</v>
      </c>
      <c r="AK908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908" s="1" t="str">
        <f>IF(tbl_HRData[[#This Row],[MonthlyIncome]]&lt;5000,"Low",
IF(tbl_HRData[[#This Row],[MonthlyIncome]]&lt;10000,"Medium",
IF(tbl_HRData[[#This Row],[MonthlyIncome]]&lt;15000,"Upper Medium","High")))</f>
        <v>Low</v>
      </c>
      <c r="AM908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909" spans="1:39" x14ac:dyDescent="0.35">
      <c r="A909" s="1">
        <v>908</v>
      </c>
      <c r="B909">
        <v>44</v>
      </c>
      <c r="C909" s="1" t="s">
        <v>40</v>
      </c>
      <c r="D909" s="1" t="s">
        <v>34</v>
      </c>
      <c r="E909">
        <v>1099</v>
      </c>
      <c r="F909" s="1" t="s">
        <v>35</v>
      </c>
      <c r="G909">
        <v>5</v>
      </c>
      <c r="H909">
        <v>3</v>
      </c>
      <c r="I909" s="1" t="s">
        <v>56</v>
      </c>
      <c r="J909">
        <v>1267</v>
      </c>
      <c r="K909">
        <v>2</v>
      </c>
      <c r="L909" s="1" t="s">
        <v>43</v>
      </c>
      <c r="M909">
        <v>88</v>
      </c>
      <c r="N909">
        <v>3</v>
      </c>
      <c r="O909">
        <v>5</v>
      </c>
      <c r="P909" s="1" t="s">
        <v>53</v>
      </c>
      <c r="Q909">
        <v>2</v>
      </c>
      <c r="R909" s="1" t="s">
        <v>45</v>
      </c>
      <c r="S909">
        <v>18213</v>
      </c>
      <c r="T909">
        <v>8751</v>
      </c>
      <c r="U909">
        <v>7</v>
      </c>
      <c r="V909" s="1" t="s">
        <v>40</v>
      </c>
      <c r="W909">
        <v>11</v>
      </c>
      <c r="X909">
        <v>3</v>
      </c>
      <c r="Y909">
        <v>3</v>
      </c>
      <c r="Z909">
        <v>80</v>
      </c>
      <c r="AA909">
        <v>1</v>
      </c>
      <c r="AB909">
        <v>26</v>
      </c>
      <c r="AC909">
        <v>5</v>
      </c>
      <c r="AD909">
        <v>3</v>
      </c>
      <c r="AE909">
        <v>22</v>
      </c>
      <c r="AF909">
        <v>9</v>
      </c>
      <c r="AG909">
        <v>3</v>
      </c>
      <c r="AH909">
        <v>10</v>
      </c>
      <c r="AI909">
        <f>IF(tbl_HRData[[#This Row],[Attrition]] = "Yes",1,0)</f>
        <v>0</v>
      </c>
      <c r="AJ909">
        <f>IF(tbl_HRData[[#This Row],[Attrition]] = "No",1,0)</f>
        <v>1</v>
      </c>
      <c r="AK909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909" s="1" t="str">
        <f>IF(tbl_HRData[[#This Row],[MonthlyIncome]]&lt;5000,"Low",
IF(tbl_HRData[[#This Row],[MonthlyIncome]]&lt;10000,"Medium",
IF(tbl_HRData[[#This Row],[MonthlyIncome]]&lt;15000,"Upper Medium","High")))</f>
        <v>High</v>
      </c>
      <c r="AM909" s="1" t="str">
        <f>IF(tbl_HRData[[#This Row],[YearsAtCompany]]&lt;=5,"0-5 Years",
IF(tbl_HRData[[#This Row],[YearsAtCompany]]&lt;=10,"6-10 Years",
IF(tbl_HRData[[#This Row],[YearsAtCompany]]&lt;=20,"11-20 Years","21+ Years")))</f>
        <v>21+ Years</v>
      </c>
    </row>
    <row r="910" spans="1:39" x14ac:dyDescent="0.35">
      <c r="A910" s="1">
        <v>909</v>
      </c>
      <c r="B910">
        <v>33</v>
      </c>
      <c r="C910" s="1" t="s">
        <v>40</v>
      </c>
      <c r="D910" s="1" t="s">
        <v>34</v>
      </c>
      <c r="E910">
        <v>536</v>
      </c>
      <c r="F910" s="1" t="s">
        <v>35</v>
      </c>
      <c r="G910">
        <v>10</v>
      </c>
      <c r="H910">
        <v>5</v>
      </c>
      <c r="I910" s="1" t="s">
        <v>56</v>
      </c>
      <c r="J910">
        <v>1268</v>
      </c>
      <c r="K910">
        <v>4</v>
      </c>
      <c r="L910" s="1" t="s">
        <v>43</v>
      </c>
      <c r="M910">
        <v>82</v>
      </c>
      <c r="N910">
        <v>4</v>
      </c>
      <c r="O910">
        <v>3</v>
      </c>
      <c r="P910" s="1" t="s">
        <v>38</v>
      </c>
      <c r="Q910">
        <v>3</v>
      </c>
      <c r="R910" s="1" t="s">
        <v>49</v>
      </c>
      <c r="S910">
        <v>8380</v>
      </c>
      <c r="T910">
        <v>21708</v>
      </c>
      <c r="U910">
        <v>0</v>
      </c>
      <c r="V910" s="1" t="s">
        <v>33</v>
      </c>
      <c r="W910">
        <v>14</v>
      </c>
      <c r="X910">
        <v>3</v>
      </c>
      <c r="Y910">
        <v>4</v>
      </c>
      <c r="Z910">
        <v>80</v>
      </c>
      <c r="AA910">
        <v>2</v>
      </c>
      <c r="AB910">
        <v>10</v>
      </c>
      <c r="AC910">
        <v>3</v>
      </c>
      <c r="AD910">
        <v>3</v>
      </c>
      <c r="AE910">
        <v>9</v>
      </c>
      <c r="AF910">
        <v>8</v>
      </c>
      <c r="AG910">
        <v>0</v>
      </c>
      <c r="AH910">
        <v>8</v>
      </c>
      <c r="AI910">
        <f>IF(tbl_HRData[[#This Row],[Attrition]] = "Yes",1,0)</f>
        <v>0</v>
      </c>
      <c r="AJ910">
        <f>IF(tbl_HRData[[#This Row],[Attrition]] = "No",1,0)</f>
        <v>1</v>
      </c>
      <c r="AK910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910" s="1" t="str">
        <f>IF(tbl_HRData[[#This Row],[MonthlyIncome]]&lt;5000,"Low",
IF(tbl_HRData[[#This Row],[MonthlyIncome]]&lt;10000,"Medium",
IF(tbl_HRData[[#This Row],[MonthlyIncome]]&lt;15000,"Upper Medium","High")))</f>
        <v>Medium</v>
      </c>
      <c r="AM910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911" spans="1:39" x14ac:dyDescent="0.35">
      <c r="A911" s="1">
        <v>910</v>
      </c>
      <c r="B911">
        <v>19</v>
      </c>
      <c r="C911" s="1" t="s">
        <v>40</v>
      </c>
      <c r="D911" s="1" t="s">
        <v>34</v>
      </c>
      <c r="E911">
        <v>265</v>
      </c>
      <c r="F911" s="1" t="s">
        <v>42</v>
      </c>
      <c r="G911">
        <v>25</v>
      </c>
      <c r="H911">
        <v>3</v>
      </c>
      <c r="I911" s="1" t="s">
        <v>36</v>
      </c>
      <c r="J911">
        <v>1269</v>
      </c>
      <c r="K911">
        <v>2</v>
      </c>
      <c r="L911" s="1" t="s">
        <v>37</v>
      </c>
      <c r="M911">
        <v>57</v>
      </c>
      <c r="N911">
        <v>4</v>
      </c>
      <c r="O911">
        <v>1</v>
      </c>
      <c r="P911" s="1" t="s">
        <v>44</v>
      </c>
      <c r="Q911">
        <v>4</v>
      </c>
      <c r="R911" s="1" t="s">
        <v>39</v>
      </c>
      <c r="S911">
        <v>2994</v>
      </c>
      <c r="T911">
        <v>21221</v>
      </c>
      <c r="U911">
        <v>1</v>
      </c>
      <c r="V911" s="1" t="s">
        <v>33</v>
      </c>
      <c r="W911">
        <v>12</v>
      </c>
      <c r="X911">
        <v>3</v>
      </c>
      <c r="Y911">
        <v>4</v>
      </c>
      <c r="Z911">
        <v>80</v>
      </c>
      <c r="AA911">
        <v>0</v>
      </c>
      <c r="AB911">
        <v>1</v>
      </c>
      <c r="AC911">
        <v>2</v>
      </c>
      <c r="AD911">
        <v>3</v>
      </c>
      <c r="AE911">
        <v>1</v>
      </c>
      <c r="AF911">
        <v>0</v>
      </c>
      <c r="AG911">
        <v>0</v>
      </c>
      <c r="AH911">
        <v>1</v>
      </c>
      <c r="AI911">
        <f>IF(tbl_HRData[[#This Row],[Attrition]] = "Yes",1,0)</f>
        <v>0</v>
      </c>
      <c r="AJ911">
        <f>IF(tbl_HRData[[#This Row],[Attrition]] = "No",1,0)</f>
        <v>1</v>
      </c>
      <c r="AK911" t="str">
        <f>IF(tbl_HRData[[#This Row],[Age]] &lt; 25, "Under 25", IF(tbl_HRData[[#This Row],[Age]] &lt;= 34, "25-34", IF(tbl_HRData[[#This Row],[Age]] &lt;= 44, "35-44", IF(tbl_HRData[[#This Row],[Age]] &lt;= 54, "45-54", "55+"))))</f>
        <v>Under 25</v>
      </c>
      <c r="AL911" s="1" t="str">
        <f>IF(tbl_HRData[[#This Row],[MonthlyIncome]]&lt;5000,"Low",
IF(tbl_HRData[[#This Row],[MonthlyIncome]]&lt;10000,"Medium",
IF(tbl_HRData[[#This Row],[MonthlyIncome]]&lt;15000,"Upper Medium","High")))</f>
        <v>Low</v>
      </c>
      <c r="AM911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912" spans="1:39" x14ac:dyDescent="0.35">
      <c r="A912" s="1">
        <v>911</v>
      </c>
      <c r="B912">
        <v>23</v>
      </c>
      <c r="C912" s="1" t="s">
        <v>40</v>
      </c>
      <c r="D912" s="1" t="s">
        <v>34</v>
      </c>
      <c r="E912">
        <v>373</v>
      </c>
      <c r="F912" s="1" t="s">
        <v>42</v>
      </c>
      <c r="G912">
        <v>1</v>
      </c>
      <c r="H912">
        <v>2</v>
      </c>
      <c r="I912" s="1" t="s">
        <v>36</v>
      </c>
      <c r="J912">
        <v>1270</v>
      </c>
      <c r="K912">
        <v>4</v>
      </c>
      <c r="L912" s="1" t="s">
        <v>43</v>
      </c>
      <c r="M912">
        <v>47</v>
      </c>
      <c r="N912">
        <v>3</v>
      </c>
      <c r="O912">
        <v>1</v>
      </c>
      <c r="P912" s="1" t="s">
        <v>44</v>
      </c>
      <c r="Q912">
        <v>3</v>
      </c>
      <c r="R912" s="1" t="s">
        <v>45</v>
      </c>
      <c r="S912">
        <v>1223</v>
      </c>
      <c r="T912">
        <v>16901</v>
      </c>
      <c r="U912">
        <v>1</v>
      </c>
      <c r="V912" s="1" t="s">
        <v>40</v>
      </c>
      <c r="W912">
        <v>22</v>
      </c>
      <c r="X912">
        <v>4</v>
      </c>
      <c r="Y912">
        <v>4</v>
      </c>
      <c r="Z912">
        <v>80</v>
      </c>
      <c r="AA912">
        <v>1</v>
      </c>
      <c r="AB912">
        <v>1</v>
      </c>
      <c r="AC912">
        <v>2</v>
      </c>
      <c r="AD912">
        <v>3</v>
      </c>
      <c r="AE912">
        <v>1</v>
      </c>
      <c r="AF912">
        <v>0</v>
      </c>
      <c r="AG912">
        <v>0</v>
      </c>
      <c r="AH912">
        <v>1</v>
      </c>
      <c r="AI912">
        <f>IF(tbl_HRData[[#This Row],[Attrition]] = "Yes",1,0)</f>
        <v>0</v>
      </c>
      <c r="AJ912">
        <f>IF(tbl_HRData[[#This Row],[Attrition]] = "No",1,0)</f>
        <v>1</v>
      </c>
      <c r="AK912" t="str">
        <f>IF(tbl_HRData[[#This Row],[Age]] &lt; 25, "Under 25", IF(tbl_HRData[[#This Row],[Age]] &lt;= 34, "25-34", IF(tbl_HRData[[#This Row],[Age]] &lt;= 44, "35-44", IF(tbl_HRData[[#This Row],[Age]] &lt;= 54, "45-54", "55+"))))</f>
        <v>Under 25</v>
      </c>
      <c r="AL912" s="1" t="str">
        <f>IF(tbl_HRData[[#This Row],[MonthlyIncome]]&lt;5000,"Low",
IF(tbl_HRData[[#This Row],[MonthlyIncome]]&lt;10000,"Medium",
IF(tbl_HRData[[#This Row],[MonthlyIncome]]&lt;15000,"Upper Medium","High")))</f>
        <v>Low</v>
      </c>
      <c r="AM912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913" spans="1:39" x14ac:dyDescent="0.35">
      <c r="A913" s="1">
        <v>912</v>
      </c>
      <c r="B913">
        <v>25</v>
      </c>
      <c r="C913" s="1" t="s">
        <v>33</v>
      </c>
      <c r="D913" s="1" t="s">
        <v>41</v>
      </c>
      <c r="E913">
        <v>599</v>
      </c>
      <c r="F913" s="1" t="s">
        <v>35</v>
      </c>
      <c r="G913">
        <v>24</v>
      </c>
      <c r="H913">
        <v>1</v>
      </c>
      <c r="I913" s="1" t="s">
        <v>36</v>
      </c>
      <c r="J913">
        <v>1273</v>
      </c>
      <c r="K913">
        <v>3</v>
      </c>
      <c r="L913" s="1" t="s">
        <v>43</v>
      </c>
      <c r="M913">
        <v>73</v>
      </c>
      <c r="N913">
        <v>1</v>
      </c>
      <c r="O913">
        <v>1</v>
      </c>
      <c r="P913" s="1" t="s">
        <v>54</v>
      </c>
      <c r="Q913">
        <v>4</v>
      </c>
      <c r="R913" s="1" t="s">
        <v>39</v>
      </c>
      <c r="S913">
        <v>1118</v>
      </c>
      <c r="T913">
        <v>8040</v>
      </c>
      <c r="U913">
        <v>1</v>
      </c>
      <c r="V913" s="1" t="s">
        <v>33</v>
      </c>
      <c r="W913">
        <v>14</v>
      </c>
      <c r="X913">
        <v>3</v>
      </c>
      <c r="Y913">
        <v>4</v>
      </c>
      <c r="Z913">
        <v>80</v>
      </c>
      <c r="AA913">
        <v>0</v>
      </c>
      <c r="AB913">
        <v>1</v>
      </c>
      <c r="AC913">
        <v>4</v>
      </c>
      <c r="AD913">
        <v>3</v>
      </c>
      <c r="AE913">
        <v>1</v>
      </c>
      <c r="AF913">
        <v>0</v>
      </c>
      <c r="AG913">
        <v>1</v>
      </c>
      <c r="AH913">
        <v>0</v>
      </c>
      <c r="AI913">
        <f>IF(tbl_HRData[[#This Row],[Attrition]] = "Yes",1,0)</f>
        <v>1</v>
      </c>
      <c r="AJ913">
        <f>IF(tbl_HRData[[#This Row],[Attrition]] = "No",1,0)</f>
        <v>0</v>
      </c>
      <c r="AK913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913" s="1" t="str">
        <f>IF(tbl_HRData[[#This Row],[MonthlyIncome]]&lt;5000,"Low",
IF(tbl_HRData[[#This Row],[MonthlyIncome]]&lt;10000,"Medium",
IF(tbl_HRData[[#This Row],[MonthlyIncome]]&lt;15000,"Upper Medium","High")))</f>
        <v>Low</v>
      </c>
      <c r="AM913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914" spans="1:39" x14ac:dyDescent="0.35">
      <c r="A914" s="1">
        <v>913</v>
      </c>
      <c r="B914">
        <v>26</v>
      </c>
      <c r="C914" s="1" t="s">
        <v>40</v>
      </c>
      <c r="D914" s="1" t="s">
        <v>34</v>
      </c>
      <c r="E914">
        <v>583</v>
      </c>
      <c r="F914" s="1" t="s">
        <v>42</v>
      </c>
      <c r="G914">
        <v>4</v>
      </c>
      <c r="H914">
        <v>2</v>
      </c>
      <c r="I914" s="1" t="s">
        <v>36</v>
      </c>
      <c r="J914">
        <v>1275</v>
      </c>
      <c r="K914">
        <v>3</v>
      </c>
      <c r="L914" s="1" t="s">
        <v>43</v>
      </c>
      <c r="M914">
        <v>53</v>
      </c>
      <c r="N914">
        <v>3</v>
      </c>
      <c r="O914">
        <v>1</v>
      </c>
      <c r="P914" s="1" t="s">
        <v>44</v>
      </c>
      <c r="Q914">
        <v>4</v>
      </c>
      <c r="R914" s="1" t="s">
        <v>39</v>
      </c>
      <c r="S914">
        <v>2875</v>
      </c>
      <c r="T914">
        <v>9973</v>
      </c>
      <c r="U914">
        <v>1</v>
      </c>
      <c r="V914" s="1" t="s">
        <v>33</v>
      </c>
      <c r="W914">
        <v>20</v>
      </c>
      <c r="X914">
        <v>4</v>
      </c>
      <c r="Y914">
        <v>2</v>
      </c>
      <c r="Z914">
        <v>80</v>
      </c>
      <c r="AA914">
        <v>0</v>
      </c>
      <c r="AB914">
        <v>8</v>
      </c>
      <c r="AC914">
        <v>2</v>
      </c>
      <c r="AD914">
        <v>2</v>
      </c>
      <c r="AE914">
        <v>8</v>
      </c>
      <c r="AF914">
        <v>5</v>
      </c>
      <c r="AG914">
        <v>2</v>
      </c>
      <c r="AH914">
        <v>2</v>
      </c>
      <c r="AI914">
        <f>IF(tbl_HRData[[#This Row],[Attrition]] = "Yes",1,0)</f>
        <v>0</v>
      </c>
      <c r="AJ914">
        <f>IF(tbl_HRData[[#This Row],[Attrition]] = "No",1,0)</f>
        <v>1</v>
      </c>
      <c r="AK914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914" s="1" t="str">
        <f>IF(tbl_HRData[[#This Row],[MonthlyIncome]]&lt;5000,"Low",
IF(tbl_HRData[[#This Row],[MonthlyIncome]]&lt;10000,"Medium",
IF(tbl_HRData[[#This Row],[MonthlyIncome]]&lt;15000,"Upper Medium","High")))</f>
        <v>Low</v>
      </c>
      <c r="AM914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915" spans="1:39" x14ac:dyDescent="0.35">
      <c r="A915" s="1">
        <v>914</v>
      </c>
      <c r="B915">
        <v>45</v>
      </c>
      <c r="C915" s="1" t="s">
        <v>33</v>
      </c>
      <c r="D915" s="1" t="s">
        <v>34</v>
      </c>
      <c r="E915">
        <v>1449</v>
      </c>
      <c r="F915" s="1" t="s">
        <v>35</v>
      </c>
      <c r="G915">
        <v>2</v>
      </c>
      <c r="H915">
        <v>3</v>
      </c>
      <c r="I915" s="1" t="s">
        <v>56</v>
      </c>
      <c r="J915">
        <v>1277</v>
      </c>
      <c r="K915">
        <v>1</v>
      </c>
      <c r="L915" s="1" t="s">
        <v>37</v>
      </c>
      <c r="M915">
        <v>94</v>
      </c>
      <c r="N915">
        <v>1</v>
      </c>
      <c r="O915">
        <v>5</v>
      </c>
      <c r="P915" s="1" t="s">
        <v>53</v>
      </c>
      <c r="Q915">
        <v>2</v>
      </c>
      <c r="R915" s="1" t="s">
        <v>39</v>
      </c>
      <c r="S915">
        <v>18824</v>
      </c>
      <c r="T915">
        <v>2493</v>
      </c>
      <c r="U915">
        <v>2</v>
      </c>
      <c r="V915" s="1" t="s">
        <v>33</v>
      </c>
      <c r="W915">
        <v>16</v>
      </c>
      <c r="X915">
        <v>3</v>
      </c>
      <c r="Y915">
        <v>1</v>
      </c>
      <c r="Z915">
        <v>80</v>
      </c>
      <c r="AA915">
        <v>0</v>
      </c>
      <c r="AB915">
        <v>26</v>
      </c>
      <c r="AC915">
        <v>2</v>
      </c>
      <c r="AD915">
        <v>3</v>
      </c>
      <c r="AE915">
        <v>24</v>
      </c>
      <c r="AF915">
        <v>10</v>
      </c>
      <c r="AG915">
        <v>1</v>
      </c>
      <c r="AH915">
        <v>11</v>
      </c>
      <c r="AI915">
        <f>IF(tbl_HRData[[#This Row],[Attrition]] = "Yes",1,0)</f>
        <v>1</v>
      </c>
      <c r="AJ915">
        <f>IF(tbl_HRData[[#This Row],[Attrition]] = "No",1,0)</f>
        <v>0</v>
      </c>
      <c r="AK915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915" s="1" t="str">
        <f>IF(tbl_HRData[[#This Row],[MonthlyIncome]]&lt;5000,"Low",
IF(tbl_HRData[[#This Row],[MonthlyIncome]]&lt;10000,"Medium",
IF(tbl_HRData[[#This Row],[MonthlyIncome]]&lt;15000,"Upper Medium","High")))</f>
        <v>High</v>
      </c>
      <c r="AM915" s="1" t="str">
        <f>IF(tbl_HRData[[#This Row],[YearsAtCompany]]&lt;=5,"0-5 Years",
IF(tbl_HRData[[#This Row],[YearsAtCompany]]&lt;=10,"6-10 Years",
IF(tbl_HRData[[#This Row],[YearsAtCompany]]&lt;=20,"11-20 Years","21+ Years")))</f>
        <v>21+ Years</v>
      </c>
    </row>
    <row r="916" spans="1:39" x14ac:dyDescent="0.35">
      <c r="A916" s="1">
        <v>915</v>
      </c>
      <c r="B916">
        <v>55</v>
      </c>
      <c r="C916" s="1" t="s">
        <v>40</v>
      </c>
      <c r="D916" s="1" t="s">
        <v>52</v>
      </c>
      <c r="E916">
        <v>177</v>
      </c>
      <c r="F916" s="1" t="s">
        <v>42</v>
      </c>
      <c r="G916">
        <v>8</v>
      </c>
      <c r="H916">
        <v>1</v>
      </c>
      <c r="I916" s="1" t="s">
        <v>48</v>
      </c>
      <c r="J916">
        <v>1278</v>
      </c>
      <c r="K916">
        <v>4</v>
      </c>
      <c r="L916" s="1" t="s">
        <v>43</v>
      </c>
      <c r="M916">
        <v>37</v>
      </c>
      <c r="N916">
        <v>2</v>
      </c>
      <c r="O916">
        <v>4</v>
      </c>
      <c r="P916" s="1" t="s">
        <v>51</v>
      </c>
      <c r="Q916">
        <v>2</v>
      </c>
      <c r="R916" s="1" t="s">
        <v>49</v>
      </c>
      <c r="S916">
        <v>13577</v>
      </c>
      <c r="T916">
        <v>25592</v>
      </c>
      <c r="U916">
        <v>1</v>
      </c>
      <c r="V916" s="1" t="s">
        <v>33</v>
      </c>
      <c r="W916">
        <v>15</v>
      </c>
      <c r="X916">
        <v>3</v>
      </c>
      <c r="Y916">
        <v>4</v>
      </c>
      <c r="Z916">
        <v>80</v>
      </c>
      <c r="AA916">
        <v>1</v>
      </c>
      <c r="AB916">
        <v>34</v>
      </c>
      <c r="AC916">
        <v>3</v>
      </c>
      <c r="AD916">
        <v>3</v>
      </c>
      <c r="AE916">
        <v>33</v>
      </c>
      <c r="AF916">
        <v>9</v>
      </c>
      <c r="AG916">
        <v>15</v>
      </c>
      <c r="AH916">
        <v>0</v>
      </c>
      <c r="AI916">
        <f>IF(tbl_HRData[[#This Row],[Attrition]] = "Yes",1,0)</f>
        <v>0</v>
      </c>
      <c r="AJ916">
        <f>IF(tbl_HRData[[#This Row],[Attrition]] = "No",1,0)</f>
        <v>1</v>
      </c>
      <c r="AK916" t="str">
        <f>IF(tbl_HRData[[#This Row],[Age]] &lt; 25, "Under 25", IF(tbl_HRData[[#This Row],[Age]] &lt;= 34, "25-34", IF(tbl_HRData[[#This Row],[Age]] &lt;= 44, "35-44", IF(tbl_HRData[[#This Row],[Age]] &lt;= 54, "45-54", "55+"))))</f>
        <v>55+</v>
      </c>
      <c r="AL916" s="1" t="str">
        <f>IF(tbl_HRData[[#This Row],[MonthlyIncome]]&lt;5000,"Low",
IF(tbl_HRData[[#This Row],[MonthlyIncome]]&lt;10000,"Medium",
IF(tbl_HRData[[#This Row],[MonthlyIncome]]&lt;15000,"Upper Medium","High")))</f>
        <v>Upper Medium</v>
      </c>
      <c r="AM916" s="1" t="str">
        <f>IF(tbl_HRData[[#This Row],[YearsAtCompany]]&lt;=5,"0-5 Years",
IF(tbl_HRData[[#This Row],[YearsAtCompany]]&lt;=10,"6-10 Years",
IF(tbl_HRData[[#This Row],[YearsAtCompany]]&lt;=20,"11-20 Years","21+ Years")))</f>
        <v>21+ Years</v>
      </c>
    </row>
    <row r="917" spans="1:39" x14ac:dyDescent="0.35">
      <c r="A917" s="1">
        <v>916</v>
      </c>
      <c r="B917">
        <v>21</v>
      </c>
      <c r="C917" s="1" t="s">
        <v>33</v>
      </c>
      <c r="D917" s="1" t="s">
        <v>41</v>
      </c>
      <c r="E917">
        <v>251</v>
      </c>
      <c r="F917" s="1" t="s">
        <v>42</v>
      </c>
      <c r="G917">
        <v>10</v>
      </c>
      <c r="H917">
        <v>2</v>
      </c>
      <c r="I917" s="1" t="s">
        <v>36</v>
      </c>
      <c r="J917">
        <v>1279</v>
      </c>
      <c r="K917">
        <v>1</v>
      </c>
      <c r="L917" s="1" t="s">
        <v>37</v>
      </c>
      <c r="M917">
        <v>45</v>
      </c>
      <c r="N917">
        <v>2</v>
      </c>
      <c r="O917">
        <v>1</v>
      </c>
      <c r="P917" s="1" t="s">
        <v>47</v>
      </c>
      <c r="Q917">
        <v>3</v>
      </c>
      <c r="R917" s="1" t="s">
        <v>39</v>
      </c>
      <c r="S917">
        <v>2625</v>
      </c>
      <c r="T917">
        <v>25308</v>
      </c>
      <c r="U917">
        <v>1</v>
      </c>
      <c r="V917" s="1" t="s">
        <v>40</v>
      </c>
      <c r="W917">
        <v>20</v>
      </c>
      <c r="X917">
        <v>4</v>
      </c>
      <c r="Y917">
        <v>3</v>
      </c>
      <c r="Z917">
        <v>80</v>
      </c>
      <c r="AA917">
        <v>0</v>
      </c>
      <c r="AB917">
        <v>2</v>
      </c>
      <c r="AC917">
        <v>2</v>
      </c>
      <c r="AD917">
        <v>1</v>
      </c>
      <c r="AE917">
        <v>2</v>
      </c>
      <c r="AF917">
        <v>2</v>
      </c>
      <c r="AG917">
        <v>2</v>
      </c>
      <c r="AH917">
        <v>2</v>
      </c>
      <c r="AI917">
        <f>IF(tbl_HRData[[#This Row],[Attrition]] = "Yes",1,0)</f>
        <v>1</v>
      </c>
      <c r="AJ917">
        <f>IF(tbl_HRData[[#This Row],[Attrition]] = "No",1,0)</f>
        <v>0</v>
      </c>
      <c r="AK917" t="str">
        <f>IF(tbl_HRData[[#This Row],[Age]] &lt; 25, "Under 25", IF(tbl_HRData[[#This Row],[Age]] &lt;= 34, "25-34", IF(tbl_HRData[[#This Row],[Age]] &lt;= 44, "35-44", IF(tbl_HRData[[#This Row],[Age]] &lt;= 54, "45-54", "55+"))))</f>
        <v>Under 25</v>
      </c>
      <c r="AL917" s="1" t="str">
        <f>IF(tbl_HRData[[#This Row],[MonthlyIncome]]&lt;5000,"Low",
IF(tbl_HRData[[#This Row],[MonthlyIncome]]&lt;10000,"Medium",
IF(tbl_HRData[[#This Row],[MonthlyIncome]]&lt;15000,"Upper Medium","High")))</f>
        <v>Low</v>
      </c>
      <c r="AM917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918" spans="1:39" x14ac:dyDescent="0.35">
      <c r="A918" s="1">
        <v>917</v>
      </c>
      <c r="B918">
        <v>46</v>
      </c>
      <c r="C918" s="1" t="s">
        <v>40</v>
      </c>
      <c r="D918" s="1" t="s">
        <v>34</v>
      </c>
      <c r="E918">
        <v>168</v>
      </c>
      <c r="F918" s="1" t="s">
        <v>35</v>
      </c>
      <c r="G918">
        <v>4</v>
      </c>
      <c r="H918">
        <v>2</v>
      </c>
      <c r="I918" s="1" t="s">
        <v>56</v>
      </c>
      <c r="J918">
        <v>1280</v>
      </c>
      <c r="K918">
        <v>4</v>
      </c>
      <c r="L918" s="1" t="s">
        <v>37</v>
      </c>
      <c r="M918">
        <v>33</v>
      </c>
      <c r="N918">
        <v>2</v>
      </c>
      <c r="O918">
        <v>5</v>
      </c>
      <c r="P918" s="1" t="s">
        <v>53</v>
      </c>
      <c r="Q918">
        <v>2</v>
      </c>
      <c r="R918" s="1" t="s">
        <v>45</v>
      </c>
      <c r="S918">
        <v>18789</v>
      </c>
      <c r="T918">
        <v>9946</v>
      </c>
      <c r="U918">
        <v>2</v>
      </c>
      <c r="V918" s="1" t="s">
        <v>40</v>
      </c>
      <c r="W918">
        <v>14</v>
      </c>
      <c r="X918">
        <v>3</v>
      </c>
      <c r="Y918">
        <v>3</v>
      </c>
      <c r="Z918">
        <v>80</v>
      </c>
      <c r="AA918">
        <v>1</v>
      </c>
      <c r="AB918">
        <v>26</v>
      </c>
      <c r="AC918">
        <v>2</v>
      </c>
      <c r="AD918">
        <v>3</v>
      </c>
      <c r="AE918">
        <v>11</v>
      </c>
      <c r="AF918">
        <v>4</v>
      </c>
      <c r="AG918">
        <v>0</v>
      </c>
      <c r="AH918">
        <v>8</v>
      </c>
      <c r="AI918">
        <f>IF(tbl_HRData[[#This Row],[Attrition]] = "Yes",1,0)</f>
        <v>0</v>
      </c>
      <c r="AJ918">
        <f>IF(tbl_HRData[[#This Row],[Attrition]] = "No",1,0)</f>
        <v>1</v>
      </c>
      <c r="AK918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918" s="1" t="str">
        <f>IF(tbl_HRData[[#This Row],[MonthlyIncome]]&lt;5000,"Low",
IF(tbl_HRData[[#This Row],[MonthlyIncome]]&lt;10000,"Medium",
IF(tbl_HRData[[#This Row],[MonthlyIncome]]&lt;15000,"Upper Medium","High")))</f>
        <v>High</v>
      </c>
      <c r="AM918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919" spans="1:39" x14ac:dyDescent="0.35">
      <c r="A919" s="1">
        <v>918</v>
      </c>
      <c r="B919">
        <v>34</v>
      </c>
      <c r="C919" s="1" t="s">
        <v>40</v>
      </c>
      <c r="D919" s="1" t="s">
        <v>34</v>
      </c>
      <c r="E919">
        <v>131</v>
      </c>
      <c r="F919" s="1" t="s">
        <v>35</v>
      </c>
      <c r="G919">
        <v>2</v>
      </c>
      <c r="H919">
        <v>3</v>
      </c>
      <c r="I919" s="1" t="s">
        <v>56</v>
      </c>
      <c r="J919">
        <v>1281</v>
      </c>
      <c r="K919">
        <v>3</v>
      </c>
      <c r="L919" s="1" t="s">
        <v>37</v>
      </c>
      <c r="M919">
        <v>86</v>
      </c>
      <c r="N919">
        <v>3</v>
      </c>
      <c r="O919">
        <v>2</v>
      </c>
      <c r="P919" s="1" t="s">
        <v>38</v>
      </c>
      <c r="Q919">
        <v>1</v>
      </c>
      <c r="R919" s="1" t="s">
        <v>39</v>
      </c>
      <c r="S919">
        <v>4538</v>
      </c>
      <c r="T919">
        <v>6039</v>
      </c>
      <c r="U919">
        <v>0</v>
      </c>
      <c r="V919" s="1" t="s">
        <v>33</v>
      </c>
      <c r="W919">
        <v>12</v>
      </c>
      <c r="X919">
        <v>3</v>
      </c>
      <c r="Y919">
        <v>4</v>
      </c>
      <c r="Z919">
        <v>80</v>
      </c>
      <c r="AA919">
        <v>0</v>
      </c>
      <c r="AB919">
        <v>4</v>
      </c>
      <c r="AC919">
        <v>3</v>
      </c>
      <c r="AD919">
        <v>3</v>
      </c>
      <c r="AE919">
        <v>3</v>
      </c>
      <c r="AF919">
        <v>2</v>
      </c>
      <c r="AG919">
        <v>0</v>
      </c>
      <c r="AH919">
        <v>2</v>
      </c>
      <c r="AI919">
        <f>IF(tbl_HRData[[#This Row],[Attrition]] = "Yes",1,0)</f>
        <v>0</v>
      </c>
      <c r="AJ919">
        <f>IF(tbl_HRData[[#This Row],[Attrition]] = "No",1,0)</f>
        <v>1</v>
      </c>
      <c r="AK919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919" s="1" t="str">
        <f>IF(tbl_HRData[[#This Row],[MonthlyIncome]]&lt;5000,"Low",
IF(tbl_HRData[[#This Row],[MonthlyIncome]]&lt;10000,"Medium",
IF(tbl_HRData[[#This Row],[MonthlyIncome]]&lt;15000,"Upper Medium","High")))</f>
        <v>Low</v>
      </c>
      <c r="AM919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920" spans="1:39" x14ac:dyDescent="0.35">
      <c r="A920" s="1">
        <v>919</v>
      </c>
      <c r="B920">
        <v>51</v>
      </c>
      <c r="C920" s="1" t="s">
        <v>40</v>
      </c>
      <c r="D920" s="1" t="s">
        <v>41</v>
      </c>
      <c r="E920">
        <v>237</v>
      </c>
      <c r="F920" s="1" t="s">
        <v>35</v>
      </c>
      <c r="G920">
        <v>9</v>
      </c>
      <c r="H920">
        <v>3</v>
      </c>
      <c r="I920" s="1" t="s">
        <v>36</v>
      </c>
      <c r="J920">
        <v>1282</v>
      </c>
      <c r="K920">
        <v>4</v>
      </c>
      <c r="L920" s="1" t="s">
        <v>43</v>
      </c>
      <c r="M920">
        <v>83</v>
      </c>
      <c r="N920">
        <v>3</v>
      </c>
      <c r="O920">
        <v>5</v>
      </c>
      <c r="P920" s="1" t="s">
        <v>53</v>
      </c>
      <c r="Q920">
        <v>2</v>
      </c>
      <c r="R920" s="1" t="s">
        <v>49</v>
      </c>
      <c r="S920">
        <v>19847</v>
      </c>
      <c r="T920">
        <v>19196</v>
      </c>
      <c r="U920">
        <v>4</v>
      </c>
      <c r="V920" s="1" t="s">
        <v>33</v>
      </c>
      <c r="W920">
        <v>24</v>
      </c>
      <c r="X920">
        <v>4</v>
      </c>
      <c r="Y920">
        <v>1</v>
      </c>
      <c r="Z920">
        <v>80</v>
      </c>
      <c r="AA920">
        <v>1</v>
      </c>
      <c r="AB920">
        <v>31</v>
      </c>
      <c r="AC920">
        <v>5</v>
      </c>
      <c r="AD920">
        <v>2</v>
      </c>
      <c r="AE920">
        <v>29</v>
      </c>
      <c r="AF920">
        <v>10</v>
      </c>
      <c r="AG920">
        <v>11</v>
      </c>
      <c r="AH920">
        <v>10</v>
      </c>
      <c r="AI920">
        <f>IF(tbl_HRData[[#This Row],[Attrition]] = "Yes",1,0)</f>
        <v>0</v>
      </c>
      <c r="AJ920">
        <f>IF(tbl_HRData[[#This Row],[Attrition]] = "No",1,0)</f>
        <v>1</v>
      </c>
      <c r="AK920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920" s="1" t="str">
        <f>IF(tbl_HRData[[#This Row],[MonthlyIncome]]&lt;5000,"Low",
IF(tbl_HRData[[#This Row],[MonthlyIncome]]&lt;10000,"Medium",
IF(tbl_HRData[[#This Row],[MonthlyIncome]]&lt;15000,"Upper Medium","High")))</f>
        <v>High</v>
      </c>
      <c r="AM920" s="1" t="str">
        <f>IF(tbl_HRData[[#This Row],[YearsAtCompany]]&lt;=5,"0-5 Years",
IF(tbl_HRData[[#This Row],[YearsAtCompany]]&lt;=10,"6-10 Years",
IF(tbl_HRData[[#This Row],[YearsAtCompany]]&lt;=20,"11-20 Years","21+ Years")))</f>
        <v>21+ Years</v>
      </c>
    </row>
    <row r="921" spans="1:39" x14ac:dyDescent="0.35">
      <c r="A921" s="1">
        <v>920</v>
      </c>
      <c r="B921">
        <v>59</v>
      </c>
      <c r="C921" s="1" t="s">
        <v>40</v>
      </c>
      <c r="D921" s="1" t="s">
        <v>34</v>
      </c>
      <c r="E921">
        <v>1429</v>
      </c>
      <c r="F921" s="1" t="s">
        <v>42</v>
      </c>
      <c r="G921">
        <v>18</v>
      </c>
      <c r="H921">
        <v>4</v>
      </c>
      <c r="I921" s="1" t="s">
        <v>48</v>
      </c>
      <c r="J921">
        <v>1283</v>
      </c>
      <c r="K921">
        <v>4</v>
      </c>
      <c r="L921" s="1" t="s">
        <v>43</v>
      </c>
      <c r="M921">
        <v>67</v>
      </c>
      <c r="N921">
        <v>3</v>
      </c>
      <c r="O921">
        <v>3</v>
      </c>
      <c r="P921" s="1" t="s">
        <v>50</v>
      </c>
      <c r="Q921">
        <v>4</v>
      </c>
      <c r="R921" s="1" t="s">
        <v>39</v>
      </c>
      <c r="S921">
        <v>10512</v>
      </c>
      <c r="T921">
        <v>20002</v>
      </c>
      <c r="U921">
        <v>6</v>
      </c>
      <c r="V921" s="1" t="s">
        <v>40</v>
      </c>
      <c r="W921">
        <v>12</v>
      </c>
      <c r="X921">
        <v>3</v>
      </c>
      <c r="Y921">
        <v>4</v>
      </c>
      <c r="Z921">
        <v>80</v>
      </c>
      <c r="AA921">
        <v>0</v>
      </c>
      <c r="AB921">
        <v>25</v>
      </c>
      <c r="AC921">
        <v>6</v>
      </c>
      <c r="AD921">
        <v>2</v>
      </c>
      <c r="AE921">
        <v>9</v>
      </c>
      <c r="AF921">
        <v>7</v>
      </c>
      <c r="AG921">
        <v>5</v>
      </c>
      <c r="AH921">
        <v>4</v>
      </c>
      <c r="AI921">
        <f>IF(tbl_HRData[[#This Row],[Attrition]] = "Yes",1,0)</f>
        <v>0</v>
      </c>
      <c r="AJ921">
        <f>IF(tbl_HRData[[#This Row],[Attrition]] = "No",1,0)</f>
        <v>1</v>
      </c>
      <c r="AK921" t="str">
        <f>IF(tbl_HRData[[#This Row],[Age]] &lt; 25, "Under 25", IF(tbl_HRData[[#This Row],[Age]] &lt;= 34, "25-34", IF(tbl_HRData[[#This Row],[Age]] &lt;= 44, "35-44", IF(tbl_HRData[[#This Row],[Age]] &lt;= 54, "45-54", "55+"))))</f>
        <v>55+</v>
      </c>
      <c r="AL921" s="1" t="str">
        <f>IF(tbl_HRData[[#This Row],[MonthlyIncome]]&lt;5000,"Low",
IF(tbl_HRData[[#This Row],[MonthlyIncome]]&lt;10000,"Medium",
IF(tbl_HRData[[#This Row],[MonthlyIncome]]&lt;15000,"Upper Medium","High")))</f>
        <v>Upper Medium</v>
      </c>
      <c r="AM921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922" spans="1:39" x14ac:dyDescent="0.35">
      <c r="A922" s="1">
        <v>921</v>
      </c>
      <c r="B922">
        <v>34</v>
      </c>
      <c r="C922" s="1" t="s">
        <v>40</v>
      </c>
      <c r="D922" s="1" t="s">
        <v>41</v>
      </c>
      <c r="E922">
        <v>135</v>
      </c>
      <c r="F922" s="1" t="s">
        <v>42</v>
      </c>
      <c r="G922">
        <v>19</v>
      </c>
      <c r="H922">
        <v>3</v>
      </c>
      <c r="I922" s="1" t="s">
        <v>48</v>
      </c>
      <c r="J922">
        <v>1285</v>
      </c>
      <c r="K922">
        <v>3</v>
      </c>
      <c r="L922" s="1" t="s">
        <v>37</v>
      </c>
      <c r="M922">
        <v>46</v>
      </c>
      <c r="N922">
        <v>3</v>
      </c>
      <c r="O922">
        <v>2</v>
      </c>
      <c r="P922" s="1" t="s">
        <v>47</v>
      </c>
      <c r="Q922">
        <v>2</v>
      </c>
      <c r="R922" s="1" t="s">
        <v>49</v>
      </c>
      <c r="S922">
        <v>4444</v>
      </c>
      <c r="T922">
        <v>22534</v>
      </c>
      <c r="U922">
        <v>4</v>
      </c>
      <c r="V922" s="1" t="s">
        <v>40</v>
      </c>
      <c r="W922">
        <v>13</v>
      </c>
      <c r="X922">
        <v>3</v>
      </c>
      <c r="Y922">
        <v>3</v>
      </c>
      <c r="Z922">
        <v>80</v>
      </c>
      <c r="AA922">
        <v>2</v>
      </c>
      <c r="AB922">
        <v>15</v>
      </c>
      <c r="AC922">
        <v>2</v>
      </c>
      <c r="AD922">
        <v>4</v>
      </c>
      <c r="AE922">
        <v>11</v>
      </c>
      <c r="AF922">
        <v>8</v>
      </c>
      <c r="AG922">
        <v>5</v>
      </c>
      <c r="AH922">
        <v>10</v>
      </c>
      <c r="AI922">
        <f>IF(tbl_HRData[[#This Row],[Attrition]] = "Yes",1,0)</f>
        <v>0</v>
      </c>
      <c r="AJ922">
        <f>IF(tbl_HRData[[#This Row],[Attrition]] = "No",1,0)</f>
        <v>1</v>
      </c>
      <c r="AK922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922" s="1" t="str">
        <f>IF(tbl_HRData[[#This Row],[MonthlyIncome]]&lt;5000,"Low",
IF(tbl_HRData[[#This Row],[MonthlyIncome]]&lt;10000,"Medium",
IF(tbl_HRData[[#This Row],[MonthlyIncome]]&lt;15000,"Upper Medium","High")))</f>
        <v>Low</v>
      </c>
      <c r="AM922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923" spans="1:39" x14ac:dyDescent="0.35">
      <c r="A923" s="1">
        <v>922</v>
      </c>
      <c r="B923">
        <v>28</v>
      </c>
      <c r="C923" s="1" t="s">
        <v>40</v>
      </c>
      <c r="D923" s="1" t="s">
        <v>41</v>
      </c>
      <c r="E923">
        <v>791</v>
      </c>
      <c r="F923" s="1" t="s">
        <v>42</v>
      </c>
      <c r="G923">
        <v>1</v>
      </c>
      <c r="H923">
        <v>4</v>
      </c>
      <c r="I923" s="1" t="s">
        <v>48</v>
      </c>
      <c r="J923">
        <v>1286</v>
      </c>
      <c r="K923">
        <v>4</v>
      </c>
      <c r="L923" s="1" t="s">
        <v>43</v>
      </c>
      <c r="M923">
        <v>44</v>
      </c>
      <c r="N923">
        <v>3</v>
      </c>
      <c r="O923">
        <v>1</v>
      </c>
      <c r="P923" s="1" t="s">
        <v>47</v>
      </c>
      <c r="Q923">
        <v>3</v>
      </c>
      <c r="R923" s="1" t="s">
        <v>39</v>
      </c>
      <c r="S923">
        <v>2154</v>
      </c>
      <c r="T923">
        <v>6842</v>
      </c>
      <c r="U923">
        <v>0</v>
      </c>
      <c r="V923" s="1" t="s">
        <v>33</v>
      </c>
      <c r="W923">
        <v>11</v>
      </c>
      <c r="X923">
        <v>3</v>
      </c>
      <c r="Y923">
        <v>3</v>
      </c>
      <c r="Z923">
        <v>80</v>
      </c>
      <c r="AA923">
        <v>0</v>
      </c>
      <c r="AB923">
        <v>5</v>
      </c>
      <c r="AC923">
        <v>2</v>
      </c>
      <c r="AD923">
        <v>2</v>
      </c>
      <c r="AE923">
        <v>4</v>
      </c>
      <c r="AF923">
        <v>2</v>
      </c>
      <c r="AG923">
        <v>0</v>
      </c>
      <c r="AH923">
        <v>2</v>
      </c>
      <c r="AI923">
        <f>IF(tbl_HRData[[#This Row],[Attrition]] = "Yes",1,0)</f>
        <v>0</v>
      </c>
      <c r="AJ923">
        <f>IF(tbl_HRData[[#This Row],[Attrition]] = "No",1,0)</f>
        <v>1</v>
      </c>
      <c r="AK923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923" s="1" t="str">
        <f>IF(tbl_HRData[[#This Row],[MonthlyIncome]]&lt;5000,"Low",
IF(tbl_HRData[[#This Row],[MonthlyIncome]]&lt;10000,"Medium",
IF(tbl_HRData[[#This Row],[MonthlyIncome]]&lt;15000,"Upper Medium","High")))</f>
        <v>Low</v>
      </c>
      <c r="AM923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924" spans="1:39" x14ac:dyDescent="0.35">
      <c r="A924" s="1">
        <v>923</v>
      </c>
      <c r="B924">
        <v>44</v>
      </c>
      <c r="C924" s="1" t="s">
        <v>40</v>
      </c>
      <c r="D924" s="1" t="s">
        <v>34</v>
      </c>
      <c r="E924">
        <v>1199</v>
      </c>
      <c r="F924" s="1" t="s">
        <v>42</v>
      </c>
      <c r="G924">
        <v>4</v>
      </c>
      <c r="H924">
        <v>2</v>
      </c>
      <c r="I924" s="1" t="s">
        <v>36</v>
      </c>
      <c r="J924">
        <v>1288</v>
      </c>
      <c r="K924">
        <v>3</v>
      </c>
      <c r="L924" s="1" t="s">
        <v>43</v>
      </c>
      <c r="M924">
        <v>92</v>
      </c>
      <c r="N924">
        <v>4</v>
      </c>
      <c r="O924">
        <v>5</v>
      </c>
      <c r="P924" s="1" t="s">
        <v>53</v>
      </c>
      <c r="Q924">
        <v>1</v>
      </c>
      <c r="R924" s="1" t="s">
        <v>49</v>
      </c>
      <c r="S924">
        <v>19190</v>
      </c>
      <c r="T924">
        <v>17477</v>
      </c>
      <c r="U924">
        <v>1</v>
      </c>
      <c r="V924" s="1" t="s">
        <v>40</v>
      </c>
      <c r="W924">
        <v>14</v>
      </c>
      <c r="X924">
        <v>3</v>
      </c>
      <c r="Y924">
        <v>4</v>
      </c>
      <c r="Z924">
        <v>80</v>
      </c>
      <c r="AA924">
        <v>2</v>
      </c>
      <c r="AB924">
        <v>26</v>
      </c>
      <c r="AC924">
        <v>4</v>
      </c>
      <c r="AD924">
        <v>2</v>
      </c>
      <c r="AE924">
        <v>25</v>
      </c>
      <c r="AF924">
        <v>9</v>
      </c>
      <c r="AG924">
        <v>14</v>
      </c>
      <c r="AH924">
        <v>13</v>
      </c>
      <c r="AI924">
        <f>IF(tbl_HRData[[#This Row],[Attrition]] = "Yes",1,0)</f>
        <v>0</v>
      </c>
      <c r="AJ924">
        <f>IF(tbl_HRData[[#This Row],[Attrition]] = "No",1,0)</f>
        <v>1</v>
      </c>
      <c r="AK924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924" s="1" t="str">
        <f>IF(tbl_HRData[[#This Row],[MonthlyIncome]]&lt;5000,"Low",
IF(tbl_HRData[[#This Row],[MonthlyIncome]]&lt;10000,"Medium",
IF(tbl_HRData[[#This Row],[MonthlyIncome]]&lt;15000,"Upper Medium","High")))</f>
        <v>High</v>
      </c>
      <c r="AM924" s="1" t="str">
        <f>IF(tbl_HRData[[#This Row],[YearsAtCompany]]&lt;=5,"0-5 Years",
IF(tbl_HRData[[#This Row],[YearsAtCompany]]&lt;=10,"6-10 Years",
IF(tbl_HRData[[#This Row],[YearsAtCompany]]&lt;=20,"11-20 Years","21+ Years")))</f>
        <v>21+ Years</v>
      </c>
    </row>
    <row r="925" spans="1:39" x14ac:dyDescent="0.35">
      <c r="A925" s="1">
        <v>924</v>
      </c>
      <c r="B925">
        <v>34</v>
      </c>
      <c r="C925" s="1" t="s">
        <v>40</v>
      </c>
      <c r="D925" s="1" t="s">
        <v>41</v>
      </c>
      <c r="E925">
        <v>648</v>
      </c>
      <c r="F925" s="1" t="s">
        <v>58</v>
      </c>
      <c r="G925">
        <v>11</v>
      </c>
      <c r="H925">
        <v>3</v>
      </c>
      <c r="I925" s="1" t="s">
        <v>36</v>
      </c>
      <c r="J925">
        <v>1289</v>
      </c>
      <c r="K925">
        <v>3</v>
      </c>
      <c r="L925" s="1" t="s">
        <v>43</v>
      </c>
      <c r="M925">
        <v>56</v>
      </c>
      <c r="N925">
        <v>2</v>
      </c>
      <c r="O925">
        <v>2</v>
      </c>
      <c r="P925" s="1" t="s">
        <v>58</v>
      </c>
      <c r="Q925">
        <v>2</v>
      </c>
      <c r="R925" s="1" t="s">
        <v>45</v>
      </c>
      <c r="S925">
        <v>4490</v>
      </c>
      <c r="T925">
        <v>21833</v>
      </c>
      <c r="U925">
        <v>4</v>
      </c>
      <c r="V925" s="1" t="s">
        <v>40</v>
      </c>
      <c r="W925">
        <v>11</v>
      </c>
      <c r="X925">
        <v>3</v>
      </c>
      <c r="Y925">
        <v>4</v>
      </c>
      <c r="Z925">
        <v>80</v>
      </c>
      <c r="AA925">
        <v>2</v>
      </c>
      <c r="AB925">
        <v>14</v>
      </c>
      <c r="AC925">
        <v>5</v>
      </c>
      <c r="AD925">
        <v>4</v>
      </c>
      <c r="AE925">
        <v>10</v>
      </c>
      <c r="AF925">
        <v>9</v>
      </c>
      <c r="AG925">
        <v>1</v>
      </c>
      <c r="AH925">
        <v>8</v>
      </c>
      <c r="AI925">
        <f>IF(tbl_HRData[[#This Row],[Attrition]] = "Yes",1,0)</f>
        <v>0</v>
      </c>
      <c r="AJ925">
        <f>IF(tbl_HRData[[#This Row],[Attrition]] = "No",1,0)</f>
        <v>1</v>
      </c>
      <c r="AK925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925" s="1" t="str">
        <f>IF(tbl_HRData[[#This Row],[MonthlyIncome]]&lt;5000,"Low",
IF(tbl_HRData[[#This Row],[MonthlyIncome]]&lt;10000,"Medium",
IF(tbl_HRData[[#This Row],[MonthlyIncome]]&lt;15000,"Upper Medium","High")))</f>
        <v>Low</v>
      </c>
      <c r="AM925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926" spans="1:39" x14ac:dyDescent="0.35">
      <c r="A926" s="1">
        <v>925</v>
      </c>
      <c r="B926">
        <v>35</v>
      </c>
      <c r="C926" s="1" t="s">
        <v>40</v>
      </c>
      <c r="D926" s="1" t="s">
        <v>34</v>
      </c>
      <c r="E926">
        <v>735</v>
      </c>
      <c r="F926" s="1" t="s">
        <v>42</v>
      </c>
      <c r="G926">
        <v>6</v>
      </c>
      <c r="H926">
        <v>1</v>
      </c>
      <c r="I926" s="1" t="s">
        <v>36</v>
      </c>
      <c r="J926">
        <v>1291</v>
      </c>
      <c r="K926">
        <v>3</v>
      </c>
      <c r="L926" s="1" t="s">
        <v>43</v>
      </c>
      <c r="M926">
        <v>66</v>
      </c>
      <c r="N926">
        <v>3</v>
      </c>
      <c r="O926">
        <v>1</v>
      </c>
      <c r="P926" s="1" t="s">
        <v>44</v>
      </c>
      <c r="Q926">
        <v>3</v>
      </c>
      <c r="R926" s="1" t="s">
        <v>45</v>
      </c>
      <c r="S926">
        <v>3506</v>
      </c>
      <c r="T926">
        <v>6020</v>
      </c>
      <c r="U926">
        <v>0</v>
      </c>
      <c r="V926" s="1" t="s">
        <v>33</v>
      </c>
      <c r="W926">
        <v>14</v>
      </c>
      <c r="X926">
        <v>3</v>
      </c>
      <c r="Y926">
        <v>4</v>
      </c>
      <c r="Z926">
        <v>80</v>
      </c>
      <c r="AA926">
        <v>0</v>
      </c>
      <c r="AB926">
        <v>4</v>
      </c>
      <c r="AC926">
        <v>3</v>
      </c>
      <c r="AD926">
        <v>3</v>
      </c>
      <c r="AE926">
        <v>3</v>
      </c>
      <c r="AF926">
        <v>2</v>
      </c>
      <c r="AG926">
        <v>2</v>
      </c>
      <c r="AH926">
        <v>2</v>
      </c>
      <c r="AI926">
        <f>IF(tbl_HRData[[#This Row],[Attrition]] = "Yes",1,0)</f>
        <v>0</v>
      </c>
      <c r="AJ926">
        <f>IF(tbl_HRData[[#This Row],[Attrition]] = "No",1,0)</f>
        <v>1</v>
      </c>
      <c r="AK926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926" s="1" t="str">
        <f>IF(tbl_HRData[[#This Row],[MonthlyIncome]]&lt;5000,"Low",
IF(tbl_HRData[[#This Row],[MonthlyIncome]]&lt;10000,"Medium",
IF(tbl_HRData[[#This Row],[MonthlyIncome]]&lt;15000,"Upper Medium","High")))</f>
        <v>Low</v>
      </c>
      <c r="AM926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927" spans="1:39" x14ac:dyDescent="0.35">
      <c r="A927" s="1">
        <v>926</v>
      </c>
      <c r="B927">
        <v>42</v>
      </c>
      <c r="C927" s="1" t="s">
        <v>40</v>
      </c>
      <c r="D927" s="1" t="s">
        <v>34</v>
      </c>
      <c r="E927">
        <v>603</v>
      </c>
      <c r="F927" s="1" t="s">
        <v>42</v>
      </c>
      <c r="G927">
        <v>7</v>
      </c>
      <c r="H927">
        <v>4</v>
      </c>
      <c r="I927" s="1" t="s">
        <v>48</v>
      </c>
      <c r="J927">
        <v>1292</v>
      </c>
      <c r="K927">
        <v>2</v>
      </c>
      <c r="L927" s="1" t="s">
        <v>37</v>
      </c>
      <c r="M927">
        <v>78</v>
      </c>
      <c r="N927">
        <v>4</v>
      </c>
      <c r="O927">
        <v>2</v>
      </c>
      <c r="P927" s="1" t="s">
        <v>44</v>
      </c>
      <c r="Q927">
        <v>2</v>
      </c>
      <c r="R927" s="1" t="s">
        <v>45</v>
      </c>
      <c r="S927">
        <v>2372</v>
      </c>
      <c r="T927">
        <v>5628</v>
      </c>
      <c r="U927">
        <v>6</v>
      </c>
      <c r="V927" s="1" t="s">
        <v>33</v>
      </c>
      <c r="W927">
        <v>16</v>
      </c>
      <c r="X927">
        <v>3</v>
      </c>
      <c r="Y927">
        <v>4</v>
      </c>
      <c r="Z927">
        <v>80</v>
      </c>
      <c r="AA927">
        <v>0</v>
      </c>
      <c r="AB927">
        <v>18</v>
      </c>
      <c r="AC927">
        <v>2</v>
      </c>
      <c r="AD927">
        <v>3</v>
      </c>
      <c r="AE927">
        <v>1</v>
      </c>
      <c r="AF927">
        <v>0</v>
      </c>
      <c r="AG927">
        <v>0</v>
      </c>
      <c r="AH927">
        <v>0</v>
      </c>
      <c r="AI927">
        <f>IF(tbl_HRData[[#This Row],[Attrition]] = "Yes",1,0)</f>
        <v>0</v>
      </c>
      <c r="AJ927">
        <f>IF(tbl_HRData[[#This Row],[Attrition]] = "No",1,0)</f>
        <v>1</v>
      </c>
      <c r="AK927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927" s="1" t="str">
        <f>IF(tbl_HRData[[#This Row],[MonthlyIncome]]&lt;5000,"Low",
IF(tbl_HRData[[#This Row],[MonthlyIncome]]&lt;10000,"Medium",
IF(tbl_HRData[[#This Row],[MonthlyIncome]]&lt;15000,"Upper Medium","High")))</f>
        <v>Low</v>
      </c>
      <c r="AM927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928" spans="1:39" x14ac:dyDescent="0.35">
      <c r="A928" s="1">
        <v>927</v>
      </c>
      <c r="B928">
        <v>43</v>
      </c>
      <c r="C928" s="1" t="s">
        <v>40</v>
      </c>
      <c r="D928" s="1" t="s">
        <v>34</v>
      </c>
      <c r="E928">
        <v>531</v>
      </c>
      <c r="F928" s="1" t="s">
        <v>35</v>
      </c>
      <c r="G928">
        <v>4</v>
      </c>
      <c r="H928">
        <v>4</v>
      </c>
      <c r="I928" s="1" t="s">
        <v>56</v>
      </c>
      <c r="J928">
        <v>1293</v>
      </c>
      <c r="K928">
        <v>4</v>
      </c>
      <c r="L928" s="1" t="s">
        <v>37</v>
      </c>
      <c r="M928">
        <v>56</v>
      </c>
      <c r="N928">
        <v>2</v>
      </c>
      <c r="O928">
        <v>3</v>
      </c>
      <c r="P928" s="1" t="s">
        <v>38</v>
      </c>
      <c r="Q928">
        <v>4</v>
      </c>
      <c r="R928" s="1" t="s">
        <v>39</v>
      </c>
      <c r="S928">
        <v>10231</v>
      </c>
      <c r="T928">
        <v>20364</v>
      </c>
      <c r="U928">
        <v>3</v>
      </c>
      <c r="V928" s="1" t="s">
        <v>40</v>
      </c>
      <c r="W928">
        <v>14</v>
      </c>
      <c r="X928">
        <v>3</v>
      </c>
      <c r="Y928">
        <v>4</v>
      </c>
      <c r="Z928">
        <v>80</v>
      </c>
      <c r="AA928">
        <v>0</v>
      </c>
      <c r="AB928">
        <v>23</v>
      </c>
      <c r="AC928">
        <v>3</v>
      </c>
      <c r="AD928">
        <v>4</v>
      </c>
      <c r="AE928">
        <v>21</v>
      </c>
      <c r="AF928">
        <v>7</v>
      </c>
      <c r="AG928">
        <v>15</v>
      </c>
      <c r="AH928">
        <v>17</v>
      </c>
      <c r="AI928">
        <f>IF(tbl_HRData[[#This Row],[Attrition]] = "Yes",1,0)</f>
        <v>0</v>
      </c>
      <c r="AJ928">
        <f>IF(tbl_HRData[[#This Row],[Attrition]] = "No",1,0)</f>
        <v>1</v>
      </c>
      <c r="AK928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928" s="1" t="str">
        <f>IF(tbl_HRData[[#This Row],[MonthlyIncome]]&lt;5000,"Low",
IF(tbl_HRData[[#This Row],[MonthlyIncome]]&lt;10000,"Medium",
IF(tbl_HRData[[#This Row],[MonthlyIncome]]&lt;15000,"Upper Medium","High")))</f>
        <v>Upper Medium</v>
      </c>
      <c r="AM928" s="1" t="str">
        <f>IF(tbl_HRData[[#This Row],[YearsAtCompany]]&lt;=5,"0-5 Years",
IF(tbl_HRData[[#This Row],[YearsAtCompany]]&lt;=10,"6-10 Years",
IF(tbl_HRData[[#This Row],[YearsAtCompany]]&lt;=20,"11-20 Years","21+ Years")))</f>
        <v>21+ Years</v>
      </c>
    </row>
    <row r="929" spans="1:39" x14ac:dyDescent="0.35">
      <c r="A929" s="1">
        <v>928</v>
      </c>
      <c r="B929">
        <v>36</v>
      </c>
      <c r="C929" s="1" t="s">
        <v>40</v>
      </c>
      <c r="D929" s="1" t="s">
        <v>34</v>
      </c>
      <c r="E929">
        <v>429</v>
      </c>
      <c r="F929" s="1" t="s">
        <v>42</v>
      </c>
      <c r="G929">
        <v>2</v>
      </c>
      <c r="H929">
        <v>4</v>
      </c>
      <c r="I929" s="1" t="s">
        <v>36</v>
      </c>
      <c r="J929">
        <v>1294</v>
      </c>
      <c r="K929">
        <v>3</v>
      </c>
      <c r="L929" s="1" t="s">
        <v>37</v>
      </c>
      <c r="M929">
        <v>53</v>
      </c>
      <c r="N929">
        <v>3</v>
      </c>
      <c r="O929">
        <v>2</v>
      </c>
      <c r="P929" s="1" t="s">
        <v>50</v>
      </c>
      <c r="Q929">
        <v>2</v>
      </c>
      <c r="R929" s="1" t="s">
        <v>39</v>
      </c>
      <c r="S929">
        <v>5410</v>
      </c>
      <c r="T929">
        <v>2323</v>
      </c>
      <c r="U929">
        <v>9</v>
      </c>
      <c r="V929" s="1" t="s">
        <v>33</v>
      </c>
      <c r="W929">
        <v>11</v>
      </c>
      <c r="X929">
        <v>3</v>
      </c>
      <c r="Y929">
        <v>4</v>
      </c>
      <c r="Z929">
        <v>80</v>
      </c>
      <c r="AA929">
        <v>0</v>
      </c>
      <c r="AB929">
        <v>18</v>
      </c>
      <c r="AC929">
        <v>2</v>
      </c>
      <c r="AD929">
        <v>3</v>
      </c>
      <c r="AE929">
        <v>16</v>
      </c>
      <c r="AF929">
        <v>14</v>
      </c>
      <c r="AG929">
        <v>5</v>
      </c>
      <c r="AH929">
        <v>12</v>
      </c>
      <c r="AI929">
        <f>IF(tbl_HRData[[#This Row],[Attrition]] = "Yes",1,0)</f>
        <v>0</v>
      </c>
      <c r="AJ929">
        <f>IF(tbl_HRData[[#This Row],[Attrition]] = "No",1,0)</f>
        <v>1</v>
      </c>
      <c r="AK929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929" s="1" t="str">
        <f>IF(tbl_HRData[[#This Row],[MonthlyIncome]]&lt;5000,"Low",
IF(tbl_HRData[[#This Row],[MonthlyIncome]]&lt;10000,"Medium",
IF(tbl_HRData[[#This Row],[MonthlyIncome]]&lt;15000,"Upper Medium","High")))</f>
        <v>Medium</v>
      </c>
      <c r="AM929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930" spans="1:39" x14ac:dyDescent="0.35">
      <c r="A930" s="1">
        <v>929</v>
      </c>
      <c r="B930">
        <v>44</v>
      </c>
      <c r="C930" s="1" t="s">
        <v>33</v>
      </c>
      <c r="D930" s="1" t="s">
        <v>34</v>
      </c>
      <c r="E930">
        <v>621</v>
      </c>
      <c r="F930" s="1" t="s">
        <v>42</v>
      </c>
      <c r="G930">
        <v>15</v>
      </c>
      <c r="H930">
        <v>3</v>
      </c>
      <c r="I930" s="1" t="s">
        <v>48</v>
      </c>
      <c r="J930">
        <v>1295</v>
      </c>
      <c r="K930">
        <v>1</v>
      </c>
      <c r="L930" s="1" t="s">
        <v>37</v>
      </c>
      <c r="M930">
        <v>73</v>
      </c>
      <c r="N930">
        <v>3</v>
      </c>
      <c r="O930">
        <v>3</v>
      </c>
      <c r="P930" s="1" t="s">
        <v>51</v>
      </c>
      <c r="Q930">
        <v>4</v>
      </c>
      <c r="R930" s="1" t="s">
        <v>45</v>
      </c>
      <c r="S930">
        <v>7978</v>
      </c>
      <c r="T930">
        <v>14075</v>
      </c>
      <c r="U930">
        <v>1</v>
      </c>
      <c r="V930" s="1" t="s">
        <v>40</v>
      </c>
      <c r="W930">
        <v>11</v>
      </c>
      <c r="X930">
        <v>3</v>
      </c>
      <c r="Y930">
        <v>4</v>
      </c>
      <c r="Z930">
        <v>80</v>
      </c>
      <c r="AA930">
        <v>1</v>
      </c>
      <c r="AB930">
        <v>10</v>
      </c>
      <c r="AC930">
        <v>2</v>
      </c>
      <c r="AD930">
        <v>3</v>
      </c>
      <c r="AE930">
        <v>10</v>
      </c>
      <c r="AF930">
        <v>7</v>
      </c>
      <c r="AG930">
        <v>0</v>
      </c>
      <c r="AH930">
        <v>5</v>
      </c>
      <c r="AI930">
        <f>IF(tbl_HRData[[#This Row],[Attrition]] = "Yes",1,0)</f>
        <v>1</v>
      </c>
      <c r="AJ930">
        <f>IF(tbl_HRData[[#This Row],[Attrition]] = "No",1,0)</f>
        <v>0</v>
      </c>
      <c r="AK930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930" s="1" t="str">
        <f>IF(tbl_HRData[[#This Row],[MonthlyIncome]]&lt;5000,"Low",
IF(tbl_HRData[[#This Row],[MonthlyIncome]]&lt;10000,"Medium",
IF(tbl_HRData[[#This Row],[MonthlyIncome]]&lt;15000,"Upper Medium","High")))</f>
        <v>Medium</v>
      </c>
      <c r="AM930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931" spans="1:39" x14ac:dyDescent="0.35">
      <c r="A931" s="1">
        <v>930</v>
      </c>
      <c r="B931">
        <v>28</v>
      </c>
      <c r="C931" s="1" t="s">
        <v>40</v>
      </c>
      <c r="D931" s="1" t="s">
        <v>41</v>
      </c>
      <c r="E931">
        <v>193</v>
      </c>
      <c r="F931" s="1" t="s">
        <v>42</v>
      </c>
      <c r="G931">
        <v>2</v>
      </c>
      <c r="H931">
        <v>3</v>
      </c>
      <c r="I931" s="1" t="s">
        <v>36</v>
      </c>
      <c r="J931">
        <v>1296</v>
      </c>
      <c r="K931">
        <v>4</v>
      </c>
      <c r="L931" s="1" t="s">
        <v>43</v>
      </c>
      <c r="M931">
        <v>52</v>
      </c>
      <c r="N931">
        <v>2</v>
      </c>
      <c r="O931">
        <v>1</v>
      </c>
      <c r="P931" s="1" t="s">
        <v>47</v>
      </c>
      <c r="Q931">
        <v>4</v>
      </c>
      <c r="R931" s="1" t="s">
        <v>45</v>
      </c>
      <c r="S931">
        <v>3867</v>
      </c>
      <c r="T931">
        <v>14222</v>
      </c>
      <c r="U931">
        <v>1</v>
      </c>
      <c r="V931" s="1" t="s">
        <v>33</v>
      </c>
      <c r="W931">
        <v>12</v>
      </c>
      <c r="X931">
        <v>3</v>
      </c>
      <c r="Y931">
        <v>2</v>
      </c>
      <c r="Z931">
        <v>80</v>
      </c>
      <c r="AA931">
        <v>1</v>
      </c>
      <c r="AB931">
        <v>2</v>
      </c>
      <c r="AC931">
        <v>2</v>
      </c>
      <c r="AD931">
        <v>3</v>
      </c>
      <c r="AE931">
        <v>2</v>
      </c>
      <c r="AF931">
        <v>2</v>
      </c>
      <c r="AG931">
        <v>2</v>
      </c>
      <c r="AH931">
        <v>2</v>
      </c>
      <c r="AI931">
        <f>IF(tbl_HRData[[#This Row],[Attrition]] = "Yes",1,0)</f>
        <v>0</v>
      </c>
      <c r="AJ931">
        <f>IF(tbl_HRData[[#This Row],[Attrition]] = "No",1,0)</f>
        <v>1</v>
      </c>
      <c r="AK931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931" s="1" t="str">
        <f>IF(tbl_HRData[[#This Row],[MonthlyIncome]]&lt;5000,"Low",
IF(tbl_HRData[[#This Row],[MonthlyIncome]]&lt;10000,"Medium",
IF(tbl_HRData[[#This Row],[MonthlyIncome]]&lt;15000,"Upper Medium","High")))</f>
        <v>Low</v>
      </c>
      <c r="AM931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932" spans="1:39" x14ac:dyDescent="0.35">
      <c r="A932" s="1">
        <v>931</v>
      </c>
      <c r="B932">
        <v>51</v>
      </c>
      <c r="C932" s="1" t="s">
        <v>40</v>
      </c>
      <c r="D932" s="1" t="s">
        <v>41</v>
      </c>
      <c r="E932">
        <v>968</v>
      </c>
      <c r="F932" s="1" t="s">
        <v>42</v>
      </c>
      <c r="G932">
        <v>6</v>
      </c>
      <c r="H932">
        <v>2</v>
      </c>
      <c r="I932" s="1" t="s">
        <v>48</v>
      </c>
      <c r="J932">
        <v>1297</v>
      </c>
      <c r="K932">
        <v>2</v>
      </c>
      <c r="L932" s="1" t="s">
        <v>37</v>
      </c>
      <c r="M932">
        <v>40</v>
      </c>
      <c r="N932">
        <v>2</v>
      </c>
      <c r="O932">
        <v>1</v>
      </c>
      <c r="P932" s="1" t="s">
        <v>47</v>
      </c>
      <c r="Q932">
        <v>3</v>
      </c>
      <c r="R932" s="1" t="s">
        <v>39</v>
      </c>
      <c r="S932">
        <v>2838</v>
      </c>
      <c r="T932">
        <v>4257</v>
      </c>
      <c r="U932">
        <v>0</v>
      </c>
      <c r="V932" s="1" t="s">
        <v>40</v>
      </c>
      <c r="W932">
        <v>14</v>
      </c>
      <c r="X932">
        <v>3</v>
      </c>
      <c r="Y932">
        <v>2</v>
      </c>
      <c r="Z932">
        <v>80</v>
      </c>
      <c r="AA932">
        <v>0</v>
      </c>
      <c r="AB932">
        <v>8</v>
      </c>
      <c r="AC932">
        <v>6</v>
      </c>
      <c r="AD932">
        <v>2</v>
      </c>
      <c r="AE932">
        <v>7</v>
      </c>
      <c r="AF932">
        <v>0</v>
      </c>
      <c r="AG932">
        <v>7</v>
      </c>
      <c r="AH932">
        <v>7</v>
      </c>
      <c r="AI932">
        <f>IF(tbl_HRData[[#This Row],[Attrition]] = "Yes",1,0)</f>
        <v>0</v>
      </c>
      <c r="AJ932">
        <f>IF(tbl_HRData[[#This Row],[Attrition]] = "No",1,0)</f>
        <v>1</v>
      </c>
      <c r="AK932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932" s="1" t="str">
        <f>IF(tbl_HRData[[#This Row],[MonthlyIncome]]&lt;5000,"Low",
IF(tbl_HRData[[#This Row],[MonthlyIncome]]&lt;10000,"Medium",
IF(tbl_HRData[[#This Row],[MonthlyIncome]]&lt;15000,"Upper Medium","High")))</f>
        <v>Low</v>
      </c>
      <c r="AM932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933" spans="1:39" x14ac:dyDescent="0.35">
      <c r="A933" s="1">
        <v>932</v>
      </c>
      <c r="B933">
        <v>30</v>
      </c>
      <c r="C933" s="1" t="s">
        <v>40</v>
      </c>
      <c r="D933" s="1" t="s">
        <v>52</v>
      </c>
      <c r="E933">
        <v>879</v>
      </c>
      <c r="F933" s="1" t="s">
        <v>42</v>
      </c>
      <c r="G933">
        <v>9</v>
      </c>
      <c r="H933">
        <v>2</v>
      </c>
      <c r="I933" s="1" t="s">
        <v>48</v>
      </c>
      <c r="J933">
        <v>1298</v>
      </c>
      <c r="K933">
        <v>3</v>
      </c>
      <c r="L933" s="1" t="s">
        <v>37</v>
      </c>
      <c r="M933">
        <v>72</v>
      </c>
      <c r="N933">
        <v>3</v>
      </c>
      <c r="O933">
        <v>2</v>
      </c>
      <c r="P933" s="1" t="s">
        <v>50</v>
      </c>
      <c r="Q933">
        <v>3</v>
      </c>
      <c r="R933" s="1" t="s">
        <v>39</v>
      </c>
      <c r="S933">
        <v>4695</v>
      </c>
      <c r="T933">
        <v>12858</v>
      </c>
      <c r="U933">
        <v>7</v>
      </c>
      <c r="V933" s="1" t="s">
        <v>33</v>
      </c>
      <c r="W933">
        <v>18</v>
      </c>
      <c r="X933">
        <v>3</v>
      </c>
      <c r="Y933">
        <v>3</v>
      </c>
      <c r="Z933">
        <v>80</v>
      </c>
      <c r="AA933">
        <v>0</v>
      </c>
      <c r="AB933">
        <v>10</v>
      </c>
      <c r="AC933">
        <v>3</v>
      </c>
      <c r="AD933">
        <v>3</v>
      </c>
      <c r="AE933">
        <v>8</v>
      </c>
      <c r="AF933">
        <v>4</v>
      </c>
      <c r="AG933">
        <v>1</v>
      </c>
      <c r="AH933">
        <v>7</v>
      </c>
      <c r="AI933">
        <f>IF(tbl_HRData[[#This Row],[Attrition]] = "Yes",1,0)</f>
        <v>0</v>
      </c>
      <c r="AJ933">
        <f>IF(tbl_HRData[[#This Row],[Attrition]] = "No",1,0)</f>
        <v>1</v>
      </c>
      <c r="AK933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933" s="1" t="str">
        <f>IF(tbl_HRData[[#This Row],[MonthlyIncome]]&lt;5000,"Low",
IF(tbl_HRData[[#This Row],[MonthlyIncome]]&lt;10000,"Medium",
IF(tbl_HRData[[#This Row],[MonthlyIncome]]&lt;15000,"Upper Medium","High")))</f>
        <v>Low</v>
      </c>
      <c r="AM933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934" spans="1:39" x14ac:dyDescent="0.35">
      <c r="A934" s="1">
        <v>933</v>
      </c>
      <c r="B934">
        <v>29</v>
      </c>
      <c r="C934" s="1" t="s">
        <v>33</v>
      </c>
      <c r="D934" s="1" t="s">
        <v>34</v>
      </c>
      <c r="E934">
        <v>806</v>
      </c>
      <c r="F934" s="1" t="s">
        <v>42</v>
      </c>
      <c r="G934">
        <v>7</v>
      </c>
      <c r="H934">
        <v>3</v>
      </c>
      <c r="I934" s="1" t="s">
        <v>57</v>
      </c>
      <c r="J934">
        <v>1299</v>
      </c>
      <c r="K934">
        <v>2</v>
      </c>
      <c r="L934" s="1" t="s">
        <v>37</v>
      </c>
      <c r="M934">
        <v>39</v>
      </c>
      <c r="N934">
        <v>3</v>
      </c>
      <c r="O934">
        <v>1</v>
      </c>
      <c r="P934" s="1" t="s">
        <v>47</v>
      </c>
      <c r="Q934">
        <v>3</v>
      </c>
      <c r="R934" s="1" t="s">
        <v>49</v>
      </c>
      <c r="S934">
        <v>3339</v>
      </c>
      <c r="T934">
        <v>17285</v>
      </c>
      <c r="U934">
        <v>3</v>
      </c>
      <c r="V934" s="1" t="s">
        <v>33</v>
      </c>
      <c r="W934">
        <v>13</v>
      </c>
      <c r="X934">
        <v>3</v>
      </c>
      <c r="Y934">
        <v>1</v>
      </c>
      <c r="Z934">
        <v>80</v>
      </c>
      <c r="AA934">
        <v>2</v>
      </c>
      <c r="AB934">
        <v>10</v>
      </c>
      <c r="AC934">
        <v>2</v>
      </c>
      <c r="AD934">
        <v>3</v>
      </c>
      <c r="AE934">
        <v>7</v>
      </c>
      <c r="AF934">
        <v>7</v>
      </c>
      <c r="AG934">
        <v>7</v>
      </c>
      <c r="AH934">
        <v>7</v>
      </c>
      <c r="AI934">
        <f>IF(tbl_HRData[[#This Row],[Attrition]] = "Yes",1,0)</f>
        <v>1</v>
      </c>
      <c r="AJ934">
        <f>IF(tbl_HRData[[#This Row],[Attrition]] = "No",1,0)</f>
        <v>0</v>
      </c>
      <c r="AK934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934" s="1" t="str">
        <f>IF(tbl_HRData[[#This Row],[MonthlyIncome]]&lt;5000,"Low",
IF(tbl_HRData[[#This Row],[MonthlyIncome]]&lt;10000,"Medium",
IF(tbl_HRData[[#This Row],[MonthlyIncome]]&lt;15000,"Upper Medium","High")))</f>
        <v>Low</v>
      </c>
      <c r="AM934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935" spans="1:39" x14ac:dyDescent="0.35">
      <c r="A935" s="1">
        <v>934</v>
      </c>
      <c r="B935">
        <v>28</v>
      </c>
      <c r="C935" s="1" t="s">
        <v>40</v>
      </c>
      <c r="D935" s="1" t="s">
        <v>34</v>
      </c>
      <c r="E935">
        <v>640</v>
      </c>
      <c r="F935" s="1" t="s">
        <v>42</v>
      </c>
      <c r="G935">
        <v>1</v>
      </c>
      <c r="H935">
        <v>3</v>
      </c>
      <c r="I935" s="1" t="s">
        <v>57</v>
      </c>
      <c r="J935">
        <v>1301</v>
      </c>
      <c r="K935">
        <v>4</v>
      </c>
      <c r="L935" s="1" t="s">
        <v>43</v>
      </c>
      <c r="M935">
        <v>84</v>
      </c>
      <c r="N935">
        <v>3</v>
      </c>
      <c r="O935">
        <v>1</v>
      </c>
      <c r="P935" s="1" t="s">
        <v>44</v>
      </c>
      <c r="Q935">
        <v>1</v>
      </c>
      <c r="R935" s="1" t="s">
        <v>39</v>
      </c>
      <c r="S935">
        <v>2080</v>
      </c>
      <c r="T935">
        <v>4732</v>
      </c>
      <c r="U935">
        <v>2</v>
      </c>
      <c r="V935" s="1" t="s">
        <v>40</v>
      </c>
      <c r="W935">
        <v>11</v>
      </c>
      <c r="X935">
        <v>3</v>
      </c>
      <c r="Y935">
        <v>2</v>
      </c>
      <c r="Z935">
        <v>80</v>
      </c>
      <c r="AA935">
        <v>0</v>
      </c>
      <c r="AB935">
        <v>5</v>
      </c>
      <c r="AC935">
        <v>2</v>
      </c>
      <c r="AD935">
        <v>2</v>
      </c>
      <c r="AE935">
        <v>3</v>
      </c>
      <c r="AF935">
        <v>2</v>
      </c>
      <c r="AG935">
        <v>1</v>
      </c>
      <c r="AH935">
        <v>2</v>
      </c>
      <c r="AI935">
        <f>IF(tbl_HRData[[#This Row],[Attrition]] = "Yes",1,0)</f>
        <v>0</v>
      </c>
      <c r="AJ935">
        <f>IF(tbl_HRData[[#This Row],[Attrition]] = "No",1,0)</f>
        <v>1</v>
      </c>
      <c r="AK935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935" s="1" t="str">
        <f>IF(tbl_HRData[[#This Row],[MonthlyIncome]]&lt;5000,"Low",
IF(tbl_HRData[[#This Row],[MonthlyIncome]]&lt;10000,"Medium",
IF(tbl_HRData[[#This Row],[MonthlyIncome]]&lt;15000,"Upper Medium","High")))</f>
        <v>Low</v>
      </c>
      <c r="AM935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936" spans="1:39" x14ac:dyDescent="0.35">
      <c r="A936" s="1">
        <v>935</v>
      </c>
      <c r="B936">
        <v>25</v>
      </c>
      <c r="C936" s="1" t="s">
        <v>40</v>
      </c>
      <c r="D936" s="1" t="s">
        <v>34</v>
      </c>
      <c r="E936">
        <v>266</v>
      </c>
      <c r="F936" s="1" t="s">
        <v>42</v>
      </c>
      <c r="G936">
        <v>1</v>
      </c>
      <c r="H936">
        <v>3</v>
      </c>
      <c r="I936" s="1" t="s">
        <v>48</v>
      </c>
      <c r="J936">
        <v>1303</v>
      </c>
      <c r="K936">
        <v>4</v>
      </c>
      <c r="L936" s="1" t="s">
        <v>37</v>
      </c>
      <c r="M936">
        <v>40</v>
      </c>
      <c r="N936">
        <v>3</v>
      </c>
      <c r="O936">
        <v>1</v>
      </c>
      <c r="P936" s="1" t="s">
        <v>44</v>
      </c>
      <c r="Q936">
        <v>2</v>
      </c>
      <c r="R936" s="1" t="s">
        <v>39</v>
      </c>
      <c r="S936">
        <v>2096</v>
      </c>
      <c r="T936">
        <v>18830</v>
      </c>
      <c r="U936">
        <v>1</v>
      </c>
      <c r="V936" s="1" t="s">
        <v>40</v>
      </c>
      <c r="W936">
        <v>18</v>
      </c>
      <c r="X936">
        <v>3</v>
      </c>
      <c r="Y936">
        <v>4</v>
      </c>
      <c r="Z936">
        <v>80</v>
      </c>
      <c r="AA936">
        <v>0</v>
      </c>
      <c r="AB936">
        <v>2</v>
      </c>
      <c r="AC936">
        <v>3</v>
      </c>
      <c r="AD936">
        <v>2</v>
      </c>
      <c r="AE936">
        <v>2</v>
      </c>
      <c r="AF936">
        <v>2</v>
      </c>
      <c r="AG936">
        <v>2</v>
      </c>
      <c r="AH936">
        <v>1</v>
      </c>
      <c r="AI936">
        <f>IF(tbl_HRData[[#This Row],[Attrition]] = "Yes",1,0)</f>
        <v>0</v>
      </c>
      <c r="AJ936">
        <f>IF(tbl_HRData[[#This Row],[Attrition]] = "No",1,0)</f>
        <v>1</v>
      </c>
      <c r="AK936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936" s="1" t="str">
        <f>IF(tbl_HRData[[#This Row],[MonthlyIncome]]&lt;5000,"Low",
IF(tbl_HRData[[#This Row],[MonthlyIncome]]&lt;10000,"Medium",
IF(tbl_HRData[[#This Row],[MonthlyIncome]]&lt;15000,"Upper Medium","High")))</f>
        <v>Low</v>
      </c>
      <c r="AM936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937" spans="1:39" x14ac:dyDescent="0.35">
      <c r="A937" s="1">
        <v>936</v>
      </c>
      <c r="B937">
        <v>32</v>
      </c>
      <c r="C937" s="1" t="s">
        <v>40</v>
      </c>
      <c r="D937" s="1" t="s">
        <v>34</v>
      </c>
      <c r="E937">
        <v>604</v>
      </c>
      <c r="F937" s="1" t="s">
        <v>35</v>
      </c>
      <c r="G937">
        <v>8</v>
      </c>
      <c r="H937">
        <v>3</v>
      </c>
      <c r="I937" s="1" t="s">
        <v>48</v>
      </c>
      <c r="J937">
        <v>1304</v>
      </c>
      <c r="K937">
        <v>3</v>
      </c>
      <c r="L937" s="1" t="s">
        <v>43</v>
      </c>
      <c r="M937">
        <v>56</v>
      </c>
      <c r="N937">
        <v>4</v>
      </c>
      <c r="O937">
        <v>2</v>
      </c>
      <c r="P937" s="1" t="s">
        <v>38</v>
      </c>
      <c r="Q937">
        <v>4</v>
      </c>
      <c r="R937" s="1" t="s">
        <v>45</v>
      </c>
      <c r="S937">
        <v>6209</v>
      </c>
      <c r="T937">
        <v>11693</v>
      </c>
      <c r="U937">
        <v>1</v>
      </c>
      <c r="V937" s="1" t="s">
        <v>40</v>
      </c>
      <c r="W937">
        <v>15</v>
      </c>
      <c r="X937">
        <v>3</v>
      </c>
      <c r="Y937">
        <v>3</v>
      </c>
      <c r="Z937">
        <v>80</v>
      </c>
      <c r="AA937">
        <v>2</v>
      </c>
      <c r="AB937">
        <v>10</v>
      </c>
      <c r="AC937">
        <v>4</v>
      </c>
      <c r="AD937">
        <v>4</v>
      </c>
      <c r="AE937">
        <v>10</v>
      </c>
      <c r="AF937">
        <v>7</v>
      </c>
      <c r="AG937">
        <v>0</v>
      </c>
      <c r="AH937">
        <v>8</v>
      </c>
      <c r="AI937">
        <f>IF(tbl_HRData[[#This Row],[Attrition]] = "Yes",1,0)</f>
        <v>0</v>
      </c>
      <c r="AJ937">
        <f>IF(tbl_HRData[[#This Row],[Attrition]] = "No",1,0)</f>
        <v>1</v>
      </c>
      <c r="AK937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937" s="1" t="str">
        <f>IF(tbl_HRData[[#This Row],[MonthlyIncome]]&lt;5000,"Low",
IF(tbl_HRData[[#This Row],[MonthlyIncome]]&lt;10000,"Medium",
IF(tbl_HRData[[#This Row],[MonthlyIncome]]&lt;15000,"Upper Medium","High")))</f>
        <v>Medium</v>
      </c>
      <c r="AM937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938" spans="1:39" x14ac:dyDescent="0.35">
      <c r="A938" s="1">
        <v>937</v>
      </c>
      <c r="B938">
        <v>45</v>
      </c>
      <c r="C938" s="1" t="s">
        <v>40</v>
      </c>
      <c r="D938" s="1" t="s">
        <v>41</v>
      </c>
      <c r="E938">
        <v>364</v>
      </c>
      <c r="F938" s="1" t="s">
        <v>42</v>
      </c>
      <c r="G938">
        <v>25</v>
      </c>
      <c r="H938">
        <v>3</v>
      </c>
      <c r="I938" s="1" t="s">
        <v>48</v>
      </c>
      <c r="J938">
        <v>1306</v>
      </c>
      <c r="K938">
        <v>2</v>
      </c>
      <c r="L938" s="1" t="s">
        <v>37</v>
      </c>
      <c r="M938">
        <v>83</v>
      </c>
      <c r="N938">
        <v>3</v>
      </c>
      <c r="O938">
        <v>5</v>
      </c>
      <c r="P938" s="1" t="s">
        <v>53</v>
      </c>
      <c r="Q938">
        <v>2</v>
      </c>
      <c r="R938" s="1" t="s">
        <v>39</v>
      </c>
      <c r="S938">
        <v>18061</v>
      </c>
      <c r="T938">
        <v>13035</v>
      </c>
      <c r="U938">
        <v>3</v>
      </c>
      <c r="V938" s="1" t="s">
        <v>40</v>
      </c>
      <c r="W938">
        <v>22</v>
      </c>
      <c r="X938">
        <v>4</v>
      </c>
      <c r="Y938">
        <v>3</v>
      </c>
      <c r="Z938">
        <v>80</v>
      </c>
      <c r="AA938">
        <v>0</v>
      </c>
      <c r="AB938">
        <v>22</v>
      </c>
      <c r="AC938">
        <v>4</v>
      </c>
      <c r="AD938">
        <v>3</v>
      </c>
      <c r="AE938">
        <v>0</v>
      </c>
      <c r="AF938">
        <v>0</v>
      </c>
      <c r="AG938">
        <v>0</v>
      </c>
      <c r="AH938">
        <v>0</v>
      </c>
      <c r="AI938">
        <f>IF(tbl_HRData[[#This Row],[Attrition]] = "Yes",1,0)</f>
        <v>0</v>
      </c>
      <c r="AJ938">
        <f>IF(tbl_HRData[[#This Row],[Attrition]] = "No",1,0)</f>
        <v>1</v>
      </c>
      <c r="AK938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938" s="1" t="str">
        <f>IF(tbl_HRData[[#This Row],[MonthlyIncome]]&lt;5000,"Low",
IF(tbl_HRData[[#This Row],[MonthlyIncome]]&lt;10000,"Medium",
IF(tbl_HRData[[#This Row],[MonthlyIncome]]&lt;15000,"Upper Medium","High")))</f>
        <v>High</v>
      </c>
      <c r="AM938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939" spans="1:39" x14ac:dyDescent="0.35">
      <c r="A939" s="1">
        <v>938</v>
      </c>
      <c r="B939">
        <v>39</v>
      </c>
      <c r="C939" s="1" t="s">
        <v>40</v>
      </c>
      <c r="D939" s="1" t="s">
        <v>34</v>
      </c>
      <c r="E939">
        <v>412</v>
      </c>
      <c r="F939" s="1" t="s">
        <v>42</v>
      </c>
      <c r="G939">
        <v>13</v>
      </c>
      <c r="H939">
        <v>4</v>
      </c>
      <c r="I939" s="1" t="s">
        <v>48</v>
      </c>
      <c r="J939">
        <v>1307</v>
      </c>
      <c r="K939">
        <v>3</v>
      </c>
      <c r="L939" s="1" t="s">
        <v>37</v>
      </c>
      <c r="M939">
        <v>94</v>
      </c>
      <c r="N939">
        <v>2</v>
      </c>
      <c r="O939">
        <v>4</v>
      </c>
      <c r="P939" s="1" t="s">
        <v>53</v>
      </c>
      <c r="Q939">
        <v>2</v>
      </c>
      <c r="R939" s="1" t="s">
        <v>49</v>
      </c>
      <c r="S939">
        <v>17123</v>
      </c>
      <c r="T939">
        <v>17334</v>
      </c>
      <c r="U939">
        <v>6</v>
      </c>
      <c r="V939" s="1" t="s">
        <v>33</v>
      </c>
      <c r="W939">
        <v>13</v>
      </c>
      <c r="X939">
        <v>3</v>
      </c>
      <c r="Y939">
        <v>4</v>
      </c>
      <c r="Z939">
        <v>80</v>
      </c>
      <c r="AA939">
        <v>2</v>
      </c>
      <c r="AB939">
        <v>21</v>
      </c>
      <c r="AC939">
        <v>4</v>
      </c>
      <c r="AD939">
        <v>3</v>
      </c>
      <c r="AE939">
        <v>19</v>
      </c>
      <c r="AF939">
        <v>9</v>
      </c>
      <c r="AG939">
        <v>15</v>
      </c>
      <c r="AH939">
        <v>2</v>
      </c>
      <c r="AI939">
        <f>IF(tbl_HRData[[#This Row],[Attrition]] = "Yes",1,0)</f>
        <v>0</v>
      </c>
      <c r="AJ939">
        <f>IF(tbl_HRData[[#This Row],[Attrition]] = "No",1,0)</f>
        <v>1</v>
      </c>
      <c r="AK939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939" s="1" t="str">
        <f>IF(tbl_HRData[[#This Row],[MonthlyIncome]]&lt;5000,"Low",
IF(tbl_HRData[[#This Row],[MonthlyIncome]]&lt;10000,"Medium",
IF(tbl_HRData[[#This Row],[MonthlyIncome]]&lt;15000,"Upper Medium","High")))</f>
        <v>High</v>
      </c>
      <c r="AM939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940" spans="1:39" x14ac:dyDescent="0.35">
      <c r="A940" s="1">
        <v>939</v>
      </c>
      <c r="B940">
        <v>58</v>
      </c>
      <c r="C940" s="1" t="s">
        <v>40</v>
      </c>
      <c r="D940" s="1" t="s">
        <v>34</v>
      </c>
      <c r="E940">
        <v>848</v>
      </c>
      <c r="F940" s="1" t="s">
        <v>42</v>
      </c>
      <c r="G940">
        <v>23</v>
      </c>
      <c r="H940">
        <v>4</v>
      </c>
      <c r="I940" s="1" t="s">
        <v>36</v>
      </c>
      <c r="J940">
        <v>1308</v>
      </c>
      <c r="K940">
        <v>1</v>
      </c>
      <c r="L940" s="1" t="s">
        <v>43</v>
      </c>
      <c r="M940">
        <v>88</v>
      </c>
      <c r="N940">
        <v>3</v>
      </c>
      <c r="O940">
        <v>1</v>
      </c>
      <c r="P940" s="1" t="s">
        <v>44</v>
      </c>
      <c r="Q940">
        <v>3</v>
      </c>
      <c r="R940" s="1" t="s">
        <v>49</v>
      </c>
      <c r="S940">
        <v>2372</v>
      </c>
      <c r="T940">
        <v>26076</v>
      </c>
      <c r="U940">
        <v>1</v>
      </c>
      <c r="V940" s="1" t="s">
        <v>40</v>
      </c>
      <c r="W940">
        <v>12</v>
      </c>
      <c r="X940">
        <v>3</v>
      </c>
      <c r="Y940">
        <v>4</v>
      </c>
      <c r="Z940">
        <v>80</v>
      </c>
      <c r="AA940">
        <v>2</v>
      </c>
      <c r="AB940">
        <v>2</v>
      </c>
      <c r="AC940">
        <v>3</v>
      </c>
      <c r="AD940">
        <v>3</v>
      </c>
      <c r="AE940">
        <v>2</v>
      </c>
      <c r="AF940">
        <v>2</v>
      </c>
      <c r="AG940">
        <v>2</v>
      </c>
      <c r="AH940">
        <v>2</v>
      </c>
      <c r="AI940">
        <f>IF(tbl_HRData[[#This Row],[Attrition]] = "Yes",1,0)</f>
        <v>0</v>
      </c>
      <c r="AJ940">
        <f>IF(tbl_HRData[[#This Row],[Attrition]] = "No",1,0)</f>
        <v>1</v>
      </c>
      <c r="AK940" t="str">
        <f>IF(tbl_HRData[[#This Row],[Age]] &lt; 25, "Under 25", IF(tbl_HRData[[#This Row],[Age]] &lt;= 34, "25-34", IF(tbl_HRData[[#This Row],[Age]] &lt;= 44, "35-44", IF(tbl_HRData[[#This Row],[Age]] &lt;= 54, "45-54", "55+"))))</f>
        <v>55+</v>
      </c>
      <c r="AL940" s="1" t="str">
        <f>IF(tbl_HRData[[#This Row],[MonthlyIncome]]&lt;5000,"Low",
IF(tbl_HRData[[#This Row],[MonthlyIncome]]&lt;10000,"Medium",
IF(tbl_HRData[[#This Row],[MonthlyIncome]]&lt;15000,"Upper Medium","High")))</f>
        <v>Low</v>
      </c>
      <c r="AM940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941" spans="1:39" x14ac:dyDescent="0.35">
      <c r="A941" s="1">
        <v>940</v>
      </c>
      <c r="B941">
        <v>32</v>
      </c>
      <c r="C941" s="1" t="s">
        <v>33</v>
      </c>
      <c r="D941" s="1" t="s">
        <v>34</v>
      </c>
      <c r="E941">
        <v>1089</v>
      </c>
      <c r="F941" s="1" t="s">
        <v>42</v>
      </c>
      <c r="G941">
        <v>7</v>
      </c>
      <c r="H941">
        <v>2</v>
      </c>
      <c r="I941" s="1" t="s">
        <v>36</v>
      </c>
      <c r="J941">
        <v>1309</v>
      </c>
      <c r="K941">
        <v>4</v>
      </c>
      <c r="L941" s="1" t="s">
        <v>43</v>
      </c>
      <c r="M941">
        <v>79</v>
      </c>
      <c r="N941">
        <v>3</v>
      </c>
      <c r="O941">
        <v>2</v>
      </c>
      <c r="P941" s="1" t="s">
        <v>47</v>
      </c>
      <c r="Q941">
        <v>3</v>
      </c>
      <c r="R941" s="1" t="s">
        <v>45</v>
      </c>
      <c r="S941">
        <v>4883</v>
      </c>
      <c r="T941">
        <v>22845</v>
      </c>
      <c r="U941">
        <v>1</v>
      </c>
      <c r="V941" s="1" t="s">
        <v>40</v>
      </c>
      <c r="W941">
        <v>18</v>
      </c>
      <c r="X941">
        <v>3</v>
      </c>
      <c r="Y941">
        <v>1</v>
      </c>
      <c r="Z941">
        <v>80</v>
      </c>
      <c r="AA941">
        <v>1</v>
      </c>
      <c r="AB941">
        <v>10</v>
      </c>
      <c r="AC941">
        <v>3</v>
      </c>
      <c r="AD941">
        <v>3</v>
      </c>
      <c r="AE941">
        <v>10</v>
      </c>
      <c r="AF941">
        <v>4</v>
      </c>
      <c r="AG941">
        <v>1</v>
      </c>
      <c r="AH941">
        <v>1</v>
      </c>
      <c r="AI941">
        <f>IF(tbl_HRData[[#This Row],[Attrition]] = "Yes",1,0)</f>
        <v>1</v>
      </c>
      <c r="AJ941">
        <f>IF(tbl_HRData[[#This Row],[Attrition]] = "No",1,0)</f>
        <v>0</v>
      </c>
      <c r="AK941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941" s="1" t="str">
        <f>IF(tbl_HRData[[#This Row],[MonthlyIncome]]&lt;5000,"Low",
IF(tbl_HRData[[#This Row],[MonthlyIncome]]&lt;10000,"Medium",
IF(tbl_HRData[[#This Row],[MonthlyIncome]]&lt;15000,"Upper Medium","High")))</f>
        <v>Low</v>
      </c>
      <c r="AM941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942" spans="1:39" x14ac:dyDescent="0.35">
      <c r="A942" s="1">
        <v>941</v>
      </c>
      <c r="B942">
        <v>39</v>
      </c>
      <c r="C942" s="1" t="s">
        <v>33</v>
      </c>
      <c r="D942" s="1" t="s">
        <v>34</v>
      </c>
      <c r="E942">
        <v>360</v>
      </c>
      <c r="F942" s="1" t="s">
        <v>42</v>
      </c>
      <c r="G942">
        <v>23</v>
      </c>
      <c r="H942">
        <v>3</v>
      </c>
      <c r="I942" s="1" t="s">
        <v>48</v>
      </c>
      <c r="J942">
        <v>1310</v>
      </c>
      <c r="K942">
        <v>3</v>
      </c>
      <c r="L942" s="1" t="s">
        <v>43</v>
      </c>
      <c r="M942">
        <v>93</v>
      </c>
      <c r="N942">
        <v>3</v>
      </c>
      <c r="O942">
        <v>1</v>
      </c>
      <c r="P942" s="1" t="s">
        <v>44</v>
      </c>
      <c r="Q942">
        <v>1</v>
      </c>
      <c r="R942" s="1" t="s">
        <v>39</v>
      </c>
      <c r="S942">
        <v>3904</v>
      </c>
      <c r="T942">
        <v>22154</v>
      </c>
      <c r="U942">
        <v>0</v>
      </c>
      <c r="V942" s="1" t="s">
        <v>40</v>
      </c>
      <c r="W942">
        <v>13</v>
      </c>
      <c r="X942">
        <v>3</v>
      </c>
      <c r="Y942">
        <v>1</v>
      </c>
      <c r="Z942">
        <v>80</v>
      </c>
      <c r="AA942">
        <v>0</v>
      </c>
      <c r="AB942">
        <v>6</v>
      </c>
      <c r="AC942">
        <v>2</v>
      </c>
      <c r="AD942">
        <v>3</v>
      </c>
      <c r="AE942">
        <v>5</v>
      </c>
      <c r="AF942">
        <v>2</v>
      </c>
      <c r="AG942">
        <v>0</v>
      </c>
      <c r="AH942">
        <v>3</v>
      </c>
      <c r="AI942">
        <f>IF(tbl_HRData[[#This Row],[Attrition]] = "Yes",1,0)</f>
        <v>1</v>
      </c>
      <c r="AJ942">
        <f>IF(tbl_HRData[[#This Row],[Attrition]] = "No",1,0)</f>
        <v>0</v>
      </c>
      <c r="AK942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942" s="1" t="str">
        <f>IF(tbl_HRData[[#This Row],[MonthlyIncome]]&lt;5000,"Low",
IF(tbl_HRData[[#This Row],[MonthlyIncome]]&lt;10000,"Medium",
IF(tbl_HRData[[#This Row],[MonthlyIncome]]&lt;15000,"Upper Medium","High")))</f>
        <v>Low</v>
      </c>
      <c r="AM942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943" spans="1:39" x14ac:dyDescent="0.35">
      <c r="A943" s="1">
        <v>942</v>
      </c>
      <c r="B943">
        <v>30</v>
      </c>
      <c r="C943" s="1" t="s">
        <v>40</v>
      </c>
      <c r="D943" s="1" t="s">
        <v>34</v>
      </c>
      <c r="E943">
        <v>1138</v>
      </c>
      <c r="F943" s="1" t="s">
        <v>42</v>
      </c>
      <c r="G943">
        <v>6</v>
      </c>
      <c r="H943">
        <v>3</v>
      </c>
      <c r="I943" s="1" t="s">
        <v>57</v>
      </c>
      <c r="J943">
        <v>1311</v>
      </c>
      <c r="K943">
        <v>1</v>
      </c>
      <c r="L943" s="1" t="s">
        <v>37</v>
      </c>
      <c r="M943">
        <v>48</v>
      </c>
      <c r="N943">
        <v>2</v>
      </c>
      <c r="O943">
        <v>2</v>
      </c>
      <c r="P943" s="1" t="s">
        <v>47</v>
      </c>
      <c r="Q943">
        <v>4</v>
      </c>
      <c r="R943" s="1" t="s">
        <v>45</v>
      </c>
      <c r="S943">
        <v>4627</v>
      </c>
      <c r="T943">
        <v>23631</v>
      </c>
      <c r="U943">
        <v>0</v>
      </c>
      <c r="V943" s="1" t="s">
        <v>40</v>
      </c>
      <c r="W943">
        <v>12</v>
      </c>
      <c r="X943">
        <v>3</v>
      </c>
      <c r="Y943">
        <v>1</v>
      </c>
      <c r="Z943">
        <v>80</v>
      </c>
      <c r="AA943">
        <v>1</v>
      </c>
      <c r="AB943">
        <v>10</v>
      </c>
      <c r="AC943">
        <v>6</v>
      </c>
      <c r="AD943">
        <v>3</v>
      </c>
      <c r="AE943">
        <v>9</v>
      </c>
      <c r="AF943">
        <v>2</v>
      </c>
      <c r="AG943">
        <v>6</v>
      </c>
      <c r="AH943">
        <v>7</v>
      </c>
      <c r="AI943">
        <f>IF(tbl_HRData[[#This Row],[Attrition]] = "Yes",1,0)</f>
        <v>0</v>
      </c>
      <c r="AJ943">
        <f>IF(tbl_HRData[[#This Row],[Attrition]] = "No",1,0)</f>
        <v>1</v>
      </c>
      <c r="AK943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943" s="1" t="str">
        <f>IF(tbl_HRData[[#This Row],[MonthlyIncome]]&lt;5000,"Low",
IF(tbl_HRData[[#This Row],[MonthlyIncome]]&lt;10000,"Medium",
IF(tbl_HRData[[#This Row],[MonthlyIncome]]&lt;15000,"Upper Medium","High")))</f>
        <v>Low</v>
      </c>
      <c r="AM943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944" spans="1:39" x14ac:dyDescent="0.35">
      <c r="A944" s="1">
        <v>943</v>
      </c>
      <c r="B944">
        <v>36</v>
      </c>
      <c r="C944" s="1" t="s">
        <v>40</v>
      </c>
      <c r="D944" s="1" t="s">
        <v>34</v>
      </c>
      <c r="E944">
        <v>325</v>
      </c>
      <c r="F944" s="1" t="s">
        <v>42</v>
      </c>
      <c r="G944">
        <v>10</v>
      </c>
      <c r="H944">
        <v>4</v>
      </c>
      <c r="I944" s="1" t="s">
        <v>57</v>
      </c>
      <c r="J944">
        <v>1312</v>
      </c>
      <c r="K944">
        <v>4</v>
      </c>
      <c r="L944" s="1" t="s">
        <v>37</v>
      </c>
      <c r="M944">
        <v>63</v>
      </c>
      <c r="N944">
        <v>3</v>
      </c>
      <c r="O944">
        <v>3</v>
      </c>
      <c r="P944" s="1" t="s">
        <v>51</v>
      </c>
      <c r="Q944">
        <v>3</v>
      </c>
      <c r="R944" s="1" t="s">
        <v>45</v>
      </c>
      <c r="S944">
        <v>7094</v>
      </c>
      <c r="T944">
        <v>5747</v>
      </c>
      <c r="U944">
        <v>3</v>
      </c>
      <c r="V944" s="1" t="s">
        <v>40</v>
      </c>
      <c r="W944">
        <v>12</v>
      </c>
      <c r="X944">
        <v>3</v>
      </c>
      <c r="Y944">
        <v>1</v>
      </c>
      <c r="Z944">
        <v>80</v>
      </c>
      <c r="AA944">
        <v>0</v>
      </c>
      <c r="AB944">
        <v>10</v>
      </c>
      <c r="AC944">
        <v>0</v>
      </c>
      <c r="AD944">
        <v>3</v>
      </c>
      <c r="AE944">
        <v>7</v>
      </c>
      <c r="AF944">
        <v>7</v>
      </c>
      <c r="AG944">
        <v>1</v>
      </c>
      <c r="AH944">
        <v>7</v>
      </c>
      <c r="AI944">
        <f>IF(tbl_HRData[[#This Row],[Attrition]] = "Yes",1,0)</f>
        <v>0</v>
      </c>
      <c r="AJ944">
        <f>IF(tbl_HRData[[#This Row],[Attrition]] = "No",1,0)</f>
        <v>1</v>
      </c>
      <c r="AK944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944" s="1" t="str">
        <f>IF(tbl_HRData[[#This Row],[MonthlyIncome]]&lt;5000,"Low",
IF(tbl_HRData[[#This Row],[MonthlyIncome]]&lt;10000,"Medium",
IF(tbl_HRData[[#This Row],[MonthlyIncome]]&lt;15000,"Upper Medium","High")))</f>
        <v>Medium</v>
      </c>
      <c r="AM944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945" spans="1:39" x14ac:dyDescent="0.35">
      <c r="A945" s="1">
        <v>944</v>
      </c>
      <c r="B945">
        <v>46</v>
      </c>
      <c r="C945" s="1" t="s">
        <v>40</v>
      </c>
      <c r="D945" s="1" t="s">
        <v>34</v>
      </c>
      <c r="E945">
        <v>991</v>
      </c>
      <c r="F945" s="1" t="s">
        <v>58</v>
      </c>
      <c r="G945">
        <v>1</v>
      </c>
      <c r="H945">
        <v>2</v>
      </c>
      <c r="I945" s="1" t="s">
        <v>36</v>
      </c>
      <c r="J945">
        <v>1314</v>
      </c>
      <c r="K945">
        <v>4</v>
      </c>
      <c r="L945" s="1" t="s">
        <v>37</v>
      </c>
      <c r="M945">
        <v>44</v>
      </c>
      <c r="N945">
        <v>3</v>
      </c>
      <c r="O945">
        <v>1</v>
      </c>
      <c r="P945" s="1" t="s">
        <v>58</v>
      </c>
      <c r="Q945">
        <v>1</v>
      </c>
      <c r="R945" s="1" t="s">
        <v>39</v>
      </c>
      <c r="S945">
        <v>3423</v>
      </c>
      <c r="T945">
        <v>22957</v>
      </c>
      <c r="U945">
        <v>6</v>
      </c>
      <c r="V945" s="1" t="s">
        <v>40</v>
      </c>
      <c r="W945">
        <v>12</v>
      </c>
      <c r="X945">
        <v>3</v>
      </c>
      <c r="Y945">
        <v>3</v>
      </c>
      <c r="Z945">
        <v>80</v>
      </c>
      <c r="AA945">
        <v>0</v>
      </c>
      <c r="AB945">
        <v>10</v>
      </c>
      <c r="AC945">
        <v>3</v>
      </c>
      <c r="AD945">
        <v>4</v>
      </c>
      <c r="AE945">
        <v>7</v>
      </c>
      <c r="AF945">
        <v>6</v>
      </c>
      <c r="AG945">
        <v>5</v>
      </c>
      <c r="AH945">
        <v>7</v>
      </c>
      <c r="AI945">
        <f>IF(tbl_HRData[[#This Row],[Attrition]] = "Yes",1,0)</f>
        <v>0</v>
      </c>
      <c r="AJ945">
        <f>IF(tbl_HRData[[#This Row],[Attrition]] = "No",1,0)</f>
        <v>1</v>
      </c>
      <c r="AK945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945" s="1" t="str">
        <f>IF(tbl_HRData[[#This Row],[MonthlyIncome]]&lt;5000,"Low",
IF(tbl_HRData[[#This Row],[MonthlyIncome]]&lt;10000,"Medium",
IF(tbl_HRData[[#This Row],[MonthlyIncome]]&lt;15000,"Upper Medium","High")))</f>
        <v>Low</v>
      </c>
      <c r="AM945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946" spans="1:39" x14ac:dyDescent="0.35">
      <c r="A946" s="1">
        <v>945</v>
      </c>
      <c r="B946">
        <v>28</v>
      </c>
      <c r="C946" s="1" t="s">
        <v>40</v>
      </c>
      <c r="D946" s="1" t="s">
        <v>52</v>
      </c>
      <c r="E946">
        <v>1476</v>
      </c>
      <c r="F946" s="1" t="s">
        <v>42</v>
      </c>
      <c r="G946">
        <v>1</v>
      </c>
      <c r="H946">
        <v>3</v>
      </c>
      <c r="I946" s="1" t="s">
        <v>36</v>
      </c>
      <c r="J946">
        <v>1315</v>
      </c>
      <c r="K946">
        <v>3</v>
      </c>
      <c r="L946" s="1" t="s">
        <v>37</v>
      </c>
      <c r="M946">
        <v>55</v>
      </c>
      <c r="N946">
        <v>1</v>
      </c>
      <c r="O946">
        <v>2</v>
      </c>
      <c r="P946" s="1" t="s">
        <v>47</v>
      </c>
      <c r="Q946">
        <v>4</v>
      </c>
      <c r="R946" s="1" t="s">
        <v>45</v>
      </c>
      <c r="S946">
        <v>6674</v>
      </c>
      <c r="T946">
        <v>16392</v>
      </c>
      <c r="U946">
        <v>0</v>
      </c>
      <c r="V946" s="1" t="s">
        <v>40</v>
      </c>
      <c r="W946">
        <v>11</v>
      </c>
      <c r="X946">
        <v>3</v>
      </c>
      <c r="Y946">
        <v>1</v>
      </c>
      <c r="Z946">
        <v>80</v>
      </c>
      <c r="AA946">
        <v>3</v>
      </c>
      <c r="AB946">
        <v>10</v>
      </c>
      <c r="AC946">
        <v>6</v>
      </c>
      <c r="AD946">
        <v>3</v>
      </c>
      <c r="AE946">
        <v>9</v>
      </c>
      <c r="AF946">
        <v>8</v>
      </c>
      <c r="AG946">
        <v>7</v>
      </c>
      <c r="AH946">
        <v>5</v>
      </c>
      <c r="AI946">
        <f>IF(tbl_HRData[[#This Row],[Attrition]] = "Yes",1,0)</f>
        <v>0</v>
      </c>
      <c r="AJ946">
        <f>IF(tbl_HRData[[#This Row],[Attrition]] = "No",1,0)</f>
        <v>1</v>
      </c>
      <c r="AK946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946" s="1" t="str">
        <f>IF(tbl_HRData[[#This Row],[MonthlyIncome]]&lt;5000,"Low",
IF(tbl_HRData[[#This Row],[MonthlyIncome]]&lt;10000,"Medium",
IF(tbl_HRData[[#This Row],[MonthlyIncome]]&lt;15000,"Upper Medium","High")))</f>
        <v>Medium</v>
      </c>
      <c r="AM946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947" spans="1:39" x14ac:dyDescent="0.35">
      <c r="A947" s="1">
        <v>946</v>
      </c>
      <c r="B947">
        <v>50</v>
      </c>
      <c r="C947" s="1" t="s">
        <v>40</v>
      </c>
      <c r="D947" s="1" t="s">
        <v>34</v>
      </c>
      <c r="E947">
        <v>1322</v>
      </c>
      <c r="F947" s="1" t="s">
        <v>42</v>
      </c>
      <c r="G947">
        <v>28</v>
      </c>
      <c r="H947">
        <v>3</v>
      </c>
      <c r="I947" s="1" t="s">
        <v>36</v>
      </c>
      <c r="J947">
        <v>1317</v>
      </c>
      <c r="K947">
        <v>4</v>
      </c>
      <c r="L947" s="1" t="s">
        <v>37</v>
      </c>
      <c r="M947">
        <v>43</v>
      </c>
      <c r="N947">
        <v>3</v>
      </c>
      <c r="O947">
        <v>4</v>
      </c>
      <c r="P947" s="1" t="s">
        <v>55</v>
      </c>
      <c r="Q947">
        <v>1</v>
      </c>
      <c r="R947" s="1" t="s">
        <v>45</v>
      </c>
      <c r="S947">
        <v>16880</v>
      </c>
      <c r="T947">
        <v>22422</v>
      </c>
      <c r="U947">
        <v>4</v>
      </c>
      <c r="V947" s="1" t="s">
        <v>33</v>
      </c>
      <c r="W947">
        <v>11</v>
      </c>
      <c r="X947">
        <v>3</v>
      </c>
      <c r="Y947">
        <v>2</v>
      </c>
      <c r="Z947">
        <v>80</v>
      </c>
      <c r="AA947">
        <v>0</v>
      </c>
      <c r="AB947">
        <v>25</v>
      </c>
      <c r="AC947">
        <v>2</v>
      </c>
      <c r="AD947">
        <v>3</v>
      </c>
      <c r="AE947">
        <v>3</v>
      </c>
      <c r="AF947">
        <v>2</v>
      </c>
      <c r="AG947">
        <v>1</v>
      </c>
      <c r="AH947">
        <v>2</v>
      </c>
      <c r="AI947">
        <f>IF(tbl_HRData[[#This Row],[Attrition]] = "Yes",1,0)</f>
        <v>0</v>
      </c>
      <c r="AJ947">
        <f>IF(tbl_HRData[[#This Row],[Attrition]] = "No",1,0)</f>
        <v>1</v>
      </c>
      <c r="AK947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947" s="1" t="str">
        <f>IF(tbl_HRData[[#This Row],[MonthlyIncome]]&lt;5000,"Low",
IF(tbl_HRData[[#This Row],[MonthlyIncome]]&lt;10000,"Medium",
IF(tbl_HRData[[#This Row],[MonthlyIncome]]&lt;15000,"Upper Medium","High")))</f>
        <v>High</v>
      </c>
      <c r="AM947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948" spans="1:39" x14ac:dyDescent="0.35">
      <c r="A948" s="1">
        <v>947</v>
      </c>
      <c r="B948">
        <v>40</v>
      </c>
      <c r="C948" s="1" t="s">
        <v>33</v>
      </c>
      <c r="D948" s="1" t="s">
        <v>34</v>
      </c>
      <c r="E948">
        <v>299</v>
      </c>
      <c r="F948" s="1" t="s">
        <v>35</v>
      </c>
      <c r="G948">
        <v>25</v>
      </c>
      <c r="H948">
        <v>4</v>
      </c>
      <c r="I948" s="1" t="s">
        <v>56</v>
      </c>
      <c r="J948">
        <v>1318</v>
      </c>
      <c r="K948">
        <v>4</v>
      </c>
      <c r="L948" s="1" t="s">
        <v>43</v>
      </c>
      <c r="M948">
        <v>57</v>
      </c>
      <c r="N948">
        <v>2</v>
      </c>
      <c r="O948">
        <v>3</v>
      </c>
      <c r="P948" s="1" t="s">
        <v>38</v>
      </c>
      <c r="Q948">
        <v>2</v>
      </c>
      <c r="R948" s="1" t="s">
        <v>39</v>
      </c>
      <c r="S948">
        <v>9094</v>
      </c>
      <c r="T948">
        <v>17235</v>
      </c>
      <c r="U948">
        <v>2</v>
      </c>
      <c r="V948" s="1" t="s">
        <v>33</v>
      </c>
      <c r="W948">
        <v>12</v>
      </c>
      <c r="X948">
        <v>3</v>
      </c>
      <c r="Y948">
        <v>3</v>
      </c>
      <c r="Z948">
        <v>80</v>
      </c>
      <c r="AA948">
        <v>0</v>
      </c>
      <c r="AB948">
        <v>9</v>
      </c>
      <c r="AC948">
        <v>2</v>
      </c>
      <c r="AD948">
        <v>3</v>
      </c>
      <c r="AE948">
        <v>5</v>
      </c>
      <c r="AF948">
        <v>4</v>
      </c>
      <c r="AG948">
        <v>1</v>
      </c>
      <c r="AH948">
        <v>0</v>
      </c>
      <c r="AI948">
        <f>IF(tbl_HRData[[#This Row],[Attrition]] = "Yes",1,0)</f>
        <v>1</v>
      </c>
      <c r="AJ948">
        <f>IF(tbl_HRData[[#This Row],[Attrition]] = "No",1,0)</f>
        <v>0</v>
      </c>
      <c r="AK948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948" s="1" t="str">
        <f>IF(tbl_HRData[[#This Row],[MonthlyIncome]]&lt;5000,"Low",
IF(tbl_HRData[[#This Row],[MonthlyIncome]]&lt;10000,"Medium",
IF(tbl_HRData[[#This Row],[MonthlyIncome]]&lt;15000,"Upper Medium","High")))</f>
        <v>Medium</v>
      </c>
      <c r="AM948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949" spans="1:39" x14ac:dyDescent="0.35">
      <c r="A949" s="1">
        <v>948</v>
      </c>
      <c r="B949">
        <v>52</v>
      </c>
      <c r="C949" s="1" t="s">
        <v>33</v>
      </c>
      <c r="D949" s="1" t="s">
        <v>34</v>
      </c>
      <c r="E949">
        <v>1030</v>
      </c>
      <c r="F949" s="1" t="s">
        <v>35</v>
      </c>
      <c r="G949">
        <v>5</v>
      </c>
      <c r="H949">
        <v>3</v>
      </c>
      <c r="I949" s="1" t="s">
        <v>36</v>
      </c>
      <c r="J949">
        <v>1319</v>
      </c>
      <c r="K949">
        <v>2</v>
      </c>
      <c r="L949" s="1" t="s">
        <v>43</v>
      </c>
      <c r="M949">
        <v>64</v>
      </c>
      <c r="N949">
        <v>3</v>
      </c>
      <c r="O949">
        <v>3</v>
      </c>
      <c r="P949" s="1" t="s">
        <v>38</v>
      </c>
      <c r="Q949">
        <v>2</v>
      </c>
      <c r="R949" s="1" t="s">
        <v>39</v>
      </c>
      <c r="S949">
        <v>8446</v>
      </c>
      <c r="T949">
        <v>21534</v>
      </c>
      <c r="U949">
        <v>9</v>
      </c>
      <c r="V949" s="1" t="s">
        <v>33</v>
      </c>
      <c r="W949">
        <v>19</v>
      </c>
      <c r="X949">
        <v>3</v>
      </c>
      <c r="Y949">
        <v>3</v>
      </c>
      <c r="Z949">
        <v>80</v>
      </c>
      <c r="AA949">
        <v>0</v>
      </c>
      <c r="AB949">
        <v>10</v>
      </c>
      <c r="AC949">
        <v>2</v>
      </c>
      <c r="AD949">
        <v>2</v>
      </c>
      <c r="AE949">
        <v>8</v>
      </c>
      <c r="AF949">
        <v>7</v>
      </c>
      <c r="AG949">
        <v>7</v>
      </c>
      <c r="AH949">
        <v>7</v>
      </c>
      <c r="AI949">
        <f>IF(tbl_HRData[[#This Row],[Attrition]] = "Yes",1,0)</f>
        <v>1</v>
      </c>
      <c r="AJ949">
        <f>IF(tbl_HRData[[#This Row],[Attrition]] = "No",1,0)</f>
        <v>0</v>
      </c>
      <c r="AK949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949" s="1" t="str">
        <f>IF(tbl_HRData[[#This Row],[MonthlyIncome]]&lt;5000,"Low",
IF(tbl_HRData[[#This Row],[MonthlyIncome]]&lt;10000,"Medium",
IF(tbl_HRData[[#This Row],[MonthlyIncome]]&lt;15000,"Upper Medium","High")))</f>
        <v>Medium</v>
      </c>
      <c r="AM949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950" spans="1:39" x14ac:dyDescent="0.35">
      <c r="A950" s="1">
        <v>949</v>
      </c>
      <c r="B950">
        <v>30</v>
      </c>
      <c r="C950" s="1" t="s">
        <v>40</v>
      </c>
      <c r="D950" s="1" t="s">
        <v>34</v>
      </c>
      <c r="E950">
        <v>634</v>
      </c>
      <c r="F950" s="1" t="s">
        <v>42</v>
      </c>
      <c r="G950">
        <v>17</v>
      </c>
      <c r="H950">
        <v>4</v>
      </c>
      <c r="I950" s="1" t="s">
        <v>48</v>
      </c>
      <c r="J950">
        <v>1321</v>
      </c>
      <c r="K950">
        <v>2</v>
      </c>
      <c r="L950" s="1" t="s">
        <v>37</v>
      </c>
      <c r="M950">
        <v>95</v>
      </c>
      <c r="N950">
        <v>3</v>
      </c>
      <c r="O950">
        <v>3</v>
      </c>
      <c r="P950" s="1" t="s">
        <v>53</v>
      </c>
      <c r="Q950">
        <v>1</v>
      </c>
      <c r="R950" s="1" t="s">
        <v>45</v>
      </c>
      <c r="S950">
        <v>11916</v>
      </c>
      <c r="T950">
        <v>25927</v>
      </c>
      <c r="U950">
        <v>1</v>
      </c>
      <c r="V950" s="1" t="s">
        <v>33</v>
      </c>
      <c r="W950">
        <v>23</v>
      </c>
      <c r="X950">
        <v>4</v>
      </c>
      <c r="Y950">
        <v>4</v>
      </c>
      <c r="Z950">
        <v>80</v>
      </c>
      <c r="AA950">
        <v>2</v>
      </c>
      <c r="AB950">
        <v>9</v>
      </c>
      <c r="AC950">
        <v>2</v>
      </c>
      <c r="AD950">
        <v>3</v>
      </c>
      <c r="AE950">
        <v>9</v>
      </c>
      <c r="AF950">
        <v>1</v>
      </c>
      <c r="AG950">
        <v>0</v>
      </c>
      <c r="AH950">
        <v>8</v>
      </c>
      <c r="AI950">
        <f>IF(tbl_HRData[[#This Row],[Attrition]] = "Yes",1,0)</f>
        <v>0</v>
      </c>
      <c r="AJ950">
        <f>IF(tbl_HRData[[#This Row],[Attrition]] = "No",1,0)</f>
        <v>1</v>
      </c>
      <c r="AK950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950" s="1" t="str">
        <f>IF(tbl_HRData[[#This Row],[MonthlyIncome]]&lt;5000,"Low",
IF(tbl_HRData[[#This Row],[MonthlyIncome]]&lt;10000,"Medium",
IF(tbl_HRData[[#This Row],[MonthlyIncome]]&lt;15000,"Upper Medium","High")))</f>
        <v>Upper Medium</v>
      </c>
      <c r="AM950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951" spans="1:39" x14ac:dyDescent="0.35">
      <c r="A951" s="1">
        <v>950</v>
      </c>
      <c r="B951">
        <v>39</v>
      </c>
      <c r="C951" s="1" t="s">
        <v>40</v>
      </c>
      <c r="D951" s="1" t="s">
        <v>34</v>
      </c>
      <c r="E951">
        <v>524</v>
      </c>
      <c r="F951" s="1" t="s">
        <v>42</v>
      </c>
      <c r="G951">
        <v>18</v>
      </c>
      <c r="H951">
        <v>2</v>
      </c>
      <c r="I951" s="1" t="s">
        <v>36</v>
      </c>
      <c r="J951">
        <v>1322</v>
      </c>
      <c r="K951">
        <v>1</v>
      </c>
      <c r="L951" s="1" t="s">
        <v>43</v>
      </c>
      <c r="M951">
        <v>32</v>
      </c>
      <c r="N951">
        <v>3</v>
      </c>
      <c r="O951">
        <v>2</v>
      </c>
      <c r="P951" s="1" t="s">
        <v>50</v>
      </c>
      <c r="Q951">
        <v>3</v>
      </c>
      <c r="R951" s="1" t="s">
        <v>39</v>
      </c>
      <c r="S951">
        <v>4534</v>
      </c>
      <c r="T951">
        <v>13352</v>
      </c>
      <c r="U951">
        <v>0</v>
      </c>
      <c r="V951" s="1" t="s">
        <v>40</v>
      </c>
      <c r="W951">
        <v>11</v>
      </c>
      <c r="X951">
        <v>3</v>
      </c>
      <c r="Y951">
        <v>1</v>
      </c>
      <c r="Z951">
        <v>80</v>
      </c>
      <c r="AA951">
        <v>0</v>
      </c>
      <c r="AB951">
        <v>9</v>
      </c>
      <c r="AC951">
        <v>6</v>
      </c>
      <c r="AD951">
        <v>3</v>
      </c>
      <c r="AE951">
        <v>8</v>
      </c>
      <c r="AF951">
        <v>7</v>
      </c>
      <c r="AG951">
        <v>1</v>
      </c>
      <c r="AH951">
        <v>7</v>
      </c>
      <c r="AI951">
        <f>IF(tbl_HRData[[#This Row],[Attrition]] = "Yes",1,0)</f>
        <v>0</v>
      </c>
      <c r="AJ951">
        <f>IF(tbl_HRData[[#This Row],[Attrition]] = "No",1,0)</f>
        <v>1</v>
      </c>
      <c r="AK951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951" s="1" t="str">
        <f>IF(tbl_HRData[[#This Row],[MonthlyIncome]]&lt;5000,"Low",
IF(tbl_HRData[[#This Row],[MonthlyIncome]]&lt;10000,"Medium",
IF(tbl_HRData[[#This Row],[MonthlyIncome]]&lt;15000,"Upper Medium","High")))</f>
        <v>Low</v>
      </c>
      <c r="AM951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952" spans="1:39" x14ac:dyDescent="0.35">
      <c r="A952" s="1">
        <v>951</v>
      </c>
      <c r="B952">
        <v>31</v>
      </c>
      <c r="C952" s="1" t="s">
        <v>40</v>
      </c>
      <c r="D952" s="1" t="s">
        <v>52</v>
      </c>
      <c r="E952">
        <v>587</v>
      </c>
      <c r="F952" s="1" t="s">
        <v>35</v>
      </c>
      <c r="G952">
        <v>2</v>
      </c>
      <c r="H952">
        <v>4</v>
      </c>
      <c r="I952" s="1" t="s">
        <v>36</v>
      </c>
      <c r="J952">
        <v>1324</v>
      </c>
      <c r="K952">
        <v>4</v>
      </c>
      <c r="L952" s="1" t="s">
        <v>37</v>
      </c>
      <c r="M952">
        <v>57</v>
      </c>
      <c r="N952">
        <v>3</v>
      </c>
      <c r="O952">
        <v>3</v>
      </c>
      <c r="P952" s="1" t="s">
        <v>38</v>
      </c>
      <c r="Q952">
        <v>3</v>
      </c>
      <c r="R952" s="1" t="s">
        <v>49</v>
      </c>
      <c r="S952">
        <v>9852</v>
      </c>
      <c r="T952">
        <v>8935</v>
      </c>
      <c r="U952">
        <v>1</v>
      </c>
      <c r="V952" s="1" t="s">
        <v>33</v>
      </c>
      <c r="W952">
        <v>19</v>
      </c>
      <c r="X952">
        <v>3</v>
      </c>
      <c r="Y952">
        <v>1</v>
      </c>
      <c r="Z952">
        <v>80</v>
      </c>
      <c r="AA952">
        <v>1</v>
      </c>
      <c r="AB952">
        <v>10</v>
      </c>
      <c r="AC952">
        <v>5</v>
      </c>
      <c r="AD952">
        <v>2</v>
      </c>
      <c r="AE952">
        <v>10</v>
      </c>
      <c r="AF952">
        <v>8</v>
      </c>
      <c r="AG952">
        <v>9</v>
      </c>
      <c r="AH952">
        <v>6</v>
      </c>
      <c r="AI952">
        <f>IF(tbl_HRData[[#This Row],[Attrition]] = "Yes",1,0)</f>
        <v>0</v>
      </c>
      <c r="AJ952">
        <f>IF(tbl_HRData[[#This Row],[Attrition]] = "No",1,0)</f>
        <v>1</v>
      </c>
      <c r="AK952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952" s="1" t="str">
        <f>IF(tbl_HRData[[#This Row],[MonthlyIncome]]&lt;5000,"Low",
IF(tbl_HRData[[#This Row],[MonthlyIncome]]&lt;10000,"Medium",
IF(tbl_HRData[[#This Row],[MonthlyIncome]]&lt;15000,"Upper Medium","High")))</f>
        <v>Medium</v>
      </c>
      <c r="AM952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953" spans="1:39" x14ac:dyDescent="0.35">
      <c r="A953" s="1">
        <v>952</v>
      </c>
      <c r="B953">
        <v>41</v>
      </c>
      <c r="C953" s="1" t="s">
        <v>40</v>
      </c>
      <c r="D953" s="1" t="s">
        <v>52</v>
      </c>
      <c r="E953">
        <v>256</v>
      </c>
      <c r="F953" s="1" t="s">
        <v>35</v>
      </c>
      <c r="G953">
        <v>10</v>
      </c>
      <c r="H953">
        <v>2</v>
      </c>
      <c r="I953" s="1" t="s">
        <v>48</v>
      </c>
      <c r="J953">
        <v>1329</v>
      </c>
      <c r="K953">
        <v>3</v>
      </c>
      <c r="L953" s="1" t="s">
        <v>43</v>
      </c>
      <c r="M953">
        <v>40</v>
      </c>
      <c r="N953">
        <v>1</v>
      </c>
      <c r="O953">
        <v>2</v>
      </c>
      <c r="P953" s="1" t="s">
        <v>38</v>
      </c>
      <c r="Q953">
        <v>2</v>
      </c>
      <c r="R953" s="1" t="s">
        <v>39</v>
      </c>
      <c r="S953">
        <v>6151</v>
      </c>
      <c r="T953">
        <v>22074</v>
      </c>
      <c r="U953">
        <v>1</v>
      </c>
      <c r="V953" s="1" t="s">
        <v>40</v>
      </c>
      <c r="W953">
        <v>13</v>
      </c>
      <c r="X953">
        <v>3</v>
      </c>
      <c r="Y953">
        <v>1</v>
      </c>
      <c r="Z953">
        <v>80</v>
      </c>
      <c r="AA953">
        <v>0</v>
      </c>
      <c r="AB953">
        <v>19</v>
      </c>
      <c r="AC953">
        <v>4</v>
      </c>
      <c r="AD953">
        <v>3</v>
      </c>
      <c r="AE953">
        <v>19</v>
      </c>
      <c r="AF953">
        <v>2</v>
      </c>
      <c r="AG953">
        <v>11</v>
      </c>
      <c r="AH953">
        <v>9</v>
      </c>
      <c r="AI953">
        <f>IF(tbl_HRData[[#This Row],[Attrition]] = "Yes",1,0)</f>
        <v>0</v>
      </c>
      <c r="AJ953">
        <f>IF(tbl_HRData[[#This Row],[Attrition]] = "No",1,0)</f>
        <v>1</v>
      </c>
      <c r="AK953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953" s="1" t="str">
        <f>IF(tbl_HRData[[#This Row],[MonthlyIncome]]&lt;5000,"Low",
IF(tbl_HRData[[#This Row],[MonthlyIncome]]&lt;10000,"Medium",
IF(tbl_HRData[[#This Row],[MonthlyIncome]]&lt;15000,"Upper Medium","High")))</f>
        <v>Medium</v>
      </c>
      <c r="AM953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954" spans="1:39" x14ac:dyDescent="0.35">
      <c r="A954" s="1">
        <v>953</v>
      </c>
      <c r="B954">
        <v>31</v>
      </c>
      <c r="C954" s="1" t="s">
        <v>33</v>
      </c>
      <c r="D954" s="1" t="s">
        <v>41</v>
      </c>
      <c r="E954">
        <v>1060</v>
      </c>
      <c r="F954" s="1" t="s">
        <v>35</v>
      </c>
      <c r="G954">
        <v>1</v>
      </c>
      <c r="H954">
        <v>3</v>
      </c>
      <c r="I954" s="1" t="s">
        <v>36</v>
      </c>
      <c r="J954">
        <v>1331</v>
      </c>
      <c r="K954">
        <v>4</v>
      </c>
      <c r="L954" s="1" t="s">
        <v>37</v>
      </c>
      <c r="M954">
        <v>54</v>
      </c>
      <c r="N954">
        <v>3</v>
      </c>
      <c r="O954">
        <v>1</v>
      </c>
      <c r="P954" s="1" t="s">
        <v>54</v>
      </c>
      <c r="Q954">
        <v>2</v>
      </c>
      <c r="R954" s="1" t="s">
        <v>39</v>
      </c>
      <c r="S954">
        <v>2302</v>
      </c>
      <c r="T954">
        <v>8319</v>
      </c>
      <c r="U954">
        <v>1</v>
      </c>
      <c r="V954" s="1" t="s">
        <v>33</v>
      </c>
      <c r="W954">
        <v>11</v>
      </c>
      <c r="X954">
        <v>3</v>
      </c>
      <c r="Y954">
        <v>1</v>
      </c>
      <c r="Z954">
        <v>80</v>
      </c>
      <c r="AA954">
        <v>0</v>
      </c>
      <c r="AB954">
        <v>3</v>
      </c>
      <c r="AC954">
        <v>2</v>
      </c>
      <c r="AD954">
        <v>4</v>
      </c>
      <c r="AE954">
        <v>3</v>
      </c>
      <c r="AF954">
        <v>2</v>
      </c>
      <c r="AG954">
        <v>2</v>
      </c>
      <c r="AH954">
        <v>2</v>
      </c>
      <c r="AI954">
        <f>IF(tbl_HRData[[#This Row],[Attrition]] = "Yes",1,0)</f>
        <v>1</v>
      </c>
      <c r="AJ954">
        <f>IF(tbl_HRData[[#This Row],[Attrition]] = "No",1,0)</f>
        <v>0</v>
      </c>
      <c r="AK954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954" s="1" t="str">
        <f>IF(tbl_HRData[[#This Row],[MonthlyIncome]]&lt;5000,"Low",
IF(tbl_HRData[[#This Row],[MonthlyIncome]]&lt;10000,"Medium",
IF(tbl_HRData[[#This Row],[MonthlyIncome]]&lt;15000,"Upper Medium","High")))</f>
        <v>Low</v>
      </c>
      <c r="AM954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955" spans="1:39" x14ac:dyDescent="0.35">
      <c r="A955" s="1">
        <v>954</v>
      </c>
      <c r="B955">
        <v>44</v>
      </c>
      <c r="C955" s="1" t="s">
        <v>33</v>
      </c>
      <c r="D955" s="1" t="s">
        <v>34</v>
      </c>
      <c r="E955">
        <v>935</v>
      </c>
      <c r="F955" s="1" t="s">
        <v>42</v>
      </c>
      <c r="G955">
        <v>3</v>
      </c>
      <c r="H955">
        <v>3</v>
      </c>
      <c r="I955" s="1" t="s">
        <v>36</v>
      </c>
      <c r="J955">
        <v>1333</v>
      </c>
      <c r="K955">
        <v>1</v>
      </c>
      <c r="L955" s="1" t="s">
        <v>43</v>
      </c>
      <c r="M955">
        <v>89</v>
      </c>
      <c r="N955">
        <v>3</v>
      </c>
      <c r="O955">
        <v>1</v>
      </c>
      <c r="P955" s="1" t="s">
        <v>47</v>
      </c>
      <c r="Q955">
        <v>1</v>
      </c>
      <c r="R955" s="1" t="s">
        <v>45</v>
      </c>
      <c r="S955">
        <v>2362</v>
      </c>
      <c r="T955">
        <v>14669</v>
      </c>
      <c r="U955">
        <v>4</v>
      </c>
      <c r="V955" s="1" t="s">
        <v>40</v>
      </c>
      <c r="W955">
        <v>12</v>
      </c>
      <c r="X955">
        <v>3</v>
      </c>
      <c r="Y955">
        <v>3</v>
      </c>
      <c r="Z955">
        <v>80</v>
      </c>
      <c r="AA955">
        <v>0</v>
      </c>
      <c r="AB955">
        <v>10</v>
      </c>
      <c r="AC955">
        <v>4</v>
      </c>
      <c r="AD955">
        <v>4</v>
      </c>
      <c r="AE955">
        <v>3</v>
      </c>
      <c r="AF955">
        <v>2</v>
      </c>
      <c r="AG955">
        <v>1</v>
      </c>
      <c r="AH955">
        <v>2</v>
      </c>
      <c r="AI955">
        <f>IF(tbl_HRData[[#This Row],[Attrition]] = "Yes",1,0)</f>
        <v>1</v>
      </c>
      <c r="AJ955">
        <f>IF(tbl_HRData[[#This Row],[Attrition]] = "No",1,0)</f>
        <v>0</v>
      </c>
      <c r="AK955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955" s="1" t="str">
        <f>IF(tbl_HRData[[#This Row],[MonthlyIncome]]&lt;5000,"Low",
IF(tbl_HRData[[#This Row],[MonthlyIncome]]&lt;10000,"Medium",
IF(tbl_HRData[[#This Row],[MonthlyIncome]]&lt;15000,"Upper Medium","High")))</f>
        <v>Low</v>
      </c>
      <c r="AM955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956" spans="1:39" x14ac:dyDescent="0.35">
      <c r="A956" s="1">
        <v>955</v>
      </c>
      <c r="B956">
        <v>42</v>
      </c>
      <c r="C956" s="1" t="s">
        <v>40</v>
      </c>
      <c r="D956" s="1" t="s">
        <v>52</v>
      </c>
      <c r="E956">
        <v>495</v>
      </c>
      <c r="F956" s="1" t="s">
        <v>42</v>
      </c>
      <c r="G956">
        <v>2</v>
      </c>
      <c r="H956">
        <v>1</v>
      </c>
      <c r="I956" s="1" t="s">
        <v>36</v>
      </c>
      <c r="J956">
        <v>1334</v>
      </c>
      <c r="K956">
        <v>3</v>
      </c>
      <c r="L956" s="1" t="s">
        <v>43</v>
      </c>
      <c r="M956">
        <v>37</v>
      </c>
      <c r="N956">
        <v>3</v>
      </c>
      <c r="O956">
        <v>4</v>
      </c>
      <c r="P956" s="1" t="s">
        <v>53</v>
      </c>
      <c r="Q956">
        <v>3</v>
      </c>
      <c r="R956" s="1" t="s">
        <v>45</v>
      </c>
      <c r="S956">
        <v>17861</v>
      </c>
      <c r="T956">
        <v>26582</v>
      </c>
      <c r="U956">
        <v>0</v>
      </c>
      <c r="V956" s="1" t="s">
        <v>33</v>
      </c>
      <c r="W956">
        <v>13</v>
      </c>
      <c r="X956">
        <v>3</v>
      </c>
      <c r="Y956">
        <v>4</v>
      </c>
      <c r="Z956">
        <v>80</v>
      </c>
      <c r="AA956">
        <v>0</v>
      </c>
      <c r="AB956">
        <v>21</v>
      </c>
      <c r="AC956">
        <v>3</v>
      </c>
      <c r="AD956">
        <v>2</v>
      </c>
      <c r="AE956">
        <v>20</v>
      </c>
      <c r="AF956">
        <v>8</v>
      </c>
      <c r="AG956">
        <v>2</v>
      </c>
      <c r="AH956">
        <v>10</v>
      </c>
      <c r="AI956">
        <f>IF(tbl_HRData[[#This Row],[Attrition]] = "Yes",1,0)</f>
        <v>0</v>
      </c>
      <c r="AJ956">
        <f>IF(tbl_HRData[[#This Row],[Attrition]] = "No",1,0)</f>
        <v>1</v>
      </c>
      <c r="AK956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956" s="1" t="str">
        <f>IF(tbl_HRData[[#This Row],[MonthlyIncome]]&lt;5000,"Low",
IF(tbl_HRData[[#This Row],[MonthlyIncome]]&lt;10000,"Medium",
IF(tbl_HRData[[#This Row],[MonthlyIncome]]&lt;15000,"Upper Medium","High")))</f>
        <v>High</v>
      </c>
      <c r="AM956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957" spans="1:39" x14ac:dyDescent="0.35">
      <c r="A957" s="1">
        <v>956</v>
      </c>
      <c r="B957">
        <v>55</v>
      </c>
      <c r="C957" s="1" t="s">
        <v>40</v>
      </c>
      <c r="D957" s="1" t="s">
        <v>34</v>
      </c>
      <c r="E957">
        <v>282</v>
      </c>
      <c r="F957" s="1" t="s">
        <v>42</v>
      </c>
      <c r="G957">
        <v>2</v>
      </c>
      <c r="H957">
        <v>2</v>
      </c>
      <c r="I957" s="1" t="s">
        <v>48</v>
      </c>
      <c r="J957">
        <v>1336</v>
      </c>
      <c r="K957">
        <v>4</v>
      </c>
      <c r="L957" s="1" t="s">
        <v>37</v>
      </c>
      <c r="M957">
        <v>58</v>
      </c>
      <c r="N957">
        <v>1</v>
      </c>
      <c r="O957">
        <v>5</v>
      </c>
      <c r="P957" s="1" t="s">
        <v>53</v>
      </c>
      <c r="Q957">
        <v>3</v>
      </c>
      <c r="R957" s="1" t="s">
        <v>45</v>
      </c>
      <c r="S957">
        <v>19187</v>
      </c>
      <c r="T957">
        <v>6992</v>
      </c>
      <c r="U957">
        <v>4</v>
      </c>
      <c r="V957" s="1" t="s">
        <v>40</v>
      </c>
      <c r="W957">
        <v>14</v>
      </c>
      <c r="X957">
        <v>3</v>
      </c>
      <c r="Y957">
        <v>4</v>
      </c>
      <c r="Z957">
        <v>80</v>
      </c>
      <c r="AA957">
        <v>1</v>
      </c>
      <c r="AB957">
        <v>23</v>
      </c>
      <c r="AC957">
        <v>5</v>
      </c>
      <c r="AD957">
        <v>3</v>
      </c>
      <c r="AE957">
        <v>19</v>
      </c>
      <c r="AF957">
        <v>9</v>
      </c>
      <c r="AG957">
        <v>9</v>
      </c>
      <c r="AH957">
        <v>11</v>
      </c>
      <c r="AI957">
        <f>IF(tbl_HRData[[#This Row],[Attrition]] = "Yes",1,0)</f>
        <v>0</v>
      </c>
      <c r="AJ957">
        <f>IF(tbl_HRData[[#This Row],[Attrition]] = "No",1,0)</f>
        <v>1</v>
      </c>
      <c r="AK957" t="str">
        <f>IF(tbl_HRData[[#This Row],[Age]] &lt; 25, "Under 25", IF(tbl_HRData[[#This Row],[Age]] &lt;= 34, "25-34", IF(tbl_HRData[[#This Row],[Age]] &lt;= 44, "35-44", IF(tbl_HRData[[#This Row],[Age]] &lt;= 54, "45-54", "55+"))))</f>
        <v>55+</v>
      </c>
      <c r="AL957" s="1" t="str">
        <f>IF(tbl_HRData[[#This Row],[MonthlyIncome]]&lt;5000,"Low",
IF(tbl_HRData[[#This Row],[MonthlyIncome]]&lt;10000,"Medium",
IF(tbl_HRData[[#This Row],[MonthlyIncome]]&lt;15000,"Upper Medium","High")))</f>
        <v>High</v>
      </c>
      <c r="AM957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958" spans="1:39" x14ac:dyDescent="0.35">
      <c r="A958" s="1">
        <v>957</v>
      </c>
      <c r="B958">
        <v>56</v>
      </c>
      <c r="C958" s="1" t="s">
        <v>40</v>
      </c>
      <c r="D958" s="1" t="s">
        <v>34</v>
      </c>
      <c r="E958">
        <v>206</v>
      </c>
      <c r="F958" s="1" t="s">
        <v>58</v>
      </c>
      <c r="G958">
        <v>8</v>
      </c>
      <c r="H958">
        <v>4</v>
      </c>
      <c r="I958" s="1" t="s">
        <v>36</v>
      </c>
      <c r="J958">
        <v>1338</v>
      </c>
      <c r="K958">
        <v>4</v>
      </c>
      <c r="L958" s="1" t="s">
        <v>43</v>
      </c>
      <c r="M958">
        <v>99</v>
      </c>
      <c r="N958">
        <v>3</v>
      </c>
      <c r="O958">
        <v>5</v>
      </c>
      <c r="P958" s="1" t="s">
        <v>53</v>
      </c>
      <c r="Q958">
        <v>2</v>
      </c>
      <c r="R958" s="1" t="s">
        <v>39</v>
      </c>
      <c r="S958">
        <v>19717</v>
      </c>
      <c r="T958">
        <v>4022</v>
      </c>
      <c r="U958">
        <v>6</v>
      </c>
      <c r="V958" s="1" t="s">
        <v>40</v>
      </c>
      <c r="W958">
        <v>14</v>
      </c>
      <c r="X958">
        <v>3</v>
      </c>
      <c r="Y958">
        <v>1</v>
      </c>
      <c r="Z958">
        <v>80</v>
      </c>
      <c r="AA958">
        <v>0</v>
      </c>
      <c r="AB958">
        <v>36</v>
      </c>
      <c r="AC958">
        <v>4</v>
      </c>
      <c r="AD958">
        <v>3</v>
      </c>
      <c r="AE958">
        <v>7</v>
      </c>
      <c r="AF958">
        <v>3</v>
      </c>
      <c r="AG958">
        <v>7</v>
      </c>
      <c r="AH958">
        <v>7</v>
      </c>
      <c r="AI958">
        <f>IF(tbl_HRData[[#This Row],[Attrition]] = "Yes",1,0)</f>
        <v>0</v>
      </c>
      <c r="AJ958">
        <f>IF(tbl_HRData[[#This Row],[Attrition]] = "No",1,0)</f>
        <v>1</v>
      </c>
      <c r="AK958" t="str">
        <f>IF(tbl_HRData[[#This Row],[Age]] &lt; 25, "Under 25", IF(tbl_HRData[[#This Row],[Age]] &lt;= 34, "25-34", IF(tbl_HRData[[#This Row],[Age]] &lt;= 44, "35-44", IF(tbl_HRData[[#This Row],[Age]] &lt;= 54, "45-54", "55+"))))</f>
        <v>55+</v>
      </c>
      <c r="AL958" s="1" t="str">
        <f>IF(tbl_HRData[[#This Row],[MonthlyIncome]]&lt;5000,"Low",
IF(tbl_HRData[[#This Row],[MonthlyIncome]]&lt;10000,"Medium",
IF(tbl_HRData[[#This Row],[MonthlyIncome]]&lt;15000,"Upper Medium","High")))</f>
        <v>High</v>
      </c>
      <c r="AM958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959" spans="1:39" x14ac:dyDescent="0.35">
      <c r="A959" s="1">
        <v>958</v>
      </c>
      <c r="B959">
        <v>40</v>
      </c>
      <c r="C959" s="1" t="s">
        <v>40</v>
      </c>
      <c r="D959" s="1" t="s">
        <v>52</v>
      </c>
      <c r="E959">
        <v>458</v>
      </c>
      <c r="F959" s="1" t="s">
        <v>42</v>
      </c>
      <c r="G959">
        <v>16</v>
      </c>
      <c r="H959">
        <v>2</v>
      </c>
      <c r="I959" s="1" t="s">
        <v>36</v>
      </c>
      <c r="J959">
        <v>1340</v>
      </c>
      <c r="K959">
        <v>3</v>
      </c>
      <c r="L959" s="1" t="s">
        <v>43</v>
      </c>
      <c r="M959">
        <v>74</v>
      </c>
      <c r="N959">
        <v>3</v>
      </c>
      <c r="O959">
        <v>1</v>
      </c>
      <c r="P959" s="1" t="s">
        <v>44</v>
      </c>
      <c r="Q959">
        <v>3</v>
      </c>
      <c r="R959" s="1" t="s">
        <v>49</v>
      </c>
      <c r="S959">
        <v>3544</v>
      </c>
      <c r="T959">
        <v>8532</v>
      </c>
      <c r="U959">
        <v>9</v>
      </c>
      <c r="V959" s="1" t="s">
        <v>40</v>
      </c>
      <c r="W959">
        <v>16</v>
      </c>
      <c r="X959">
        <v>3</v>
      </c>
      <c r="Y959">
        <v>2</v>
      </c>
      <c r="Z959">
        <v>80</v>
      </c>
      <c r="AA959">
        <v>1</v>
      </c>
      <c r="AB959">
        <v>6</v>
      </c>
      <c r="AC959">
        <v>0</v>
      </c>
      <c r="AD959">
        <v>3</v>
      </c>
      <c r="AE959">
        <v>4</v>
      </c>
      <c r="AF959">
        <v>2</v>
      </c>
      <c r="AG959">
        <v>0</v>
      </c>
      <c r="AH959">
        <v>0</v>
      </c>
      <c r="AI959">
        <f>IF(tbl_HRData[[#This Row],[Attrition]] = "Yes",1,0)</f>
        <v>0</v>
      </c>
      <c r="AJ959">
        <f>IF(tbl_HRData[[#This Row],[Attrition]] = "No",1,0)</f>
        <v>1</v>
      </c>
      <c r="AK959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959" s="1" t="str">
        <f>IF(tbl_HRData[[#This Row],[MonthlyIncome]]&lt;5000,"Low",
IF(tbl_HRData[[#This Row],[MonthlyIncome]]&lt;10000,"Medium",
IF(tbl_HRData[[#This Row],[MonthlyIncome]]&lt;15000,"Upper Medium","High")))</f>
        <v>Low</v>
      </c>
      <c r="AM959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960" spans="1:39" x14ac:dyDescent="0.35">
      <c r="A960" s="1">
        <v>959</v>
      </c>
      <c r="B960">
        <v>34</v>
      </c>
      <c r="C960" s="1" t="s">
        <v>40</v>
      </c>
      <c r="D960" s="1" t="s">
        <v>34</v>
      </c>
      <c r="E960">
        <v>943</v>
      </c>
      <c r="F960" s="1" t="s">
        <v>42</v>
      </c>
      <c r="G960">
        <v>9</v>
      </c>
      <c r="H960">
        <v>3</v>
      </c>
      <c r="I960" s="1" t="s">
        <v>36</v>
      </c>
      <c r="J960">
        <v>1344</v>
      </c>
      <c r="K960">
        <v>4</v>
      </c>
      <c r="L960" s="1" t="s">
        <v>43</v>
      </c>
      <c r="M960">
        <v>86</v>
      </c>
      <c r="N960">
        <v>3</v>
      </c>
      <c r="O960">
        <v>3</v>
      </c>
      <c r="P960" s="1" t="s">
        <v>51</v>
      </c>
      <c r="Q960">
        <v>4</v>
      </c>
      <c r="R960" s="1" t="s">
        <v>49</v>
      </c>
      <c r="S960">
        <v>8500</v>
      </c>
      <c r="T960">
        <v>5494</v>
      </c>
      <c r="U960">
        <v>0</v>
      </c>
      <c r="V960" s="1" t="s">
        <v>40</v>
      </c>
      <c r="W960">
        <v>11</v>
      </c>
      <c r="X960">
        <v>3</v>
      </c>
      <c r="Y960">
        <v>4</v>
      </c>
      <c r="Z960">
        <v>80</v>
      </c>
      <c r="AA960">
        <v>1</v>
      </c>
      <c r="AB960">
        <v>10</v>
      </c>
      <c r="AC960">
        <v>0</v>
      </c>
      <c r="AD960">
        <v>2</v>
      </c>
      <c r="AE960">
        <v>9</v>
      </c>
      <c r="AF960">
        <v>7</v>
      </c>
      <c r="AG960">
        <v>1</v>
      </c>
      <c r="AH960">
        <v>6</v>
      </c>
      <c r="AI960">
        <f>IF(tbl_HRData[[#This Row],[Attrition]] = "Yes",1,0)</f>
        <v>0</v>
      </c>
      <c r="AJ960">
        <f>IF(tbl_HRData[[#This Row],[Attrition]] = "No",1,0)</f>
        <v>1</v>
      </c>
      <c r="AK960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960" s="1" t="str">
        <f>IF(tbl_HRData[[#This Row],[MonthlyIncome]]&lt;5000,"Low",
IF(tbl_HRData[[#This Row],[MonthlyIncome]]&lt;10000,"Medium",
IF(tbl_HRData[[#This Row],[MonthlyIncome]]&lt;15000,"Upper Medium","High")))</f>
        <v>Medium</v>
      </c>
      <c r="AM960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961" spans="1:39" x14ac:dyDescent="0.35">
      <c r="A961" s="1">
        <v>960</v>
      </c>
      <c r="B961">
        <v>40</v>
      </c>
      <c r="C961" s="1" t="s">
        <v>40</v>
      </c>
      <c r="D961" s="1" t="s">
        <v>34</v>
      </c>
      <c r="E961">
        <v>523</v>
      </c>
      <c r="F961" s="1" t="s">
        <v>42</v>
      </c>
      <c r="G961">
        <v>2</v>
      </c>
      <c r="H961">
        <v>3</v>
      </c>
      <c r="I961" s="1" t="s">
        <v>36</v>
      </c>
      <c r="J961">
        <v>1346</v>
      </c>
      <c r="K961">
        <v>3</v>
      </c>
      <c r="L961" s="1" t="s">
        <v>43</v>
      </c>
      <c r="M961">
        <v>98</v>
      </c>
      <c r="N961">
        <v>3</v>
      </c>
      <c r="O961">
        <v>2</v>
      </c>
      <c r="P961" s="1" t="s">
        <v>44</v>
      </c>
      <c r="Q961">
        <v>4</v>
      </c>
      <c r="R961" s="1" t="s">
        <v>39</v>
      </c>
      <c r="S961">
        <v>4661</v>
      </c>
      <c r="T961">
        <v>22455</v>
      </c>
      <c r="U961">
        <v>1</v>
      </c>
      <c r="V961" s="1" t="s">
        <v>40</v>
      </c>
      <c r="W961">
        <v>13</v>
      </c>
      <c r="X961">
        <v>3</v>
      </c>
      <c r="Y961">
        <v>3</v>
      </c>
      <c r="Z961">
        <v>80</v>
      </c>
      <c r="AA961">
        <v>0</v>
      </c>
      <c r="AB961">
        <v>9</v>
      </c>
      <c r="AC961">
        <v>4</v>
      </c>
      <c r="AD961">
        <v>3</v>
      </c>
      <c r="AE961">
        <v>9</v>
      </c>
      <c r="AF961">
        <v>8</v>
      </c>
      <c r="AG961">
        <v>8</v>
      </c>
      <c r="AH961">
        <v>8</v>
      </c>
      <c r="AI961">
        <f>IF(tbl_HRData[[#This Row],[Attrition]] = "Yes",1,0)</f>
        <v>0</v>
      </c>
      <c r="AJ961">
        <f>IF(tbl_HRData[[#This Row],[Attrition]] = "No",1,0)</f>
        <v>1</v>
      </c>
      <c r="AK961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961" s="1" t="str">
        <f>IF(tbl_HRData[[#This Row],[MonthlyIncome]]&lt;5000,"Low",
IF(tbl_HRData[[#This Row],[MonthlyIncome]]&lt;10000,"Medium",
IF(tbl_HRData[[#This Row],[MonthlyIncome]]&lt;15000,"Upper Medium","High")))</f>
        <v>Low</v>
      </c>
      <c r="AM961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962" spans="1:39" x14ac:dyDescent="0.35">
      <c r="A962" s="1">
        <v>961</v>
      </c>
      <c r="B962">
        <v>41</v>
      </c>
      <c r="C962" s="1" t="s">
        <v>40</v>
      </c>
      <c r="D962" s="1" t="s">
        <v>41</v>
      </c>
      <c r="E962">
        <v>1018</v>
      </c>
      <c r="F962" s="1" t="s">
        <v>35</v>
      </c>
      <c r="G962">
        <v>1</v>
      </c>
      <c r="H962">
        <v>3</v>
      </c>
      <c r="I962" s="1" t="s">
        <v>56</v>
      </c>
      <c r="J962">
        <v>1349</v>
      </c>
      <c r="K962">
        <v>3</v>
      </c>
      <c r="L962" s="1" t="s">
        <v>37</v>
      </c>
      <c r="M962">
        <v>66</v>
      </c>
      <c r="N962">
        <v>3</v>
      </c>
      <c r="O962">
        <v>2</v>
      </c>
      <c r="P962" s="1" t="s">
        <v>38</v>
      </c>
      <c r="Q962">
        <v>1</v>
      </c>
      <c r="R962" s="1" t="s">
        <v>49</v>
      </c>
      <c r="S962">
        <v>4103</v>
      </c>
      <c r="T962">
        <v>4297</v>
      </c>
      <c r="U962">
        <v>0</v>
      </c>
      <c r="V962" s="1" t="s">
        <v>40</v>
      </c>
      <c r="W962">
        <v>17</v>
      </c>
      <c r="X962">
        <v>3</v>
      </c>
      <c r="Y962">
        <v>4</v>
      </c>
      <c r="Z962">
        <v>80</v>
      </c>
      <c r="AA962">
        <v>1</v>
      </c>
      <c r="AB962">
        <v>10</v>
      </c>
      <c r="AC962">
        <v>2</v>
      </c>
      <c r="AD962">
        <v>3</v>
      </c>
      <c r="AE962">
        <v>9</v>
      </c>
      <c r="AF962">
        <v>3</v>
      </c>
      <c r="AG962">
        <v>1</v>
      </c>
      <c r="AH962">
        <v>7</v>
      </c>
      <c r="AI962">
        <f>IF(tbl_HRData[[#This Row],[Attrition]] = "Yes",1,0)</f>
        <v>0</v>
      </c>
      <c r="AJ962">
        <f>IF(tbl_HRData[[#This Row],[Attrition]] = "No",1,0)</f>
        <v>1</v>
      </c>
      <c r="AK962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962" s="1" t="str">
        <f>IF(tbl_HRData[[#This Row],[MonthlyIncome]]&lt;5000,"Low",
IF(tbl_HRData[[#This Row],[MonthlyIncome]]&lt;10000,"Medium",
IF(tbl_HRData[[#This Row],[MonthlyIncome]]&lt;15000,"Upper Medium","High")))</f>
        <v>Low</v>
      </c>
      <c r="AM962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963" spans="1:39" x14ac:dyDescent="0.35">
      <c r="A963" s="1">
        <v>962</v>
      </c>
      <c r="B963">
        <v>35</v>
      </c>
      <c r="C963" s="1" t="s">
        <v>40</v>
      </c>
      <c r="D963" s="1" t="s">
        <v>41</v>
      </c>
      <c r="E963">
        <v>482</v>
      </c>
      <c r="F963" s="1" t="s">
        <v>42</v>
      </c>
      <c r="G963">
        <v>4</v>
      </c>
      <c r="H963">
        <v>4</v>
      </c>
      <c r="I963" s="1" t="s">
        <v>36</v>
      </c>
      <c r="J963">
        <v>1350</v>
      </c>
      <c r="K963">
        <v>3</v>
      </c>
      <c r="L963" s="1" t="s">
        <v>43</v>
      </c>
      <c r="M963">
        <v>87</v>
      </c>
      <c r="N963">
        <v>3</v>
      </c>
      <c r="O963">
        <v>2</v>
      </c>
      <c r="P963" s="1" t="s">
        <v>44</v>
      </c>
      <c r="Q963">
        <v>3</v>
      </c>
      <c r="R963" s="1" t="s">
        <v>39</v>
      </c>
      <c r="S963">
        <v>4249</v>
      </c>
      <c r="T963">
        <v>2690</v>
      </c>
      <c r="U963">
        <v>1</v>
      </c>
      <c r="V963" s="1" t="s">
        <v>33</v>
      </c>
      <c r="W963">
        <v>11</v>
      </c>
      <c r="X963">
        <v>3</v>
      </c>
      <c r="Y963">
        <v>2</v>
      </c>
      <c r="Z963">
        <v>80</v>
      </c>
      <c r="AA963">
        <v>0</v>
      </c>
      <c r="AB963">
        <v>9</v>
      </c>
      <c r="AC963">
        <v>3</v>
      </c>
      <c r="AD963">
        <v>3</v>
      </c>
      <c r="AE963">
        <v>9</v>
      </c>
      <c r="AF963">
        <v>6</v>
      </c>
      <c r="AG963">
        <v>1</v>
      </c>
      <c r="AH963">
        <v>1</v>
      </c>
      <c r="AI963">
        <f>IF(tbl_HRData[[#This Row],[Attrition]] = "Yes",1,0)</f>
        <v>0</v>
      </c>
      <c r="AJ963">
        <f>IF(tbl_HRData[[#This Row],[Attrition]] = "No",1,0)</f>
        <v>1</v>
      </c>
      <c r="AK963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963" s="1" t="str">
        <f>IF(tbl_HRData[[#This Row],[MonthlyIncome]]&lt;5000,"Low",
IF(tbl_HRData[[#This Row],[MonthlyIncome]]&lt;10000,"Medium",
IF(tbl_HRData[[#This Row],[MonthlyIncome]]&lt;15000,"Upper Medium","High")))</f>
        <v>Low</v>
      </c>
      <c r="AM963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964" spans="1:39" x14ac:dyDescent="0.35">
      <c r="A964" s="1">
        <v>963</v>
      </c>
      <c r="B964">
        <v>51</v>
      </c>
      <c r="C964" s="1" t="s">
        <v>40</v>
      </c>
      <c r="D964" s="1" t="s">
        <v>34</v>
      </c>
      <c r="E964">
        <v>770</v>
      </c>
      <c r="F964" s="1" t="s">
        <v>58</v>
      </c>
      <c r="G964">
        <v>5</v>
      </c>
      <c r="H964">
        <v>3</v>
      </c>
      <c r="I964" s="1" t="s">
        <v>36</v>
      </c>
      <c r="J964">
        <v>1352</v>
      </c>
      <c r="K964">
        <v>3</v>
      </c>
      <c r="L964" s="1" t="s">
        <v>43</v>
      </c>
      <c r="M964">
        <v>84</v>
      </c>
      <c r="N964">
        <v>3</v>
      </c>
      <c r="O964">
        <v>4</v>
      </c>
      <c r="P964" s="1" t="s">
        <v>53</v>
      </c>
      <c r="Q964">
        <v>2</v>
      </c>
      <c r="R964" s="1" t="s">
        <v>49</v>
      </c>
      <c r="S964">
        <v>14026</v>
      </c>
      <c r="T964">
        <v>17588</v>
      </c>
      <c r="U964">
        <v>1</v>
      </c>
      <c r="V964" s="1" t="s">
        <v>33</v>
      </c>
      <c r="W964">
        <v>11</v>
      </c>
      <c r="X964">
        <v>3</v>
      </c>
      <c r="Y964">
        <v>2</v>
      </c>
      <c r="Z964">
        <v>80</v>
      </c>
      <c r="AA964">
        <v>1</v>
      </c>
      <c r="AB964">
        <v>33</v>
      </c>
      <c r="AC964">
        <v>2</v>
      </c>
      <c r="AD964">
        <v>3</v>
      </c>
      <c r="AE964">
        <v>33</v>
      </c>
      <c r="AF964">
        <v>9</v>
      </c>
      <c r="AG964">
        <v>0</v>
      </c>
      <c r="AH964">
        <v>10</v>
      </c>
      <c r="AI964">
        <f>IF(tbl_HRData[[#This Row],[Attrition]] = "Yes",1,0)</f>
        <v>0</v>
      </c>
      <c r="AJ964">
        <f>IF(tbl_HRData[[#This Row],[Attrition]] = "No",1,0)</f>
        <v>1</v>
      </c>
      <c r="AK964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964" s="1" t="str">
        <f>IF(tbl_HRData[[#This Row],[MonthlyIncome]]&lt;5000,"Low",
IF(tbl_HRData[[#This Row],[MonthlyIncome]]&lt;10000,"Medium",
IF(tbl_HRData[[#This Row],[MonthlyIncome]]&lt;15000,"Upper Medium","High")))</f>
        <v>Upper Medium</v>
      </c>
      <c r="AM964" s="1" t="str">
        <f>IF(tbl_HRData[[#This Row],[YearsAtCompany]]&lt;=5,"0-5 Years",
IF(tbl_HRData[[#This Row],[YearsAtCompany]]&lt;=10,"6-10 Years",
IF(tbl_HRData[[#This Row],[YearsAtCompany]]&lt;=20,"11-20 Years","21+ Years")))</f>
        <v>21+ Years</v>
      </c>
    </row>
    <row r="965" spans="1:39" x14ac:dyDescent="0.35">
      <c r="A965" s="1">
        <v>964</v>
      </c>
      <c r="B965">
        <v>38</v>
      </c>
      <c r="C965" s="1" t="s">
        <v>40</v>
      </c>
      <c r="D965" s="1" t="s">
        <v>34</v>
      </c>
      <c r="E965">
        <v>1009</v>
      </c>
      <c r="F965" s="1" t="s">
        <v>35</v>
      </c>
      <c r="G965">
        <v>2</v>
      </c>
      <c r="H965">
        <v>2</v>
      </c>
      <c r="I965" s="1" t="s">
        <v>36</v>
      </c>
      <c r="J965">
        <v>1355</v>
      </c>
      <c r="K965">
        <v>2</v>
      </c>
      <c r="L965" s="1" t="s">
        <v>37</v>
      </c>
      <c r="M965">
        <v>31</v>
      </c>
      <c r="N965">
        <v>3</v>
      </c>
      <c r="O965">
        <v>2</v>
      </c>
      <c r="P965" s="1" t="s">
        <v>38</v>
      </c>
      <c r="Q965">
        <v>1</v>
      </c>
      <c r="R965" s="1" t="s">
        <v>49</v>
      </c>
      <c r="S965">
        <v>6893</v>
      </c>
      <c r="T965">
        <v>19461</v>
      </c>
      <c r="U965">
        <v>3</v>
      </c>
      <c r="V965" s="1" t="s">
        <v>40</v>
      </c>
      <c r="W965">
        <v>15</v>
      </c>
      <c r="X965">
        <v>3</v>
      </c>
      <c r="Y965">
        <v>4</v>
      </c>
      <c r="Z965">
        <v>80</v>
      </c>
      <c r="AA965">
        <v>1</v>
      </c>
      <c r="AB965">
        <v>11</v>
      </c>
      <c r="AC965">
        <v>3</v>
      </c>
      <c r="AD965">
        <v>3</v>
      </c>
      <c r="AE965">
        <v>7</v>
      </c>
      <c r="AF965">
        <v>7</v>
      </c>
      <c r="AG965">
        <v>1</v>
      </c>
      <c r="AH965">
        <v>7</v>
      </c>
      <c r="AI965">
        <f>IF(tbl_HRData[[#This Row],[Attrition]] = "Yes",1,0)</f>
        <v>0</v>
      </c>
      <c r="AJ965">
        <f>IF(tbl_HRData[[#This Row],[Attrition]] = "No",1,0)</f>
        <v>1</v>
      </c>
      <c r="AK965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965" s="1" t="str">
        <f>IF(tbl_HRData[[#This Row],[MonthlyIncome]]&lt;5000,"Low",
IF(tbl_HRData[[#This Row],[MonthlyIncome]]&lt;10000,"Medium",
IF(tbl_HRData[[#This Row],[MonthlyIncome]]&lt;15000,"Upper Medium","High")))</f>
        <v>Medium</v>
      </c>
      <c r="AM965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966" spans="1:39" x14ac:dyDescent="0.35">
      <c r="A966" s="1">
        <v>965</v>
      </c>
      <c r="B966">
        <v>34</v>
      </c>
      <c r="C966" s="1" t="s">
        <v>40</v>
      </c>
      <c r="D966" s="1" t="s">
        <v>34</v>
      </c>
      <c r="E966">
        <v>507</v>
      </c>
      <c r="F966" s="1" t="s">
        <v>35</v>
      </c>
      <c r="G966">
        <v>15</v>
      </c>
      <c r="H966">
        <v>2</v>
      </c>
      <c r="I966" s="1" t="s">
        <v>48</v>
      </c>
      <c r="J966">
        <v>1356</v>
      </c>
      <c r="K966">
        <v>3</v>
      </c>
      <c r="L966" s="1" t="s">
        <v>37</v>
      </c>
      <c r="M966">
        <v>66</v>
      </c>
      <c r="N966">
        <v>3</v>
      </c>
      <c r="O966">
        <v>2</v>
      </c>
      <c r="P966" s="1" t="s">
        <v>38</v>
      </c>
      <c r="Q966">
        <v>1</v>
      </c>
      <c r="R966" s="1" t="s">
        <v>39</v>
      </c>
      <c r="S966">
        <v>6125</v>
      </c>
      <c r="T966">
        <v>23553</v>
      </c>
      <c r="U966">
        <v>1</v>
      </c>
      <c r="V966" s="1" t="s">
        <v>40</v>
      </c>
      <c r="W966">
        <v>12</v>
      </c>
      <c r="X966">
        <v>3</v>
      </c>
      <c r="Y966">
        <v>4</v>
      </c>
      <c r="Z966">
        <v>80</v>
      </c>
      <c r="AA966">
        <v>0</v>
      </c>
      <c r="AB966">
        <v>10</v>
      </c>
      <c r="AC966">
        <v>6</v>
      </c>
      <c r="AD966">
        <v>4</v>
      </c>
      <c r="AE966">
        <v>10</v>
      </c>
      <c r="AF966">
        <v>8</v>
      </c>
      <c r="AG966">
        <v>9</v>
      </c>
      <c r="AH966">
        <v>6</v>
      </c>
      <c r="AI966">
        <f>IF(tbl_HRData[[#This Row],[Attrition]] = "Yes",1,0)</f>
        <v>0</v>
      </c>
      <c r="AJ966">
        <f>IF(tbl_HRData[[#This Row],[Attrition]] = "No",1,0)</f>
        <v>1</v>
      </c>
      <c r="AK966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966" s="1" t="str">
        <f>IF(tbl_HRData[[#This Row],[MonthlyIncome]]&lt;5000,"Low",
IF(tbl_HRData[[#This Row],[MonthlyIncome]]&lt;10000,"Medium",
IF(tbl_HRData[[#This Row],[MonthlyIncome]]&lt;15000,"Upper Medium","High")))</f>
        <v>Medium</v>
      </c>
      <c r="AM966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967" spans="1:39" x14ac:dyDescent="0.35">
      <c r="A967" s="1">
        <v>966</v>
      </c>
      <c r="B967">
        <v>25</v>
      </c>
      <c r="C967" s="1" t="s">
        <v>40</v>
      </c>
      <c r="D967" s="1" t="s">
        <v>34</v>
      </c>
      <c r="E967">
        <v>882</v>
      </c>
      <c r="F967" s="1" t="s">
        <v>42</v>
      </c>
      <c r="G967">
        <v>19</v>
      </c>
      <c r="H967">
        <v>1</v>
      </c>
      <c r="I967" s="1" t="s">
        <v>48</v>
      </c>
      <c r="J967">
        <v>1358</v>
      </c>
      <c r="K967">
        <v>4</v>
      </c>
      <c r="L967" s="1" t="s">
        <v>43</v>
      </c>
      <c r="M967">
        <v>67</v>
      </c>
      <c r="N967">
        <v>3</v>
      </c>
      <c r="O967">
        <v>1</v>
      </c>
      <c r="P967" s="1" t="s">
        <v>47</v>
      </c>
      <c r="Q967">
        <v>4</v>
      </c>
      <c r="R967" s="1" t="s">
        <v>45</v>
      </c>
      <c r="S967">
        <v>3669</v>
      </c>
      <c r="T967">
        <v>9075</v>
      </c>
      <c r="U967">
        <v>3</v>
      </c>
      <c r="V967" s="1" t="s">
        <v>40</v>
      </c>
      <c r="W967">
        <v>11</v>
      </c>
      <c r="X967">
        <v>3</v>
      </c>
      <c r="Y967">
        <v>3</v>
      </c>
      <c r="Z967">
        <v>80</v>
      </c>
      <c r="AA967">
        <v>3</v>
      </c>
      <c r="AB967">
        <v>7</v>
      </c>
      <c r="AC967">
        <v>6</v>
      </c>
      <c r="AD967">
        <v>2</v>
      </c>
      <c r="AE967">
        <v>3</v>
      </c>
      <c r="AF967">
        <v>2</v>
      </c>
      <c r="AG967">
        <v>1</v>
      </c>
      <c r="AH967">
        <v>2</v>
      </c>
      <c r="AI967">
        <f>IF(tbl_HRData[[#This Row],[Attrition]] = "Yes",1,0)</f>
        <v>0</v>
      </c>
      <c r="AJ967">
        <f>IF(tbl_HRData[[#This Row],[Attrition]] = "No",1,0)</f>
        <v>1</v>
      </c>
      <c r="AK967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967" s="1" t="str">
        <f>IF(tbl_HRData[[#This Row],[MonthlyIncome]]&lt;5000,"Low",
IF(tbl_HRData[[#This Row],[MonthlyIncome]]&lt;10000,"Medium",
IF(tbl_HRData[[#This Row],[MonthlyIncome]]&lt;15000,"Upper Medium","High")))</f>
        <v>Low</v>
      </c>
      <c r="AM967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968" spans="1:39" x14ac:dyDescent="0.35">
      <c r="A968" s="1">
        <v>967</v>
      </c>
      <c r="B968">
        <v>58</v>
      </c>
      <c r="C968" s="1" t="s">
        <v>33</v>
      </c>
      <c r="D968" s="1" t="s">
        <v>34</v>
      </c>
      <c r="E968">
        <v>601</v>
      </c>
      <c r="F968" s="1" t="s">
        <v>42</v>
      </c>
      <c r="G968">
        <v>7</v>
      </c>
      <c r="H968">
        <v>4</v>
      </c>
      <c r="I968" s="1" t="s">
        <v>48</v>
      </c>
      <c r="J968">
        <v>1360</v>
      </c>
      <c r="K968">
        <v>3</v>
      </c>
      <c r="L968" s="1" t="s">
        <v>37</v>
      </c>
      <c r="M968">
        <v>53</v>
      </c>
      <c r="N968">
        <v>2</v>
      </c>
      <c r="O968">
        <v>3</v>
      </c>
      <c r="P968" s="1" t="s">
        <v>50</v>
      </c>
      <c r="Q968">
        <v>1</v>
      </c>
      <c r="R968" s="1" t="s">
        <v>45</v>
      </c>
      <c r="S968">
        <v>10008</v>
      </c>
      <c r="T968">
        <v>12023</v>
      </c>
      <c r="U968">
        <v>7</v>
      </c>
      <c r="V968" s="1" t="s">
        <v>33</v>
      </c>
      <c r="W968">
        <v>14</v>
      </c>
      <c r="X968">
        <v>3</v>
      </c>
      <c r="Y968">
        <v>4</v>
      </c>
      <c r="Z968">
        <v>80</v>
      </c>
      <c r="AA968">
        <v>0</v>
      </c>
      <c r="AB968">
        <v>31</v>
      </c>
      <c r="AC968">
        <v>0</v>
      </c>
      <c r="AD968">
        <v>2</v>
      </c>
      <c r="AE968">
        <v>10</v>
      </c>
      <c r="AF968">
        <v>9</v>
      </c>
      <c r="AG968">
        <v>5</v>
      </c>
      <c r="AH968">
        <v>9</v>
      </c>
      <c r="AI968">
        <f>IF(tbl_HRData[[#This Row],[Attrition]] = "Yes",1,0)</f>
        <v>1</v>
      </c>
      <c r="AJ968">
        <f>IF(tbl_HRData[[#This Row],[Attrition]] = "No",1,0)</f>
        <v>0</v>
      </c>
      <c r="AK968" t="str">
        <f>IF(tbl_HRData[[#This Row],[Age]] &lt; 25, "Under 25", IF(tbl_HRData[[#This Row],[Age]] &lt;= 34, "25-34", IF(tbl_HRData[[#This Row],[Age]] &lt;= 44, "35-44", IF(tbl_HRData[[#This Row],[Age]] &lt;= 54, "45-54", "55+"))))</f>
        <v>55+</v>
      </c>
      <c r="AL968" s="1" t="str">
        <f>IF(tbl_HRData[[#This Row],[MonthlyIncome]]&lt;5000,"Low",
IF(tbl_HRData[[#This Row],[MonthlyIncome]]&lt;10000,"Medium",
IF(tbl_HRData[[#This Row],[MonthlyIncome]]&lt;15000,"Upper Medium","High")))</f>
        <v>Upper Medium</v>
      </c>
      <c r="AM968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969" spans="1:39" x14ac:dyDescent="0.35">
      <c r="A969" s="1">
        <v>968</v>
      </c>
      <c r="B969">
        <v>40</v>
      </c>
      <c r="C969" s="1" t="s">
        <v>40</v>
      </c>
      <c r="D969" s="1" t="s">
        <v>34</v>
      </c>
      <c r="E969">
        <v>329</v>
      </c>
      <c r="F969" s="1" t="s">
        <v>42</v>
      </c>
      <c r="G969">
        <v>1</v>
      </c>
      <c r="H969">
        <v>4</v>
      </c>
      <c r="I969" s="1" t="s">
        <v>36</v>
      </c>
      <c r="J969">
        <v>1361</v>
      </c>
      <c r="K969">
        <v>2</v>
      </c>
      <c r="L969" s="1" t="s">
        <v>43</v>
      </c>
      <c r="M969">
        <v>88</v>
      </c>
      <c r="N969">
        <v>3</v>
      </c>
      <c r="O969">
        <v>1</v>
      </c>
      <c r="P969" s="1" t="s">
        <v>47</v>
      </c>
      <c r="Q969">
        <v>2</v>
      </c>
      <c r="R969" s="1" t="s">
        <v>45</v>
      </c>
      <c r="S969">
        <v>2387</v>
      </c>
      <c r="T969">
        <v>6762</v>
      </c>
      <c r="U969">
        <v>3</v>
      </c>
      <c r="V969" s="1" t="s">
        <v>40</v>
      </c>
      <c r="W969">
        <v>22</v>
      </c>
      <c r="X969">
        <v>4</v>
      </c>
      <c r="Y969">
        <v>3</v>
      </c>
      <c r="Z969">
        <v>80</v>
      </c>
      <c r="AA969">
        <v>1</v>
      </c>
      <c r="AB969">
        <v>7</v>
      </c>
      <c r="AC969">
        <v>3</v>
      </c>
      <c r="AD969">
        <v>3</v>
      </c>
      <c r="AE969">
        <v>4</v>
      </c>
      <c r="AF969">
        <v>2</v>
      </c>
      <c r="AG969">
        <v>0</v>
      </c>
      <c r="AH969">
        <v>3</v>
      </c>
      <c r="AI969">
        <f>IF(tbl_HRData[[#This Row],[Attrition]] = "Yes",1,0)</f>
        <v>0</v>
      </c>
      <c r="AJ969">
        <f>IF(tbl_HRData[[#This Row],[Attrition]] = "No",1,0)</f>
        <v>1</v>
      </c>
      <c r="AK969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969" s="1" t="str">
        <f>IF(tbl_HRData[[#This Row],[MonthlyIncome]]&lt;5000,"Low",
IF(tbl_HRData[[#This Row],[MonthlyIncome]]&lt;10000,"Medium",
IF(tbl_HRData[[#This Row],[MonthlyIncome]]&lt;15000,"Upper Medium","High")))</f>
        <v>Low</v>
      </c>
      <c r="AM969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970" spans="1:39" x14ac:dyDescent="0.35">
      <c r="A970" s="1">
        <v>969</v>
      </c>
      <c r="B970">
        <v>36</v>
      </c>
      <c r="C970" s="1" t="s">
        <v>40</v>
      </c>
      <c r="D970" s="1" t="s">
        <v>41</v>
      </c>
      <c r="E970">
        <v>607</v>
      </c>
      <c r="F970" s="1" t="s">
        <v>35</v>
      </c>
      <c r="G970">
        <v>7</v>
      </c>
      <c r="H970">
        <v>3</v>
      </c>
      <c r="I970" s="1" t="s">
        <v>56</v>
      </c>
      <c r="J970">
        <v>1362</v>
      </c>
      <c r="K970">
        <v>1</v>
      </c>
      <c r="L970" s="1" t="s">
        <v>37</v>
      </c>
      <c r="M970">
        <v>83</v>
      </c>
      <c r="N970">
        <v>4</v>
      </c>
      <c r="O970">
        <v>2</v>
      </c>
      <c r="P970" s="1" t="s">
        <v>38</v>
      </c>
      <c r="Q970">
        <v>1</v>
      </c>
      <c r="R970" s="1" t="s">
        <v>45</v>
      </c>
      <c r="S970">
        <v>4639</v>
      </c>
      <c r="T970">
        <v>2261</v>
      </c>
      <c r="U970">
        <v>2</v>
      </c>
      <c r="V970" s="1" t="s">
        <v>40</v>
      </c>
      <c r="W970">
        <v>16</v>
      </c>
      <c r="X970">
        <v>3</v>
      </c>
      <c r="Y970">
        <v>4</v>
      </c>
      <c r="Z970">
        <v>80</v>
      </c>
      <c r="AA970">
        <v>1</v>
      </c>
      <c r="AB970">
        <v>17</v>
      </c>
      <c r="AC970">
        <v>2</v>
      </c>
      <c r="AD970">
        <v>2</v>
      </c>
      <c r="AE970">
        <v>15</v>
      </c>
      <c r="AF970">
        <v>7</v>
      </c>
      <c r="AG970">
        <v>6</v>
      </c>
      <c r="AH970">
        <v>13</v>
      </c>
      <c r="AI970">
        <f>IF(tbl_HRData[[#This Row],[Attrition]] = "Yes",1,0)</f>
        <v>0</v>
      </c>
      <c r="AJ970">
        <f>IF(tbl_HRData[[#This Row],[Attrition]] = "No",1,0)</f>
        <v>1</v>
      </c>
      <c r="AK970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970" s="1" t="str">
        <f>IF(tbl_HRData[[#This Row],[MonthlyIncome]]&lt;5000,"Low",
IF(tbl_HRData[[#This Row],[MonthlyIncome]]&lt;10000,"Medium",
IF(tbl_HRData[[#This Row],[MonthlyIncome]]&lt;15000,"Upper Medium","High")))</f>
        <v>Low</v>
      </c>
      <c r="AM970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971" spans="1:39" x14ac:dyDescent="0.35">
      <c r="A971" s="1">
        <v>970</v>
      </c>
      <c r="B971">
        <v>48</v>
      </c>
      <c r="C971" s="1" t="s">
        <v>40</v>
      </c>
      <c r="D971" s="1" t="s">
        <v>34</v>
      </c>
      <c r="E971">
        <v>855</v>
      </c>
      <c r="F971" s="1" t="s">
        <v>42</v>
      </c>
      <c r="G971">
        <v>4</v>
      </c>
      <c r="H971">
        <v>3</v>
      </c>
      <c r="I971" s="1" t="s">
        <v>36</v>
      </c>
      <c r="J971">
        <v>1363</v>
      </c>
      <c r="K971">
        <v>4</v>
      </c>
      <c r="L971" s="1" t="s">
        <v>43</v>
      </c>
      <c r="M971">
        <v>54</v>
      </c>
      <c r="N971">
        <v>3</v>
      </c>
      <c r="O971">
        <v>3</v>
      </c>
      <c r="P971" s="1" t="s">
        <v>50</v>
      </c>
      <c r="Q971">
        <v>4</v>
      </c>
      <c r="R971" s="1" t="s">
        <v>39</v>
      </c>
      <c r="S971">
        <v>7898</v>
      </c>
      <c r="T971">
        <v>18706</v>
      </c>
      <c r="U971">
        <v>1</v>
      </c>
      <c r="V971" s="1" t="s">
        <v>40</v>
      </c>
      <c r="W971">
        <v>11</v>
      </c>
      <c r="X971">
        <v>3</v>
      </c>
      <c r="Y971">
        <v>3</v>
      </c>
      <c r="Z971">
        <v>80</v>
      </c>
      <c r="AA971">
        <v>0</v>
      </c>
      <c r="AB971">
        <v>11</v>
      </c>
      <c r="AC971">
        <v>2</v>
      </c>
      <c r="AD971">
        <v>3</v>
      </c>
      <c r="AE971">
        <v>10</v>
      </c>
      <c r="AF971">
        <v>9</v>
      </c>
      <c r="AG971">
        <v>0</v>
      </c>
      <c r="AH971">
        <v>8</v>
      </c>
      <c r="AI971">
        <f>IF(tbl_HRData[[#This Row],[Attrition]] = "Yes",1,0)</f>
        <v>0</v>
      </c>
      <c r="AJ971">
        <f>IF(tbl_HRData[[#This Row],[Attrition]] = "No",1,0)</f>
        <v>1</v>
      </c>
      <c r="AK971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971" s="1" t="str">
        <f>IF(tbl_HRData[[#This Row],[MonthlyIncome]]&lt;5000,"Low",
IF(tbl_HRData[[#This Row],[MonthlyIncome]]&lt;10000,"Medium",
IF(tbl_HRData[[#This Row],[MonthlyIncome]]&lt;15000,"Upper Medium","High")))</f>
        <v>Medium</v>
      </c>
      <c r="AM971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972" spans="1:39" x14ac:dyDescent="0.35">
      <c r="A972" s="1">
        <v>971</v>
      </c>
      <c r="B972">
        <v>27</v>
      </c>
      <c r="C972" s="1" t="s">
        <v>40</v>
      </c>
      <c r="D972" s="1" t="s">
        <v>34</v>
      </c>
      <c r="E972">
        <v>1291</v>
      </c>
      <c r="F972" s="1" t="s">
        <v>35</v>
      </c>
      <c r="G972">
        <v>11</v>
      </c>
      <c r="H972">
        <v>3</v>
      </c>
      <c r="I972" s="1" t="s">
        <v>48</v>
      </c>
      <c r="J972">
        <v>1364</v>
      </c>
      <c r="K972">
        <v>3</v>
      </c>
      <c r="L972" s="1" t="s">
        <v>37</v>
      </c>
      <c r="M972">
        <v>98</v>
      </c>
      <c r="N972">
        <v>4</v>
      </c>
      <c r="O972">
        <v>1</v>
      </c>
      <c r="P972" s="1" t="s">
        <v>54</v>
      </c>
      <c r="Q972">
        <v>4</v>
      </c>
      <c r="R972" s="1" t="s">
        <v>45</v>
      </c>
      <c r="S972">
        <v>2534</v>
      </c>
      <c r="T972">
        <v>6527</v>
      </c>
      <c r="U972">
        <v>8</v>
      </c>
      <c r="V972" s="1" t="s">
        <v>40</v>
      </c>
      <c r="W972">
        <v>14</v>
      </c>
      <c r="X972">
        <v>3</v>
      </c>
      <c r="Y972">
        <v>2</v>
      </c>
      <c r="Z972">
        <v>80</v>
      </c>
      <c r="AA972">
        <v>1</v>
      </c>
      <c r="AB972">
        <v>5</v>
      </c>
      <c r="AC972">
        <v>4</v>
      </c>
      <c r="AD972">
        <v>3</v>
      </c>
      <c r="AE972">
        <v>1</v>
      </c>
      <c r="AF972">
        <v>0</v>
      </c>
      <c r="AG972">
        <v>0</v>
      </c>
      <c r="AH972">
        <v>0</v>
      </c>
      <c r="AI972">
        <f>IF(tbl_HRData[[#This Row],[Attrition]] = "Yes",1,0)</f>
        <v>0</v>
      </c>
      <c r="AJ972">
        <f>IF(tbl_HRData[[#This Row],[Attrition]] = "No",1,0)</f>
        <v>1</v>
      </c>
      <c r="AK972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972" s="1" t="str">
        <f>IF(tbl_HRData[[#This Row],[MonthlyIncome]]&lt;5000,"Low",
IF(tbl_HRData[[#This Row],[MonthlyIncome]]&lt;10000,"Medium",
IF(tbl_HRData[[#This Row],[MonthlyIncome]]&lt;15000,"Upper Medium","High")))</f>
        <v>Low</v>
      </c>
      <c r="AM972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973" spans="1:39" x14ac:dyDescent="0.35">
      <c r="A973" s="1">
        <v>972</v>
      </c>
      <c r="B973">
        <v>51</v>
      </c>
      <c r="C973" s="1" t="s">
        <v>40</v>
      </c>
      <c r="D973" s="1" t="s">
        <v>34</v>
      </c>
      <c r="E973">
        <v>1405</v>
      </c>
      <c r="F973" s="1" t="s">
        <v>42</v>
      </c>
      <c r="G973">
        <v>11</v>
      </c>
      <c r="H973">
        <v>2</v>
      </c>
      <c r="I973" s="1" t="s">
        <v>57</v>
      </c>
      <c r="J973">
        <v>1367</v>
      </c>
      <c r="K973">
        <v>4</v>
      </c>
      <c r="L973" s="1" t="s">
        <v>37</v>
      </c>
      <c r="M973">
        <v>82</v>
      </c>
      <c r="N973">
        <v>2</v>
      </c>
      <c r="O973">
        <v>4</v>
      </c>
      <c r="P973" s="1" t="s">
        <v>50</v>
      </c>
      <c r="Q973">
        <v>2</v>
      </c>
      <c r="R973" s="1" t="s">
        <v>39</v>
      </c>
      <c r="S973">
        <v>13142</v>
      </c>
      <c r="T973">
        <v>24439</v>
      </c>
      <c r="U973">
        <v>3</v>
      </c>
      <c r="V973" s="1" t="s">
        <v>40</v>
      </c>
      <c r="W973">
        <v>16</v>
      </c>
      <c r="X973">
        <v>3</v>
      </c>
      <c r="Y973">
        <v>2</v>
      </c>
      <c r="Z973">
        <v>80</v>
      </c>
      <c r="AA973">
        <v>0</v>
      </c>
      <c r="AB973">
        <v>29</v>
      </c>
      <c r="AC973">
        <v>1</v>
      </c>
      <c r="AD973">
        <v>2</v>
      </c>
      <c r="AE973">
        <v>5</v>
      </c>
      <c r="AF973">
        <v>2</v>
      </c>
      <c r="AG973">
        <v>0</v>
      </c>
      <c r="AH973">
        <v>3</v>
      </c>
      <c r="AI973">
        <f>IF(tbl_HRData[[#This Row],[Attrition]] = "Yes",1,0)</f>
        <v>0</v>
      </c>
      <c r="AJ973">
        <f>IF(tbl_HRData[[#This Row],[Attrition]] = "No",1,0)</f>
        <v>1</v>
      </c>
      <c r="AK973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973" s="1" t="str">
        <f>IF(tbl_HRData[[#This Row],[MonthlyIncome]]&lt;5000,"Low",
IF(tbl_HRData[[#This Row],[MonthlyIncome]]&lt;10000,"Medium",
IF(tbl_HRData[[#This Row],[MonthlyIncome]]&lt;15000,"Upper Medium","High")))</f>
        <v>Upper Medium</v>
      </c>
      <c r="AM973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974" spans="1:39" x14ac:dyDescent="0.35">
      <c r="A974" s="1">
        <v>973</v>
      </c>
      <c r="B974">
        <v>18</v>
      </c>
      <c r="C974" s="1" t="s">
        <v>40</v>
      </c>
      <c r="D974" s="1" t="s">
        <v>52</v>
      </c>
      <c r="E974">
        <v>1124</v>
      </c>
      <c r="F974" s="1" t="s">
        <v>42</v>
      </c>
      <c r="G974">
        <v>1</v>
      </c>
      <c r="H974">
        <v>3</v>
      </c>
      <c r="I974" s="1" t="s">
        <v>36</v>
      </c>
      <c r="J974">
        <v>1368</v>
      </c>
      <c r="K974">
        <v>4</v>
      </c>
      <c r="L974" s="1" t="s">
        <v>37</v>
      </c>
      <c r="M974">
        <v>97</v>
      </c>
      <c r="N974">
        <v>3</v>
      </c>
      <c r="O974">
        <v>1</v>
      </c>
      <c r="P974" s="1" t="s">
        <v>47</v>
      </c>
      <c r="Q974">
        <v>4</v>
      </c>
      <c r="R974" s="1" t="s">
        <v>39</v>
      </c>
      <c r="S974">
        <v>1611</v>
      </c>
      <c r="T974">
        <v>19305</v>
      </c>
      <c r="U974">
        <v>1</v>
      </c>
      <c r="V974" s="1" t="s">
        <v>40</v>
      </c>
      <c r="W974">
        <v>15</v>
      </c>
      <c r="X974">
        <v>3</v>
      </c>
      <c r="Y974">
        <v>3</v>
      </c>
      <c r="Z974">
        <v>80</v>
      </c>
      <c r="AA974">
        <v>0</v>
      </c>
      <c r="AB974">
        <v>0</v>
      </c>
      <c r="AC974">
        <v>5</v>
      </c>
      <c r="AD974">
        <v>4</v>
      </c>
      <c r="AE974">
        <v>0</v>
      </c>
      <c r="AF974">
        <v>0</v>
      </c>
      <c r="AG974">
        <v>0</v>
      </c>
      <c r="AH974">
        <v>0</v>
      </c>
      <c r="AI974">
        <f>IF(tbl_HRData[[#This Row],[Attrition]] = "Yes",1,0)</f>
        <v>0</v>
      </c>
      <c r="AJ974">
        <f>IF(tbl_HRData[[#This Row],[Attrition]] = "No",1,0)</f>
        <v>1</v>
      </c>
      <c r="AK974" t="str">
        <f>IF(tbl_HRData[[#This Row],[Age]] &lt; 25, "Under 25", IF(tbl_HRData[[#This Row],[Age]] &lt;= 34, "25-34", IF(tbl_HRData[[#This Row],[Age]] &lt;= 44, "35-44", IF(tbl_HRData[[#This Row],[Age]] &lt;= 54, "45-54", "55+"))))</f>
        <v>Under 25</v>
      </c>
      <c r="AL974" s="1" t="str">
        <f>IF(tbl_HRData[[#This Row],[MonthlyIncome]]&lt;5000,"Low",
IF(tbl_HRData[[#This Row],[MonthlyIncome]]&lt;10000,"Medium",
IF(tbl_HRData[[#This Row],[MonthlyIncome]]&lt;15000,"Upper Medium","High")))</f>
        <v>Low</v>
      </c>
      <c r="AM974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975" spans="1:39" x14ac:dyDescent="0.35">
      <c r="A975" s="1">
        <v>974</v>
      </c>
      <c r="B975">
        <v>35</v>
      </c>
      <c r="C975" s="1" t="s">
        <v>40</v>
      </c>
      <c r="D975" s="1" t="s">
        <v>34</v>
      </c>
      <c r="E975">
        <v>817</v>
      </c>
      <c r="F975" s="1" t="s">
        <v>42</v>
      </c>
      <c r="G975">
        <v>1</v>
      </c>
      <c r="H975">
        <v>3</v>
      </c>
      <c r="I975" s="1" t="s">
        <v>48</v>
      </c>
      <c r="J975">
        <v>1369</v>
      </c>
      <c r="K975">
        <v>4</v>
      </c>
      <c r="L975" s="1" t="s">
        <v>37</v>
      </c>
      <c r="M975">
        <v>60</v>
      </c>
      <c r="N975">
        <v>2</v>
      </c>
      <c r="O975">
        <v>2</v>
      </c>
      <c r="P975" s="1" t="s">
        <v>47</v>
      </c>
      <c r="Q975">
        <v>4</v>
      </c>
      <c r="R975" s="1" t="s">
        <v>45</v>
      </c>
      <c r="S975">
        <v>5363</v>
      </c>
      <c r="T975">
        <v>10846</v>
      </c>
      <c r="U975">
        <v>0</v>
      </c>
      <c r="V975" s="1" t="s">
        <v>40</v>
      </c>
      <c r="W975">
        <v>12</v>
      </c>
      <c r="X975">
        <v>3</v>
      </c>
      <c r="Y975">
        <v>2</v>
      </c>
      <c r="Z975">
        <v>80</v>
      </c>
      <c r="AA975">
        <v>1</v>
      </c>
      <c r="AB975">
        <v>10</v>
      </c>
      <c r="AC975">
        <v>0</v>
      </c>
      <c r="AD975">
        <v>3</v>
      </c>
      <c r="AE975">
        <v>9</v>
      </c>
      <c r="AF975">
        <v>7</v>
      </c>
      <c r="AG975">
        <v>0</v>
      </c>
      <c r="AH975">
        <v>0</v>
      </c>
      <c r="AI975">
        <f>IF(tbl_HRData[[#This Row],[Attrition]] = "Yes",1,0)</f>
        <v>0</v>
      </c>
      <c r="AJ975">
        <f>IF(tbl_HRData[[#This Row],[Attrition]] = "No",1,0)</f>
        <v>1</v>
      </c>
      <c r="AK975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975" s="1" t="str">
        <f>IF(tbl_HRData[[#This Row],[MonthlyIncome]]&lt;5000,"Low",
IF(tbl_HRData[[#This Row],[MonthlyIncome]]&lt;10000,"Medium",
IF(tbl_HRData[[#This Row],[MonthlyIncome]]&lt;15000,"Upper Medium","High")))</f>
        <v>Medium</v>
      </c>
      <c r="AM975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976" spans="1:39" x14ac:dyDescent="0.35">
      <c r="A976" s="1">
        <v>975</v>
      </c>
      <c r="B976">
        <v>27</v>
      </c>
      <c r="C976" s="1" t="s">
        <v>40</v>
      </c>
      <c r="D976" s="1" t="s">
        <v>41</v>
      </c>
      <c r="E976">
        <v>793</v>
      </c>
      <c r="F976" s="1" t="s">
        <v>35</v>
      </c>
      <c r="G976">
        <v>2</v>
      </c>
      <c r="H976">
        <v>1</v>
      </c>
      <c r="I976" s="1" t="s">
        <v>36</v>
      </c>
      <c r="J976">
        <v>1371</v>
      </c>
      <c r="K976">
        <v>4</v>
      </c>
      <c r="L976" s="1" t="s">
        <v>43</v>
      </c>
      <c r="M976">
        <v>43</v>
      </c>
      <c r="N976">
        <v>1</v>
      </c>
      <c r="O976">
        <v>2</v>
      </c>
      <c r="P976" s="1" t="s">
        <v>38</v>
      </c>
      <c r="Q976">
        <v>4</v>
      </c>
      <c r="R976" s="1" t="s">
        <v>39</v>
      </c>
      <c r="S976">
        <v>5071</v>
      </c>
      <c r="T976">
        <v>20392</v>
      </c>
      <c r="U976">
        <v>3</v>
      </c>
      <c r="V976" s="1" t="s">
        <v>40</v>
      </c>
      <c r="W976">
        <v>20</v>
      </c>
      <c r="X976">
        <v>4</v>
      </c>
      <c r="Y976">
        <v>2</v>
      </c>
      <c r="Z976">
        <v>80</v>
      </c>
      <c r="AA976">
        <v>0</v>
      </c>
      <c r="AB976">
        <v>8</v>
      </c>
      <c r="AC976">
        <v>3</v>
      </c>
      <c r="AD976">
        <v>3</v>
      </c>
      <c r="AE976">
        <v>6</v>
      </c>
      <c r="AF976">
        <v>2</v>
      </c>
      <c r="AG976">
        <v>0</v>
      </c>
      <c r="AH976">
        <v>0</v>
      </c>
      <c r="AI976">
        <f>IF(tbl_HRData[[#This Row],[Attrition]] = "Yes",1,0)</f>
        <v>0</v>
      </c>
      <c r="AJ976">
        <f>IF(tbl_HRData[[#This Row],[Attrition]] = "No",1,0)</f>
        <v>1</v>
      </c>
      <c r="AK976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976" s="1" t="str">
        <f>IF(tbl_HRData[[#This Row],[MonthlyIncome]]&lt;5000,"Low",
IF(tbl_HRData[[#This Row],[MonthlyIncome]]&lt;10000,"Medium",
IF(tbl_HRData[[#This Row],[MonthlyIncome]]&lt;15000,"Upper Medium","High")))</f>
        <v>Medium</v>
      </c>
      <c r="AM976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977" spans="1:39" x14ac:dyDescent="0.35">
      <c r="A977" s="1">
        <v>976</v>
      </c>
      <c r="B977">
        <v>55</v>
      </c>
      <c r="C977" s="1" t="s">
        <v>33</v>
      </c>
      <c r="D977" s="1" t="s">
        <v>34</v>
      </c>
      <c r="E977">
        <v>267</v>
      </c>
      <c r="F977" s="1" t="s">
        <v>35</v>
      </c>
      <c r="G977">
        <v>13</v>
      </c>
      <c r="H977">
        <v>4</v>
      </c>
      <c r="I977" s="1" t="s">
        <v>56</v>
      </c>
      <c r="J977">
        <v>1372</v>
      </c>
      <c r="K977">
        <v>1</v>
      </c>
      <c r="L977" s="1" t="s">
        <v>43</v>
      </c>
      <c r="M977">
        <v>85</v>
      </c>
      <c r="N977">
        <v>4</v>
      </c>
      <c r="O977">
        <v>4</v>
      </c>
      <c r="P977" s="1" t="s">
        <v>38</v>
      </c>
      <c r="Q977">
        <v>3</v>
      </c>
      <c r="R977" s="1" t="s">
        <v>39</v>
      </c>
      <c r="S977">
        <v>13695</v>
      </c>
      <c r="T977">
        <v>9277</v>
      </c>
      <c r="U977">
        <v>6</v>
      </c>
      <c r="V977" s="1" t="s">
        <v>33</v>
      </c>
      <c r="W977">
        <v>17</v>
      </c>
      <c r="X977">
        <v>3</v>
      </c>
      <c r="Y977">
        <v>3</v>
      </c>
      <c r="Z977">
        <v>80</v>
      </c>
      <c r="AA977">
        <v>0</v>
      </c>
      <c r="AB977">
        <v>24</v>
      </c>
      <c r="AC977">
        <v>2</v>
      </c>
      <c r="AD977">
        <v>2</v>
      </c>
      <c r="AE977">
        <v>19</v>
      </c>
      <c r="AF977">
        <v>7</v>
      </c>
      <c r="AG977">
        <v>3</v>
      </c>
      <c r="AH977">
        <v>8</v>
      </c>
      <c r="AI977">
        <f>IF(tbl_HRData[[#This Row],[Attrition]] = "Yes",1,0)</f>
        <v>1</v>
      </c>
      <c r="AJ977">
        <f>IF(tbl_HRData[[#This Row],[Attrition]] = "No",1,0)</f>
        <v>0</v>
      </c>
      <c r="AK977" t="str">
        <f>IF(tbl_HRData[[#This Row],[Age]] &lt; 25, "Under 25", IF(tbl_HRData[[#This Row],[Age]] &lt;= 34, "25-34", IF(tbl_HRData[[#This Row],[Age]] &lt;= 44, "35-44", IF(tbl_HRData[[#This Row],[Age]] &lt;= 54, "45-54", "55+"))))</f>
        <v>55+</v>
      </c>
      <c r="AL977" s="1" t="str">
        <f>IF(tbl_HRData[[#This Row],[MonthlyIncome]]&lt;5000,"Low",
IF(tbl_HRData[[#This Row],[MonthlyIncome]]&lt;10000,"Medium",
IF(tbl_HRData[[#This Row],[MonthlyIncome]]&lt;15000,"Upper Medium","High")))</f>
        <v>Upper Medium</v>
      </c>
      <c r="AM977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978" spans="1:39" x14ac:dyDescent="0.35">
      <c r="A978" s="1">
        <v>977</v>
      </c>
      <c r="B978">
        <v>56</v>
      </c>
      <c r="C978" s="1" t="s">
        <v>40</v>
      </c>
      <c r="D978" s="1" t="s">
        <v>34</v>
      </c>
      <c r="E978">
        <v>1369</v>
      </c>
      <c r="F978" s="1" t="s">
        <v>42</v>
      </c>
      <c r="G978">
        <v>23</v>
      </c>
      <c r="H978">
        <v>3</v>
      </c>
      <c r="I978" s="1" t="s">
        <v>36</v>
      </c>
      <c r="J978">
        <v>1373</v>
      </c>
      <c r="K978">
        <v>4</v>
      </c>
      <c r="L978" s="1" t="s">
        <v>43</v>
      </c>
      <c r="M978">
        <v>68</v>
      </c>
      <c r="N978">
        <v>3</v>
      </c>
      <c r="O978">
        <v>4</v>
      </c>
      <c r="P978" s="1" t="s">
        <v>50</v>
      </c>
      <c r="Q978">
        <v>2</v>
      </c>
      <c r="R978" s="1" t="s">
        <v>45</v>
      </c>
      <c r="S978">
        <v>13402</v>
      </c>
      <c r="T978">
        <v>18235</v>
      </c>
      <c r="U978">
        <v>4</v>
      </c>
      <c r="V978" s="1" t="s">
        <v>33</v>
      </c>
      <c r="W978">
        <v>12</v>
      </c>
      <c r="X978">
        <v>3</v>
      </c>
      <c r="Y978">
        <v>1</v>
      </c>
      <c r="Z978">
        <v>80</v>
      </c>
      <c r="AA978">
        <v>1</v>
      </c>
      <c r="AB978">
        <v>33</v>
      </c>
      <c r="AC978">
        <v>0</v>
      </c>
      <c r="AD978">
        <v>3</v>
      </c>
      <c r="AE978">
        <v>19</v>
      </c>
      <c r="AF978">
        <v>16</v>
      </c>
      <c r="AG978">
        <v>15</v>
      </c>
      <c r="AH978">
        <v>9</v>
      </c>
      <c r="AI978">
        <f>IF(tbl_HRData[[#This Row],[Attrition]] = "Yes",1,0)</f>
        <v>0</v>
      </c>
      <c r="AJ978">
        <f>IF(tbl_HRData[[#This Row],[Attrition]] = "No",1,0)</f>
        <v>1</v>
      </c>
      <c r="AK978" t="str">
        <f>IF(tbl_HRData[[#This Row],[Age]] &lt; 25, "Under 25", IF(tbl_HRData[[#This Row],[Age]] &lt;= 34, "25-34", IF(tbl_HRData[[#This Row],[Age]] &lt;= 44, "35-44", IF(tbl_HRData[[#This Row],[Age]] &lt;= 54, "45-54", "55+"))))</f>
        <v>55+</v>
      </c>
      <c r="AL978" s="1" t="str">
        <f>IF(tbl_HRData[[#This Row],[MonthlyIncome]]&lt;5000,"Low",
IF(tbl_HRData[[#This Row],[MonthlyIncome]]&lt;10000,"Medium",
IF(tbl_HRData[[#This Row],[MonthlyIncome]]&lt;15000,"Upper Medium","High")))</f>
        <v>Upper Medium</v>
      </c>
      <c r="AM978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979" spans="1:39" x14ac:dyDescent="0.35">
      <c r="A979" s="1">
        <v>978</v>
      </c>
      <c r="B979">
        <v>34</v>
      </c>
      <c r="C979" s="1" t="s">
        <v>40</v>
      </c>
      <c r="D979" s="1" t="s">
        <v>52</v>
      </c>
      <c r="E979">
        <v>999</v>
      </c>
      <c r="F979" s="1" t="s">
        <v>42</v>
      </c>
      <c r="G979">
        <v>26</v>
      </c>
      <c r="H979">
        <v>1</v>
      </c>
      <c r="I979" s="1" t="s">
        <v>57</v>
      </c>
      <c r="J979">
        <v>1374</v>
      </c>
      <c r="K979">
        <v>1</v>
      </c>
      <c r="L979" s="1" t="s">
        <v>37</v>
      </c>
      <c r="M979">
        <v>92</v>
      </c>
      <c r="N979">
        <v>2</v>
      </c>
      <c r="O979">
        <v>1</v>
      </c>
      <c r="P979" s="1" t="s">
        <v>44</v>
      </c>
      <c r="Q979">
        <v>3</v>
      </c>
      <c r="R979" s="1" t="s">
        <v>49</v>
      </c>
      <c r="S979">
        <v>2029</v>
      </c>
      <c r="T979">
        <v>15891</v>
      </c>
      <c r="U979">
        <v>1</v>
      </c>
      <c r="V979" s="1" t="s">
        <v>40</v>
      </c>
      <c r="W979">
        <v>20</v>
      </c>
      <c r="X979">
        <v>4</v>
      </c>
      <c r="Y979">
        <v>3</v>
      </c>
      <c r="Z979">
        <v>80</v>
      </c>
      <c r="AA979">
        <v>3</v>
      </c>
      <c r="AB979">
        <v>5</v>
      </c>
      <c r="AC979">
        <v>2</v>
      </c>
      <c r="AD979">
        <v>3</v>
      </c>
      <c r="AE979">
        <v>5</v>
      </c>
      <c r="AF979">
        <v>4</v>
      </c>
      <c r="AG979">
        <v>0</v>
      </c>
      <c r="AH979">
        <v>0</v>
      </c>
      <c r="AI979">
        <f>IF(tbl_HRData[[#This Row],[Attrition]] = "Yes",1,0)</f>
        <v>0</v>
      </c>
      <c r="AJ979">
        <f>IF(tbl_HRData[[#This Row],[Attrition]] = "No",1,0)</f>
        <v>1</v>
      </c>
      <c r="AK979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979" s="1" t="str">
        <f>IF(tbl_HRData[[#This Row],[MonthlyIncome]]&lt;5000,"Low",
IF(tbl_HRData[[#This Row],[MonthlyIncome]]&lt;10000,"Medium",
IF(tbl_HRData[[#This Row],[MonthlyIncome]]&lt;15000,"Upper Medium","High")))</f>
        <v>Low</v>
      </c>
      <c r="AM979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980" spans="1:39" x14ac:dyDescent="0.35">
      <c r="A980" s="1">
        <v>979</v>
      </c>
      <c r="B980">
        <v>40</v>
      </c>
      <c r="C980" s="1" t="s">
        <v>40</v>
      </c>
      <c r="D980" s="1" t="s">
        <v>34</v>
      </c>
      <c r="E980">
        <v>1202</v>
      </c>
      <c r="F980" s="1" t="s">
        <v>42</v>
      </c>
      <c r="G980">
        <v>2</v>
      </c>
      <c r="H980">
        <v>1</v>
      </c>
      <c r="I980" s="1" t="s">
        <v>48</v>
      </c>
      <c r="J980">
        <v>1375</v>
      </c>
      <c r="K980">
        <v>2</v>
      </c>
      <c r="L980" s="1" t="s">
        <v>37</v>
      </c>
      <c r="M980">
        <v>89</v>
      </c>
      <c r="N980">
        <v>4</v>
      </c>
      <c r="O980">
        <v>2</v>
      </c>
      <c r="P980" s="1" t="s">
        <v>51</v>
      </c>
      <c r="Q980">
        <v>3</v>
      </c>
      <c r="R980" s="1" t="s">
        <v>49</v>
      </c>
      <c r="S980">
        <v>6377</v>
      </c>
      <c r="T980">
        <v>13888</v>
      </c>
      <c r="U980">
        <v>5</v>
      </c>
      <c r="V980" s="1" t="s">
        <v>40</v>
      </c>
      <c r="W980">
        <v>20</v>
      </c>
      <c r="X980">
        <v>4</v>
      </c>
      <c r="Y980">
        <v>2</v>
      </c>
      <c r="Z980">
        <v>80</v>
      </c>
      <c r="AA980">
        <v>3</v>
      </c>
      <c r="AB980">
        <v>15</v>
      </c>
      <c r="AC980">
        <v>0</v>
      </c>
      <c r="AD980">
        <v>3</v>
      </c>
      <c r="AE980">
        <v>12</v>
      </c>
      <c r="AF980">
        <v>11</v>
      </c>
      <c r="AG980">
        <v>11</v>
      </c>
      <c r="AH980">
        <v>8</v>
      </c>
      <c r="AI980">
        <f>IF(tbl_HRData[[#This Row],[Attrition]] = "Yes",1,0)</f>
        <v>0</v>
      </c>
      <c r="AJ980">
        <f>IF(tbl_HRData[[#This Row],[Attrition]] = "No",1,0)</f>
        <v>1</v>
      </c>
      <c r="AK980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980" s="1" t="str">
        <f>IF(tbl_HRData[[#This Row],[MonthlyIncome]]&lt;5000,"Low",
IF(tbl_HRData[[#This Row],[MonthlyIncome]]&lt;10000,"Medium",
IF(tbl_HRData[[#This Row],[MonthlyIncome]]&lt;15000,"Upper Medium","High")))</f>
        <v>Medium</v>
      </c>
      <c r="AM980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981" spans="1:39" x14ac:dyDescent="0.35">
      <c r="A981" s="1">
        <v>980</v>
      </c>
      <c r="B981">
        <v>34</v>
      </c>
      <c r="C981" s="1" t="s">
        <v>40</v>
      </c>
      <c r="D981" s="1" t="s">
        <v>34</v>
      </c>
      <c r="E981">
        <v>285</v>
      </c>
      <c r="F981" s="1" t="s">
        <v>42</v>
      </c>
      <c r="G981">
        <v>29</v>
      </c>
      <c r="H981">
        <v>3</v>
      </c>
      <c r="I981" s="1" t="s">
        <v>48</v>
      </c>
      <c r="J981">
        <v>1377</v>
      </c>
      <c r="K981">
        <v>2</v>
      </c>
      <c r="L981" s="1" t="s">
        <v>43</v>
      </c>
      <c r="M981">
        <v>86</v>
      </c>
      <c r="N981">
        <v>3</v>
      </c>
      <c r="O981">
        <v>2</v>
      </c>
      <c r="P981" s="1" t="s">
        <v>47</v>
      </c>
      <c r="Q981">
        <v>3</v>
      </c>
      <c r="R981" s="1" t="s">
        <v>45</v>
      </c>
      <c r="S981">
        <v>5429</v>
      </c>
      <c r="T981">
        <v>17491</v>
      </c>
      <c r="U981">
        <v>4</v>
      </c>
      <c r="V981" s="1" t="s">
        <v>40</v>
      </c>
      <c r="W981">
        <v>13</v>
      </c>
      <c r="X981">
        <v>3</v>
      </c>
      <c r="Y981">
        <v>1</v>
      </c>
      <c r="Z981">
        <v>80</v>
      </c>
      <c r="AA981">
        <v>2</v>
      </c>
      <c r="AB981">
        <v>10</v>
      </c>
      <c r="AC981">
        <v>1</v>
      </c>
      <c r="AD981">
        <v>3</v>
      </c>
      <c r="AE981">
        <v>8</v>
      </c>
      <c r="AF981">
        <v>7</v>
      </c>
      <c r="AG981">
        <v>7</v>
      </c>
      <c r="AH981">
        <v>7</v>
      </c>
      <c r="AI981">
        <f>IF(tbl_HRData[[#This Row],[Attrition]] = "Yes",1,0)</f>
        <v>0</v>
      </c>
      <c r="AJ981">
        <f>IF(tbl_HRData[[#This Row],[Attrition]] = "No",1,0)</f>
        <v>1</v>
      </c>
      <c r="AK981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981" s="1" t="str">
        <f>IF(tbl_HRData[[#This Row],[MonthlyIncome]]&lt;5000,"Low",
IF(tbl_HRData[[#This Row],[MonthlyIncome]]&lt;10000,"Medium",
IF(tbl_HRData[[#This Row],[MonthlyIncome]]&lt;15000,"Upper Medium","High")))</f>
        <v>Medium</v>
      </c>
      <c r="AM981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982" spans="1:39" x14ac:dyDescent="0.35">
      <c r="A982" s="1">
        <v>981</v>
      </c>
      <c r="B982">
        <v>31</v>
      </c>
      <c r="C982" s="1" t="s">
        <v>33</v>
      </c>
      <c r="D982" s="1" t="s">
        <v>41</v>
      </c>
      <c r="E982">
        <v>703</v>
      </c>
      <c r="F982" s="1" t="s">
        <v>35</v>
      </c>
      <c r="G982">
        <v>2</v>
      </c>
      <c r="H982">
        <v>3</v>
      </c>
      <c r="I982" s="1" t="s">
        <v>36</v>
      </c>
      <c r="J982">
        <v>1379</v>
      </c>
      <c r="K982">
        <v>3</v>
      </c>
      <c r="L982" s="1" t="s">
        <v>37</v>
      </c>
      <c r="M982">
        <v>90</v>
      </c>
      <c r="N982">
        <v>2</v>
      </c>
      <c r="O982">
        <v>1</v>
      </c>
      <c r="P982" s="1" t="s">
        <v>54</v>
      </c>
      <c r="Q982">
        <v>4</v>
      </c>
      <c r="R982" s="1" t="s">
        <v>39</v>
      </c>
      <c r="S982">
        <v>2785</v>
      </c>
      <c r="T982">
        <v>11882</v>
      </c>
      <c r="U982">
        <v>7</v>
      </c>
      <c r="V982" s="1" t="s">
        <v>40</v>
      </c>
      <c r="W982">
        <v>14</v>
      </c>
      <c r="X982">
        <v>3</v>
      </c>
      <c r="Y982">
        <v>3</v>
      </c>
      <c r="Z982">
        <v>80</v>
      </c>
      <c r="AA982">
        <v>0</v>
      </c>
      <c r="AB982">
        <v>3</v>
      </c>
      <c r="AC982">
        <v>3</v>
      </c>
      <c r="AD982">
        <v>4</v>
      </c>
      <c r="AE982">
        <v>1</v>
      </c>
      <c r="AF982">
        <v>0</v>
      </c>
      <c r="AG982">
        <v>0</v>
      </c>
      <c r="AH982">
        <v>0</v>
      </c>
      <c r="AI982">
        <f>IF(tbl_HRData[[#This Row],[Attrition]] = "Yes",1,0)</f>
        <v>1</v>
      </c>
      <c r="AJ982">
        <f>IF(tbl_HRData[[#This Row],[Attrition]] = "No",1,0)</f>
        <v>0</v>
      </c>
      <c r="AK982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982" s="1" t="str">
        <f>IF(tbl_HRData[[#This Row],[MonthlyIncome]]&lt;5000,"Low",
IF(tbl_HRData[[#This Row],[MonthlyIncome]]&lt;10000,"Medium",
IF(tbl_HRData[[#This Row],[MonthlyIncome]]&lt;15000,"Upper Medium","High")))</f>
        <v>Low</v>
      </c>
      <c r="AM982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983" spans="1:39" x14ac:dyDescent="0.35">
      <c r="A983" s="1">
        <v>982</v>
      </c>
      <c r="B983">
        <v>35</v>
      </c>
      <c r="C983" s="1" t="s">
        <v>33</v>
      </c>
      <c r="D983" s="1" t="s">
        <v>41</v>
      </c>
      <c r="E983">
        <v>662</v>
      </c>
      <c r="F983" s="1" t="s">
        <v>35</v>
      </c>
      <c r="G983">
        <v>18</v>
      </c>
      <c r="H983">
        <v>4</v>
      </c>
      <c r="I983" s="1" t="s">
        <v>56</v>
      </c>
      <c r="J983">
        <v>1380</v>
      </c>
      <c r="K983">
        <v>4</v>
      </c>
      <c r="L983" s="1" t="s">
        <v>37</v>
      </c>
      <c r="M983">
        <v>67</v>
      </c>
      <c r="N983">
        <v>3</v>
      </c>
      <c r="O983">
        <v>2</v>
      </c>
      <c r="P983" s="1" t="s">
        <v>38</v>
      </c>
      <c r="Q983">
        <v>3</v>
      </c>
      <c r="R983" s="1" t="s">
        <v>45</v>
      </c>
      <c r="S983">
        <v>4614</v>
      </c>
      <c r="T983">
        <v>23288</v>
      </c>
      <c r="U983">
        <v>0</v>
      </c>
      <c r="V983" s="1" t="s">
        <v>33</v>
      </c>
      <c r="W983">
        <v>18</v>
      </c>
      <c r="X983">
        <v>3</v>
      </c>
      <c r="Y983">
        <v>3</v>
      </c>
      <c r="Z983">
        <v>80</v>
      </c>
      <c r="AA983">
        <v>1</v>
      </c>
      <c r="AB983">
        <v>5</v>
      </c>
      <c r="AC983">
        <v>0</v>
      </c>
      <c r="AD983">
        <v>2</v>
      </c>
      <c r="AE983">
        <v>4</v>
      </c>
      <c r="AF983">
        <v>2</v>
      </c>
      <c r="AG983">
        <v>3</v>
      </c>
      <c r="AH983">
        <v>2</v>
      </c>
      <c r="AI983">
        <f>IF(tbl_HRData[[#This Row],[Attrition]] = "Yes",1,0)</f>
        <v>1</v>
      </c>
      <c r="AJ983">
        <f>IF(tbl_HRData[[#This Row],[Attrition]] = "No",1,0)</f>
        <v>0</v>
      </c>
      <c r="AK983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983" s="1" t="str">
        <f>IF(tbl_HRData[[#This Row],[MonthlyIncome]]&lt;5000,"Low",
IF(tbl_HRData[[#This Row],[MonthlyIncome]]&lt;10000,"Medium",
IF(tbl_HRData[[#This Row],[MonthlyIncome]]&lt;15000,"Upper Medium","High")))</f>
        <v>Low</v>
      </c>
      <c r="AM983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984" spans="1:39" x14ac:dyDescent="0.35">
      <c r="A984" s="1">
        <v>983</v>
      </c>
      <c r="B984">
        <v>38</v>
      </c>
      <c r="C984" s="1" t="s">
        <v>40</v>
      </c>
      <c r="D984" s="1" t="s">
        <v>41</v>
      </c>
      <c r="E984">
        <v>693</v>
      </c>
      <c r="F984" s="1" t="s">
        <v>42</v>
      </c>
      <c r="G984">
        <v>7</v>
      </c>
      <c r="H984">
        <v>3</v>
      </c>
      <c r="I984" s="1" t="s">
        <v>36</v>
      </c>
      <c r="J984">
        <v>1382</v>
      </c>
      <c r="K984">
        <v>4</v>
      </c>
      <c r="L984" s="1" t="s">
        <v>43</v>
      </c>
      <c r="M984">
        <v>57</v>
      </c>
      <c r="N984">
        <v>4</v>
      </c>
      <c r="O984">
        <v>1</v>
      </c>
      <c r="P984" s="1" t="s">
        <v>44</v>
      </c>
      <c r="Q984">
        <v>3</v>
      </c>
      <c r="R984" s="1" t="s">
        <v>49</v>
      </c>
      <c r="S984">
        <v>2610</v>
      </c>
      <c r="T984">
        <v>15748</v>
      </c>
      <c r="U984">
        <v>1</v>
      </c>
      <c r="V984" s="1" t="s">
        <v>40</v>
      </c>
      <c r="W984">
        <v>11</v>
      </c>
      <c r="X984">
        <v>3</v>
      </c>
      <c r="Y984">
        <v>4</v>
      </c>
      <c r="Z984">
        <v>80</v>
      </c>
      <c r="AA984">
        <v>3</v>
      </c>
      <c r="AB984">
        <v>4</v>
      </c>
      <c r="AC984">
        <v>2</v>
      </c>
      <c r="AD984">
        <v>3</v>
      </c>
      <c r="AE984">
        <v>4</v>
      </c>
      <c r="AF984">
        <v>2</v>
      </c>
      <c r="AG984">
        <v>0</v>
      </c>
      <c r="AH984">
        <v>3</v>
      </c>
      <c r="AI984">
        <f>IF(tbl_HRData[[#This Row],[Attrition]] = "Yes",1,0)</f>
        <v>0</v>
      </c>
      <c r="AJ984">
        <f>IF(tbl_HRData[[#This Row],[Attrition]] = "No",1,0)</f>
        <v>1</v>
      </c>
      <c r="AK984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984" s="1" t="str">
        <f>IF(tbl_HRData[[#This Row],[MonthlyIncome]]&lt;5000,"Low",
IF(tbl_HRData[[#This Row],[MonthlyIncome]]&lt;10000,"Medium",
IF(tbl_HRData[[#This Row],[MonthlyIncome]]&lt;15000,"Upper Medium","High")))</f>
        <v>Low</v>
      </c>
      <c r="AM984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985" spans="1:39" x14ac:dyDescent="0.35">
      <c r="A985" s="1">
        <v>984</v>
      </c>
      <c r="B985">
        <v>34</v>
      </c>
      <c r="C985" s="1" t="s">
        <v>40</v>
      </c>
      <c r="D985" s="1" t="s">
        <v>34</v>
      </c>
      <c r="E985">
        <v>404</v>
      </c>
      <c r="F985" s="1" t="s">
        <v>42</v>
      </c>
      <c r="G985">
        <v>2</v>
      </c>
      <c r="H985">
        <v>4</v>
      </c>
      <c r="I985" s="1" t="s">
        <v>57</v>
      </c>
      <c r="J985">
        <v>1383</v>
      </c>
      <c r="K985">
        <v>3</v>
      </c>
      <c r="L985" s="1" t="s">
        <v>37</v>
      </c>
      <c r="M985">
        <v>98</v>
      </c>
      <c r="N985">
        <v>3</v>
      </c>
      <c r="O985">
        <v>2</v>
      </c>
      <c r="P985" s="1" t="s">
        <v>51</v>
      </c>
      <c r="Q985">
        <v>4</v>
      </c>
      <c r="R985" s="1" t="s">
        <v>39</v>
      </c>
      <c r="S985">
        <v>6687</v>
      </c>
      <c r="T985">
        <v>6163</v>
      </c>
      <c r="U985">
        <v>1</v>
      </c>
      <c r="V985" s="1" t="s">
        <v>40</v>
      </c>
      <c r="W985">
        <v>11</v>
      </c>
      <c r="X985">
        <v>3</v>
      </c>
      <c r="Y985">
        <v>4</v>
      </c>
      <c r="Z985">
        <v>80</v>
      </c>
      <c r="AA985">
        <v>0</v>
      </c>
      <c r="AB985">
        <v>14</v>
      </c>
      <c r="AC985">
        <v>2</v>
      </c>
      <c r="AD985">
        <v>4</v>
      </c>
      <c r="AE985">
        <v>14</v>
      </c>
      <c r="AF985">
        <v>11</v>
      </c>
      <c r="AG985">
        <v>4</v>
      </c>
      <c r="AH985">
        <v>11</v>
      </c>
      <c r="AI985">
        <f>IF(tbl_HRData[[#This Row],[Attrition]] = "Yes",1,0)</f>
        <v>0</v>
      </c>
      <c r="AJ985">
        <f>IF(tbl_HRData[[#This Row],[Attrition]] = "No",1,0)</f>
        <v>1</v>
      </c>
      <c r="AK985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985" s="1" t="str">
        <f>IF(tbl_HRData[[#This Row],[MonthlyIncome]]&lt;5000,"Low",
IF(tbl_HRData[[#This Row],[MonthlyIncome]]&lt;10000,"Medium",
IF(tbl_HRData[[#This Row],[MonthlyIncome]]&lt;15000,"Upper Medium","High")))</f>
        <v>Medium</v>
      </c>
      <c r="AM985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986" spans="1:39" x14ac:dyDescent="0.35">
      <c r="A986" s="1">
        <v>985</v>
      </c>
      <c r="B986">
        <v>28</v>
      </c>
      <c r="C986" s="1" t="s">
        <v>40</v>
      </c>
      <c r="D986" s="1" t="s">
        <v>34</v>
      </c>
      <c r="E986">
        <v>736</v>
      </c>
      <c r="F986" s="1" t="s">
        <v>35</v>
      </c>
      <c r="G986">
        <v>26</v>
      </c>
      <c r="H986">
        <v>3</v>
      </c>
      <c r="I986" s="1" t="s">
        <v>36</v>
      </c>
      <c r="J986">
        <v>1387</v>
      </c>
      <c r="K986">
        <v>3</v>
      </c>
      <c r="L986" s="1" t="s">
        <v>43</v>
      </c>
      <c r="M986">
        <v>48</v>
      </c>
      <c r="N986">
        <v>2</v>
      </c>
      <c r="O986">
        <v>2</v>
      </c>
      <c r="P986" s="1" t="s">
        <v>38</v>
      </c>
      <c r="Q986">
        <v>1</v>
      </c>
      <c r="R986" s="1" t="s">
        <v>45</v>
      </c>
      <c r="S986">
        <v>4724</v>
      </c>
      <c r="T986">
        <v>24232</v>
      </c>
      <c r="U986">
        <v>1</v>
      </c>
      <c r="V986" s="1" t="s">
        <v>40</v>
      </c>
      <c r="W986">
        <v>11</v>
      </c>
      <c r="X986">
        <v>3</v>
      </c>
      <c r="Y986">
        <v>3</v>
      </c>
      <c r="Z986">
        <v>80</v>
      </c>
      <c r="AA986">
        <v>1</v>
      </c>
      <c r="AB986">
        <v>5</v>
      </c>
      <c r="AC986">
        <v>0</v>
      </c>
      <c r="AD986">
        <v>3</v>
      </c>
      <c r="AE986">
        <v>5</v>
      </c>
      <c r="AF986">
        <v>3</v>
      </c>
      <c r="AG986">
        <v>0</v>
      </c>
      <c r="AH986">
        <v>4</v>
      </c>
      <c r="AI986">
        <f>IF(tbl_HRData[[#This Row],[Attrition]] = "Yes",1,0)</f>
        <v>0</v>
      </c>
      <c r="AJ986">
        <f>IF(tbl_HRData[[#This Row],[Attrition]] = "No",1,0)</f>
        <v>1</v>
      </c>
      <c r="AK986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986" s="1" t="str">
        <f>IF(tbl_HRData[[#This Row],[MonthlyIncome]]&lt;5000,"Low",
IF(tbl_HRData[[#This Row],[MonthlyIncome]]&lt;10000,"Medium",
IF(tbl_HRData[[#This Row],[MonthlyIncome]]&lt;15000,"Upper Medium","High")))</f>
        <v>Low</v>
      </c>
      <c r="AM986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987" spans="1:39" x14ac:dyDescent="0.35">
      <c r="A987" s="1">
        <v>986</v>
      </c>
      <c r="B987">
        <v>31</v>
      </c>
      <c r="C987" s="1" t="s">
        <v>33</v>
      </c>
      <c r="D987" s="1" t="s">
        <v>34</v>
      </c>
      <c r="E987">
        <v>330</v>
      </c>
      <c r="F987" s="1" t="s">
        <v>42</v>
      </c>
      <c r="G987">
        <v>22</v>
      </c>
      <c r="H987">
        <v>4</v>
      </c>
      <c r="I987" s="1" t="s">
        <v>48</v>
      </c>
      <c r="J987">
        <v>1389</v>
      </c>
      <c r="K987">
        <v>4</v>
      </c>
      <c r="L987" s="1" t="s">
        <v>43</v>
      </c>
      <c r="M987">
        <v>98</v>
      </c>
      <c r="N987">
        <v>3</v>
      </c>
      <c r="O987">
        <v>2</v>
      </c>
      <c r="P987" s="1" t="s">
        <v>50</v>
      </c>
      <c r="Q987">
        <v>3</v>
      </c>
      <c r="R987" s="1" t="s">
        <v>45</v>
      </c>
      <c r="S987">
        <v>6179</v>
      </c>
      <c r="T987">
        <v>21057</v>
      </c>
      <c r="U987">
        <v>1</v>
      </c>
      <c r="V987" s="1" t="s">
        <v>33</v>
      </c>
      <c r="W987">
        <v>15</v>
      </c>
      <c r="X987">
        <v>3</v>
      </c>
      <c r="Y987">
        <v>4</v>
      </c>
      <c r="Z987">
        <v>80</v>
      </c>
      <c r="AA987">
        <v>2</v>
      </c>
      <c r="AB987">
        <v>10</v>
      </c>
      <c r="AC987">
        <v>3</v>
      </c>
      <c r="AD987">
        <v>2</v>
      </c>
      <c r="AE987">
        <v>10</v>
      </c>
      <c r="AF987">
        <v>2</v>
      </c>
      <c r="AG987">
        <v>6</v>
      </c>
      <c r="AH987">
        <v>7</v>
      </c>
      <c r="AI987">
        <f>IF(tbl_HRData[[#This Row],[Attrition]] = "Yes",1,0)</f>
        <v>1</v>
      </c>
      <c r="AJ987">
        <f>IF(tbl_HRData[[#This Row],[Attrition]] = "No",1,0)</f>
        <v>0</v>
      </c>
      <c r="AK987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987" s="1" t="str">
        <f>IF(tbl_HRData[[#This Row],[MonthlyIncome]]&lt;5000,"Low",
IF(tbl_HRData[[#This Row],[MonthlyIncome]]&lt;10000,"Medium",
IF(tbl_HRData[[#This Row],[MonthlyIncome]]&lt;15000,"Upper Medium","High")))</f>
        <v>Medium</v>
      </c>
      <c r="AM987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988" spans="1:39" x14ac:dyDescent="0.35">
      <c r="A988" s="1">
        <v>987</v>
      </c>
      <c r="B988">
        <v>39</v>
      </c>
      <c r="C988" s="1" t="s">
        <v>40</v>
      </c>
      <c r="D988" s="1" t="s">
        <v>34</v>
      </c>
      <c r="E988">
        <v>1498</v>
      </c>
      <c r="F988" s="1" t="s">
        <v>35</v>
      </c>
      <c r="G988">
        <v>21</v>
      </c>
      <c r="H988">
        <v>4</v>
      </c>
      <c r="I988" s="1" t="s">
        <v>36</v>
      </c>
      <c r="J988">
        <v>1390</v>
      </c>
      <c r="K988">
        <v>1</v>
      </c>
      <c r="L988" s="1" t="s">
        <v>43</v>
      </c>
      <c r="M988">
        <v>44</v>
      </c>
      <c r="N988">
        <v>2</v>
      </c>
      <c r="O988">
        <v>2</v>
      </c>
      <c r="P988" s="1" t="s">
        <v>38</v>
      </c>
      <c r="Q988">
        <v>4</v>
      </c>
      <c r="R988" s="1" t="s">
        <v>45</v>
      </c>
      <c r="S988">
        <v>6120</v>
      </c>
      <c r="T988">
        <v>3567</v>
      </c>
      <c r="U988">
        <v>3</v>
      </c>
      <c r="V988" s="1" t="s">
        <v>33</v>
      </c>
      <c r="W988">
        <v>12</v>
      </c>
      <c r="X988">
        <v>3</v>
      </c>
      <c r="Y988">
        <v>4</v>
      </c>
      <c r="Z988">
        <v>80</v>
      </c>
      <c r="AA988">
        <v>2</v>
      </c>
      <c r="AB988">
        <v>8</v>
      </c>
      <c r="AC988">
        <v>2</v>
      </c>
      <c r="AD988">
        <v>4</v>
      </c>
      <c r="AE988">
        <v>5</v>
      </c>
      <c r="AF988">
        <v>4</v>
      </c>
      <c r="AG988">
        <v>1</v>
      </c>
      <c r="AH988">
        <v>4</v>
      </c>
      <c r="AI988">
        <f>IF(tbl_HRData[[#This Row],[Attrition]] = "Yes",1,0)</f>
        <v>0</v>
      </c>
      <c r="AJ988">
        <f>IF(tbl_HRData[[#This Row],[Attrition]] = "No",1,0)</f>
        <v>1</v>
      </c>
      <c r="AK988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988" s="1" t="str">
        <f>IF(tbl_HRData[[#This Row],[MonthlyIncome]]&lt;5000,"Low",
IF(tbl_HRData[[#This Row],[MonthlyIncome]]&lt;10000,"Medium",
IF(tbl_HRData[[#This Row],[MonthlyIncome]]&lt;15000,"Upper Medium","High")))</f>
        <v>Medium</v>
      </c>
      <c r="AM988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989" spans="1:39" x14ac:dyDescent="0.35">
      <c r="A989" s="1">
        <v>988</v>
      </c>
      <c r="B989">
        <v>51</v>
      </c>
      <c r="C989" s="1" t="s">
        <v>40</v>
      </c>
      <c r="D989" s="1" t="s">
        <v>41</v>
      </c>
      <c r="E989">
        <v>541</v>
      </c>
      <c r="F989" s="1" t="s">
        <v>35</v>
      </c>
      <c r="G989">
        <v>2</v>
      </c>
      <c r="H989">
        <v>3</v>
      </c>
      <c r="I989" s="1" t="s">
        <v>56</v>
      </c>
      <c r="J989">
        <v>1391</v>
      </c>
      <c r="K989">
        <v>2</v>
      </c>
      <c r="L989" s="1" t="s">
        <v>43</v>
      </c>
      <c r="M989">
        <v>52</v>
      </c>
      <c r="N989">
        <v>3</v>
      </c>
      <c r="O989">
        <v>3</v>
      </c>
      <c r="P989" s="1" t="s">
        <v>38</v>
      </c>
      <c r="Q989">
        <v>2</v>
      </c>
      <c r="R989" s="1" t="s">
        <v>45</v>
      </c>
      <c r="S989">
        <v>10596</v>
      </c>
      <c r="T989">
        <v>15395</v>
      </c>
      <c r="U989">
        <v>2</v>
      </c>
      <c r="V989" s="1" t="s">
        <v>40</v>
      </c>
      <c r="W989">
        <v>11</v>
      </c>
      <c r="X989">
        <v>3</v>
      </c>
      <c r="Y989">
        <v>2</v>
      </c>
      <c r="Z989">
        <v>80</v>
      </c>
      <c r="AA989">
        <v>0</v>
      </c>
      <c r="AB989">
        <v>14</v>
      </c>
      <c r="AC989">
        <v>5</v>
      </c>
      <c r="AD989">
        <v>3</v>
      </c>
      <c r="AE989">
        <v>4</v>
      </c>
      <c r="AF989">
        <v>2</v>
      </c>
      <c r="AG989">
        <v>3</v>
      </c>
      <c r="AH989">
        <v>2</v>
      </c>
      <c r="AI989">
        <f>IF(tbl_HRData[[#This Row],[Attrition]] = "Yes",1,0)</f>
        <v>0</v>
      </c>
      <c r="AJ989">
        <f>IF(tbl_HRData[[#This Row],[Attrition]] = "No",1,0)</f>
        <v>1</v>
      </c>
      <c r="AK989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989" s="1" t="str">
        <f>IF(tbl_HRData[[#This Row],[MonthlyIncome]]&lt;5000,"Low",
IF(tbl_HRData[[#This Row],[MonthlyIncome]]&lt;10000,"Medium",
IF(tbl_HRData[[#This Row],[MonthlyIncome]]&lt;15000,"Upper Medium","High")))</f>
        <v>Upper Medium</v>
      </c>
      <c r="AM989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990" spans="1:39" x14ac:dyDescent="0.35">
      <c r="A990" s="1">
        <v>989</v>
      </c>
      <c r="B990">
        <v>41</v>
      </c>
      <c r="C990" s="1" t="s">
        <v>40</v>
      </c>
      <c r="D990" s="1" t="s">
        <v>41</v>
      </c>
      <c r="E990">
        <v>1200</v>
      </c>
      <c r="F990" s="1" t="s">
        <v>42</v>
      </c>
      <c r="G990">
        <v>22</v>
      </c>
      <c r="H990">
        <v>3</v>
      </c>
      <c r="I990" s="1" t="s">
        <v>36</v>
      </c>
      <c r="J990">
        <v>1392</v>
      </c>
      <c r="K990">
        <v>4</v>
      </c>
      <c r="L990" s="1" t="s">
        <v>37</v>
      </c>
      <c r="M990">
        <v>75</v>
      </c>
      <c r="N990">
        <v>3</v>
      </c>
      <c r="O990">
        <v>2</v>
      </c>
      <c r="P990" s="1" t="s">
        <v>44</v>
      </c>
      <c r="Q990">
        <v>4</v>
      </c>
      <c r="R990" s="1" t="s">
        <v>49</v>
      </c>
      <c r="S990">
        <v>5467</v>
      </c>
      <c r="T990">
        <v>13953</v>
      </c>
      <c r="U990">
        <v>3</v>
      </c>
      <c r="V990" s="1" t="s">
        <v>33</v>
      </c>
      <c r="W990">
        <v>14</v>
      </c>
      <c r="X990">
        <v>3</v>
      </c>
      <c r="Y990">
        <v>1</v>
      </c>
      <c r="Z990">
        <v>80</v>
      </c>
      <c r="AA990">
        <v>2</v>
      </c>
      <c r="AB990">
        <v>12</v>
      </c>
      <c r="AC990">
        <v>4</v>
      </c>
      <c r="AD990">
        <v>2</v>
      </c>
      <c r="AE990">
        <v>6</v>
      </c>
      <c r="AF990">
        <v>2</v>
      </c>
      <c r="AG990">
        <v>3</v>
      </c>
      <c r="AH990">
        <v>3</v>
      </c>
      <c r="AI990">
        <f>IF(tbl_HRData[[#This Row],[Attrition]] = "Yes",1,0)</f>
        <v>0</v>
      </c>
      <c r="AJ990">
        <f>IF(tbl_HRData[[#This Row],[Attrition]] = "No",1,0)</f>
        <v>1</v>
      </c>
      <c r="AK990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990" s="1" t="str">
        <f>IF(tbl_HRData[[#This Row],[MonthlyIncome]]&lt;5000,"Low",
IF(tbl_HRData[[#This Row],[MonthlyIncome]]&lt;10000,"Medium",
IF(tbl_HRData[[#This Row],[MonthlyIncome]]&lt;15000,"Upper Medium","High")))</f>
        <v>Medium</v>
      </c>
      <c r="AM990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991" spans="1:39" x14ac:dyDescent="0.35">
      <c r="A991" s="1">
        <v>990</v>
      </c>
      <c r="B991">
        <v>37</v>
      </c>
      <c r="C991" s="1" t="s">
        <v>40</v>
      </c>
      <c r="D991" s="1" t="s">
        <v>34</v>
      </c>
      <c r="E991">
        <v>1439</v>
      </c>
      <c r="F991" s="1" t="s">
        <v>42</v>
      </c>
      <c r="G991">
        <v>4</v>
      </c>
      <c r="H991">
        <v>1</v>
      </c>
      <c r="I991" s="1" t="s">
        <v>36</v>
      </c>
      <c r="J991">
        <v>1394</v>
      </c>
      <c r="K991">
        <v>3</v>
      </c>
      <c r="L991" s="1" t="s">
        <v>43</v>
      </c>
      <c r="M991">
        <v>54</v>
      </c>
      <c r="N991">
        <v>3</v>
      </c>
      <c r="O991">
        <v>1</v>
      </c>
      <c r="P991" s="1" t="s">
        <v>44</v>
      </c>
      <c r="Q991">
        <v>3</v>
      </c>
      <c r="R991" s="1" t="s">
        <v>45</v>
      </c>
      <c r="S991">
        <v>2996</v>
      </c>
      <c r="T991">
        <v>5182</v>
      </c>
      <c r="U991">
        <v>7</v>
      </c>
      <c r="V991" s="1" t="s">
        <v>33</v>
      </c>
      <c r="W991">
        <v>15</v>
      </c>
      <c r="X991">
        <v>3</v>
      </c>
      <c r="Y991">
        <v>4</v>
      </c>
      <c r="Z991">
        <v>80</v>
      </c>
      <c r="AA991">
        <v>0</v>
      </c>
      <c r="AB991">
        <v>8</v>
      </c>
      <c r="AC991">
        <v>2</v>
      </c>
      <c r="AD991">
        <v>3</v>
      </c>
      <c r="AE991">
        <v>6</v>
      </c>
      <c r="AF991">
        <v>4</v>
      </c>
      <c r="AG991">
        <v>1</v>
      </c>
      <c r="AH991">
        <v>3</v>
      </c>
      <c r="AI991">
        <f>IF(tbl_HRData[[#This Row],[Attrition]] = "Yes",1,0)</f>
        <v>0</v>
      </c>
      <c r="AJ991">
        <f>IF(tbl_HRData[[#This Row],[Attrition]] = "No",1,0)</f>
        <v>1</v>
      </c>
      <c r="AK991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991" s="1" t="str">
        <f>IF(tbl_HRData[[#This Row],[MonthlyIncome]]&lt;5000,"Low",
IF(tbl_HRData[[#This Row],[MonthlyIncome]]&lt;10000,"Medium",
IF(tbl_HRData[[#This Row],[MonthlyIncome]]&lt;15000,"Upper Medium","High")))</f>
        <v>Low</v>
      </c>
      <c r="AM991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992" spans="1:39" x14ac:dyDescent="0.35">
      <c r="A992" s="1">
        <v>991</v>
      </c>
      <c r="B992">
        <v>33</v>
      </c>
      <c r="C992" s="1" t="s">
        <v>40</v>
      </c>
      <c r="D992" s="1" t="s">
        <v>41</v>
      </c>
      <c r="E992">
        <v>1111</v>
      </c>
      <c r="F992" s="1" t="s">
        <v>35</v>
      </c>
      <c r="G992">
        <v>5</v>
      </c>
      <c r="H992">
        <v>1</v>
      </c>
      <c r="I992" s="1" t="s">
        <v>36</v>
      </c>
      <c r="J992">
        <v>1395</v>
      </c>
      <c r="K992">
        <v>2</v>
      </c>
      <c r="L992" s="1" t="s">
        <v>43</v>
      </c>
      <c r="M992">
        <v>61</v>
      </c>
      <c r="N992">
        <v>3</v>
      </c>
      <c r="O992">
        <v>2</v>
      </c>
      <c r="P992" s="1" t="s">
        <v>38</v>
      </c>
      <c r="Q992">
        <v>4</v>
      </c>
      <c r="R992" s="1" t="s">
        <v>45</v>
      </c>
      <c r="S992">
        <v>9998</v>
      </c>
      <c r="T992">
        <v>19293</v>
      </c>
      <c r="U992">
        <v>6</v>
      </c>
      <c r="V992" s="1" t="s">
        <v>40</v>
      </c>
      <c r="W992">
        <v>13</v>
      </c>
      <c r="X992">
        <v>3</v>
      </c>
      <c r="Y992">
        <v>1</v>
      </c>
      <c r="Z992">
        <v>80</v>
      </c>
      <c r="AA992">
        <v>0</v>
      </c>
      <c r="AB992">
        <v>8</v>
      </c>
      <c r="AC992">
        <v>2</v>
      </c>
      <c r="AD992">
        <v>4</v>
      </c>
      <c r="AE992">
        <v>5</v>
      </c>
      <c r="AF992">
        <v>4</v>
      </c>
      <c r="AG992">
        <v>1</v>
      </c>
      <c r="AH992">
        <v>2</v>
      </c>
      <c r="AI992">
        <f>IF(tbl_HRData[[#This Row],[Attrition]] = "Yes",1,0)</f>
        <v>0</v>
      </c>
      <c r="AJ992">
        <f>IF(tbl_HRData[[#This Row],[Attrition]] = "No",1,0)</f>
        <v>1</v>
      </c>
      <c r="AK992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992" s="1" t="str">
        <f>IF(tbl_HRData[[#This Row],[MonthlyIncome]]&lt;5000,"Low",
IF(tbl_HRData[[#This Row],[MonthlyIncome]]&lt;10000,"Medium",
IF(tbl_HRData[[#This Row],[MonthlyIncome]]&lt;15000,"Upper Medium","High")))</f>
        <v>Medium</v>
      </c>
      <c r="AM992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993" spans="1:39" x14ac:dyDescent="0.35">
      <c r="A993" s="1">
        <v>992</v>
      </c>
      <c r="B993">
        <v>32</v>
      </c>
      <c r="C993" s="1" t="s">
        <v>40</v>
      </c>
      <c r="D993" s="1" t="s">
        <v>34</v>
      </c>
      <c r="E993">
        <v>499</v>
      </c>
      <c r="F993" s="1" t="s">
        <v>35</v>
      </c>
      <c r="G993">
        <v>2</v>
      </c>
      <c r="H993">
        <v>1</v>
      </c>
      <c r="I993" s="1" t="s">
        <v>56</v>
      </c>
      <c r="J993">
        <v>1396</v>
      </c>
      <c r="K993">
        <v>3</v>
      </c>
      <c r="L993" s="1" t="s">
        <v>43</v>
      </c>
      <c r="M993">
        <v>36</v>
      </c>
      <c r="N993">
        <v>3</v>
      </c>
      <c r="O993">
        <v>2</v>
      </c>
      <c r="P993" s="1" t="s">
        <v>38</v>
      </c>
      <c r="Q993">
        <v>2</v>
      </c>
      <c r="R993" s="1" t="s">
        <v>45</v>
      </c>
      <c r="S993">
        <v>4078</v>
      </c>
      <c r="T993">
        <v>20497</v>
      </c>
      <c r="U993">
        <v>0</v>
      </c>
      <c r="V993" s="1" t="s">
        <v>33</v>
      </c>
      <c r="W993">
        <v>13</v>
      </c>
      <c r="X993">
        <v>3</v>
      </c>
      <c r="Y993">
        <v>1</v>
      </c>
      <c r="Z993">
        <v>80</v>
      </c>
      <c r="AA993">
        <v>3</v>
      </c>
      <c r="AB993">
        <v>4</v>
      </c>
      <c r="AC993">
        <v>3</v>
      </c>
      <c r="AD993">
        <v>2</v>
      </c>
      <c r="AE993">
        <v>3</v>
      </c>
      <c r="AF993">
        <v>2</v>
      </c>
      <c r="AG993">
        <v>1</v>
      </c>
      <c r="AH993">
        <v>2</v>
      </c>
      <c r="AI993">
        <f>IF(tbl_HRData[[#This Row],[Attrition]] = "Yes",1,0)</f>
        <v>0</v>
      </c>
      <c r="AJ993">
        <f>IF(tbl_HRData[[#This Row],[Attrition]] = "No",1,0)</f>
        <v>1</v>
      </c>
      <c r="AK993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993" s="1" t="str">
        <f>IF(tbl_HRData[[#This Row],[MonthlyIncome]]&lt;5000,"Low",
IF(tbl_HRData[[#This Row],[MonthlyIncome]]&lt;10000,"Medium",
IF(tbl_HRData[[#This Row],[MonthlyIncome]]&lt;15000,"Upper Medium","High")))</f>
        <v>Low</v>
      </c>
      <c r="AM993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994" spans="1:39" x14ac:dyDescent="0.35">
      <c r="A994" s="1">
        <v>993</v>
      </c>
      <c r="B994">
        <v>39</v>
      </c>
      <c r="C994" s="1" t="s">
        <v>40</v>
      </c>
      <c r="D994" s="1" t="s">
        <v>52</v>
      </c>
      <c r="E994">
        <v>1485</v>
      </c>
      <c r="F994" s="1" t="s">
        <v>42</v>
      </c>
      <c r="G994">
        <v>25</v>
      </c>
      <c r="H994">
        <v>2</v>
      </c>
      <c r="I994" s="1" t="s">
        <v>36</v>
      </c>
      <c r="J994">
        <v>1397</v>
      </c>
      <c r="K994">
        <v>3</v>
      </c>
      <c r="L994" s="1" t="s">
        <v>43</v>
      </c>
      <c r="M994">
        <v>71</v>
      </c>
      <c r="N994">
        <v>3</v>
      </c>
      <c r="O994">
        <v>3</v>
      </c>
      <c r="P994" s="1" t="s">
        <v>51</v>
      </c>
      <c r="Q994">
        <v>3</v>
      </c>
      <c r="R994" s="1" t="s">
        <v>45</v>
      </c>
      <c r="S994">
        <v>10920</v>
      </c>
      <c r="T994">
        <v>3449</v>
      </c>
      <c r="U994">
        <v>3</v>
      </c>
      <c r="V994" s="1" t="s">
        <v>40</v>
      </c>
      <c r="W994">
        <v>21</v>
      </c>
      <c r="X994">
        <v>4</v>
      </c>
      <c r="Y994">
        <v>2</v>
      </c>
      <c r="Z994">
        <v>80</v>
      </c>
      <c r="AA994">
        <v>1</v>
      </c>
      <c r="AB994">
        <v>13</v>
      </c>
      <c r="AC994">
        <v>2</v>
      </c>
      <c r="AD994">
        <v>3</v>
      </c>
      <c r="AE994">
        <v>6</v>
      </c>
      <c r="AF994">
        <v>4</v>
      </c>
      <c r="AG994">
        <v>0</v>
      </c>
      <c r="AH994">
        <v>5</v>
      </c>
      <c r="AI994">
        <f>IF(tbl_HRData[[#This Row],[Attrition]] = "Yes",1,0)</f>
        <v>0</v>
      </c>
      <c r="AJ994">
        <f>IF(tbl_HRData[[#This Row],[Attrition]] = "No",1,0)</f>
        <v>1</v>
      </c>
      <c r="AK994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994" s="1" t="str">
        <f>IF(tbl_HRData[[#This Row],[MonthlyIncome]]&lt;5000,"Low",
IF(tbl_HRData[[#This Row],[MonthlyIncome]]&lt;10000,"Medium",
IF(tbl_HRData[[#This Row],[MonthlyIncome]]&lt;15000,"Upper Medium","High")))</f>
        <v>Upper Medium</v>
      </c>
      <c r="AM994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995" spans="1:39" x14ac:dyDescent="0.35">
      <c r="A995" s="1">
        <v>994</v>
      </c>
      <c r="B995">
        <v>25</v>
      </c>
      <c r="C995" s="1" t="s">
        <v>40</v>
      </c>
      <c r="D995" s="1" t="s">
        <v>34</v>
      </c>
      <c r="E995">
        <v>1372</v>
      </c>
      <c r="F995" s="1" t="s">
        <v>35</v>
      </c>
      <c r="G995">
        <v>18</v>
      </c>
      <c r="H995">
        <v>1</v>
      </c>
      <c r="I995" s="1" t="s">
        <v>36</v>
      </c>
      <c r="J995">
        <v>1399</v>
      </c>
      <c r="K995">
        <v>1</v>
      </c>
      <c r="L995" s="1" t="s">
        <v>43</v>
      </c>
      <c r="M995">
        <v>93</v>
      </c>
      <c r="N995">
        <v>4</v>
      </c>
      <c r="O995">
        <v>2</v>
      </c>
      <c r="P995" s="1" t="s">
        <v>38</v>
      </c>
      <c r="Q995">
        <v>3</v>
      </c>
      <c r="R995" s="1" t="s">
        <v>45</v>
      </c>
      <c r="S995">
        <v>6232</v>
      </c>
      <c r="T995">
        <v>12477</v>
      </c>
      <c r="U995">
        <v>2</v>
      </c>
      <c r="V995" s="1" t="s">
        <v>40</v>
      </c>
      <c r="W995">
        <v>11</v>
      </c>
      <c r="X995">
        <v>3</v>
      </c>
      <c r="Y995">
        <v>2</v>
      </c>
      <c r="Z995">
        <v>80</v>
      </c>
      <c r="AA995">
        <v>0</v>
      </c>
      <c r="AB995">
        <v>6</v>
      </c>
      <c r="AC995">
        <v>3</v>
      </c>
      <c r="AD995">
        <v>2</v>
      </c>
      <c r="AE995">
        <v>3</v>
      </c>
      <c r="AF995">
        <v>2</v>
      </c>
      <c r="AG995">
        <v>1</v>
      </c>
      <c r="AH995">
        <v>2</v>
      </c>
      <c r="AI995">
        <f>IF(tbl_HRData[[#This Row],[Attrition]] = "Yes",1,0)</f>
        <v>0</v>
      </c>
      <c r="AJ995">
        <f>IF(tbl_HRData[[#This Row],[Attrition]] = "No",1,0)</f>
        <v>1</v>
      </c>
      <c r="AK995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995" s="1" t="str">
        <f>IF(tbl_HRData[[#This Row],[MonthlyIncome]]&lt;5000,"Low",
IF(tbl_HRData[[#This Row],[MonthlyIncome]]&lt;10000,"Medium",
IF(tbl_HRData[[#This Row],[MonthlyIncome]]&lt;15000,"Upper Medium","High")))</f>
        <v>Medium</v>
      </c>
      <c r="AM995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996" spans="1:39" x14ac:dyDescent="0.35">
      <c r="A996" s="1">
        <v>995</v>
      </c>
      <c r="B996">
        <v>52</v>
      </c>
      <c r="C996" s="1" t="s">
        <v>40</v>
      </c>
      <c r="D996" s="1" t="s">
        <v>41</v>
      </c>
      <c r="E996">
        <v>322</v>
      </c>
      <c r="F996" s="1" t="s">
        <v>42</v>
      </c>
      <c r="G996">
        <v>28</v>
      </c>
      <c r="H996">
        <v>2</v>
      </c>
      <c r="I996" s="1" t="s">
        <v>48</v>
      </c>
      <c r="J996">
        <v>1401</v>
      </c>
      <c r="K996">
        <v>4</v>
      </c>
      <c r="L996" s="1" t="s">
        <v>37</v>
      </c>
      <c r="M996">
        <v>59</v>
      </c>
      <c r="N996">
        <v>4</v>
      </c>
      <c r="O996">
        <v>4</v>
      </c>
      <c r="P996" s="1" t="s">
        <v>50</v>
      </c>
      <c r="Q996">
        <v>3</v>
      </c>
      <c r="R996" s="1" t="s">
        <v>45</v>
      </c>
      <c r="S996">
        <v>13247</v>
      </c>
      <c r="T996">
        <v>9731</v>
      </c>
      <c r="U996">
        <v>2</v>
      </c>
      <c r="V996" s="1" t="s">
        <v>33</v>
      </c>
      <c r="W996">
        <v>11</v>
      </c>
      <c r="X996">
        <v>3</v>
      </c>
      <c r="Y996">
        <v>2</v>
      </c>
      <c r="Z996">
        <v>80</v>
      </c>
      <c r="AA996">
        <v>1</v>
      </c>
      <c r="AB996">
        <v>24</v>
      </c>
      <c r="AC996">
        <v>3</v>
      </c>
      <c r="AD996">
        <v>2</v>
      </c>
      <c r="AE996">
        <v>5</v>
      </c>
      <c r="AF996">
        <v>3</v>
      </c>
      <c r="AG996">
        <v>0</v>
      </c>
      <c r="AH996">
        <v>2</v>
      </c>
      <c r="AI996">
        <f>IF(tbl_HRData[[#This Row],[Attrition]] = "Yes",1,0)</f>
        <v>0</v>
      </c>
      <c r="AJ996">
        <f>IF(tbl_HRData[[#This Row],[Attrition]] = "No",1,0)</f>
        <v>1</v>
      </c>
      <c r="AK996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996" s="1" t="str">
        <f>IF(tbl_HRData[[#This Row],[MonthlyIncome]]&lt;5000,"Low",
IF(tbl_HRData[[#This Row],[MonthlyIncome]]&lt;10000,"Medium",
IF(tbl_HRData[[#This Row],[MonthlyIncome]]&lt;15000,"Upper Medium","High")))</f>
        <v>Upper Medium</v>
      </c>
      <c r="AM996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997" spans="1:39" x14ac:dyDescent="0.35">
      <c r="A997" s="1">
        <v>996</v>
      </c>
      <c r="B997">
        <v>43</v>
      </c>
      <c r="C997" s="1" t="s">
        <v>40</v>
      </c>
      <c r="D997" s="1" t="s">
        <v>34</v>
      </c>
      <c r="E997">
        <v>930</v>
      </c>
      <c r="F997" s="1" t="s">
        <v>42</v>
      </c>
      <c r="G997">
        <v>6</v>
      </c>
      <c r="H997">
        <v>3</v>
      </c>
      <c r="I997" s="1" t="s">
        <v>48</v>
      </c>
      <c r="J997">
        <v>1402</v>
      </c>
      <c r="K997">
        <v>1</v>
      </c>
      <c r="L997" s="1" t="s">
        <v>37</v>
      </c>
      <c r="M997">
        <v>73</v>
      </c>
      <c r="N997">
        <v>2</v>
      </c>
      <c r="O997">
        <v>2</v>
      </c>
      <c r="P997" s="1" t="s">
        <v>44</v>
      </c>
      <c r="Q997">
        <v>3</v>
      </c>
      <c r="R997" s="1" t="s">
        <v>39</v>
      </c>
      <c r="S997">
        <v>4081</v>
      </c>
      <c r="T997">
        <v>20003</v>
      </c>
      <c r="U997">
        <v>1</v>
      </c>
      <c r="V997" s="1" t="s">
        <v>33</v>
      </c>
      <c r="W997">
        <v>14</v>
      </c>
      <c r="X997">
        <v>3</v>
      </c>
      <c r="Y997">
        <v>1</v>
      </c>
      <c r="Z997">
        <v>80</v>
      </c>
      <c r="AA997">
        <v>0</v>
      </c>
      <c r="AB997">
        <v>20</v>
      </c>
      <c r="AC997">
        <v>3</v>
      </c>
      <c r="AD997">
        <v>1</v>
      </c>
      <c r="AE997">
        <v>20</v>
      </c>
      <c r="AF997">
        <v>7</v>
      </c>
      <c r="AG997">
        <v>1</v>
      </c>
      <c r="AH997">
        <v>8</v>
      </c>
      <c r="AI997">
        <f>IF(tbl_HRData[[#This Row],[Attrition]] = "Yes",1,0)</f>
        <v>0</v>
      </c>
      <c r="AJ997">
        <f>IF(tbl_HRData[[#This Row],[Attrition]] = "No",1,0)</f>
        <v>1</v>
      </c>
      <c r="AK997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997" s="1" t="str">
        <f>IF(tbl_HRData[[#This Row],[MonthlyIncome]]&lt;5000,"Low",
IF(tbl_HRData[[#This Row],[MonthlyIncome]]&lt;10000,"Medium",
IF(tbl_HRData[[#This Row],[MonthlyIncome]]&lt;15000,"Upper Medium","High")))</f>
        <v>Low</v>
      </c>
      <c r="AM997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998" spans="1:39" x14ac:dyDescent="0.35">
      <c r="A998" s="1">
        <v>997</v>
      </c>
      <c r="B998">
        <v>27</v>
      </c>
      <c r="C998" s="1" t="s">
        <v>40</v>
      </c>
      <c r="D998" s="1" t="s">
        <v>34</v>
      </c>
      <c r="E998">
        <v>205</v>
      </c>
      <c r="F998" s="1" t="s">
        <v>35</v>
      </c>
      <c r="G998">
        <v>10</v>
      </c>
      <c r="H998">
        <v>3</v>
      </c>
      <c r="I998" s="1" t="s">
        <v>56</v>
      </c>
      <c r="J998">
        <v>1403</v>
      </c>
      <c r="K998">
        <v>4</v>
      </c>
      <c r="L998" s="1" t="s">
        <v>37</v>
      </c>
      <c r="M998">
        <v>98</v>
      </c>
      <c r="N998">
        <v>2</v>
      </c>
      <c r="O998">
        <v>2</v>
      </c>
      <c r="P998" s="1" t="s">
        <v>38</v>
      </c>
      <c r="Q998">
        <v>4</v>
      </c>
      <c r="R998" s="1" t="s">
        <v>45</v>
      </c>
      <c r="S998">
        <v>5769</v>
      </c>
      <c r="T998">
        <v>7100</v>
      </c>
      <c r="U998">
        <v>1</v>
      </c>
      <c r="V998" s="1" t="s">
        <v>33</v>
      </c>
      <c r="W998">
        <v>11</v>
      </c>
      <c r="X998">
        <v>3</v>
      </c>
      <c r="Y998">
        <v>4</v>
      </c>
      <c r="Z998">
        <v>80</v>
      </c>
      <c r="AA998">
        <v>0</v>
      </c>
      <c r="AB998">
        <v>6</v>
      </c>
      <c r="AC998">
        <v>3</v>
      </c>
      <c r="AD998">
        <v>3</v>
      </c>
      <c r="AE998">
        <v>6</v>
      </c>
      <c r="AF998">
        <v>2</v>
      </c>
      <c r="AG998">
        <v>4</v>
      </c>
      <c r="AH998">
        <v>4</v>
      </c>
      <c r="AI998">
        <f>IF(tbl_HRData[[#This Row],[Attrition]] = "Yes",1,0)</f>
        <v>0</v>
      </c>
      <c r="AJ998">
        <f>IF(tbl_HRData[[#This Row],[Attrition]] = "No",1,0)</f>
        <v>1</v>
      </c>
      <c r="AK998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998" s="1" t="str">
        <f>IF(tbl_HRData[[#This Row],[MonthlyIncome]]&lt;5000,"Low",
IF(tbl_HRData[[#This Row],[MonthlyIncome]]&lt;10000,"Medium",
IF(tbl_HRData[[#This Row],[MonthlyIncome]]&lt;15000,"Upper Medium","High")))</f>
        <v>Medium</v>
      </c>
      <c r="AM998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999" spans="1:39" x14ac:dyDescent="0.35">
      <c r="A999" s="1">
        <v>998</v>
      </c>
      <c r="B999">
        <v>27</v>
      </c>
      <c r="C999" s="1" t="s">
        <v>33</v>
      </c>
      <c r="D999" s="1" t="s">
        <v>34</v>
      </c>
      <c r="E999">
        <v>135</v>
      </c>
      <c r="F999" s="1" t="s">
        <v>42</v>
      </c>
      <c r="G999">
        <v>17</v>
      </c>
      <c r="H999">
        <v>4</v>
      </c>
      <c r="I999" s="1" t="s">
        <v>36</v>
      </c>
      <c r="J999">
        <v>1405</v>
      </c>
      <c r="K999">
        <v>4</v>
      </c>
      <c r="L999" s="1" t="s">
        <v>37</v>
      </c>
      <c r="M999">
        <v>51</v>
      </c>
      <c r="N999">
        <v>3</v>
      </c>
      <c r="O999">
        <v>1</v>
      </c>
      <c r="P999" s="1" t="s">
        <v>44</v>
      </c>
      <c r="Q999">
        <v>3</v>
      </c>
      <c r="R999" s="1" t="s">
        <v>39</v>
      </c>
      <c r="S999">
        <v>2394</v>
      </c>
      <c r="T999">
        <v>25681</v>
      </c>
      <c r="U999">
        <v>1</v>
      </c>
      <c r="V999" s="1" t="s">
        <v>33</v>
      </c>
      <c r="W999">
        <v>13</v>
      </c>
      <c r="X999">
        <v>3</v>
      </c>
      <c r="Y999">
        <v>4</v>
      </c>
      <c r="Z999">
        <v>80</v>
      </c>
      <c r="AA999">
        <v>0</v>
      </c>
      <c r="AB999">
        <v>8</v>
      </c>
      <c r="AC999">
        <v>2</v>
      </c>
      <c r="AD999">
        <v>3</v>
      </c>
      <c r="AE999">
        <v>8</v>
      </c>
      <c r="AF999">
        <v>2</v>
      </c>
      <c r="AG999">
        <v>7</v>
      </c>
      <c r="AH999">
        <v>7</v>
      </c>
      <c r="AI999">
        <f>IF(tbl_HRData[[#This Row],[Attrition]] = "Yes",1,0)</f>
        <v>1</v>
      </c>
      <c r="AJ999">
        <f>IF(tbl_HRData[[#This Row],[Attrition]] = "No",1,0)</f>
        <v>0</v>
      </c>
      <c r="AK999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999" s="1" t="str">
        <f>IF(tbl_HRData[[#This Row],[MonthlyIncome]]&lt;5000,"Low",
IF(tbl_HRData[[#This Row],[MonthlyIncome]]&lt;10000,"Medium",
IF(tbl_HRData[[#This Row],[MonthlyIncome]]&lt;15000,"Upper Medium","High")))</f>
        <v>Low</v>
      </c>
      <c r="AM999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000" spans="1:39" x14ac:dyDescent="0.35">
      <c r="A1000" s="1">
        <v>999</v>
      </c>
      <c r="B1000">
        <v>26</v>
      </c>
      <c r="C1000" s="1" t="s">
        <v>40</v>
      </c>
      <c r="D1000" s="1" t="s">
        <v>34</v>
      </c>
      <c r="E1000">
        <v>683</v>
      </c>
      <c r="F1000" s="1" t="s">
        <v>42</v>
      </c>
      <c r="G1000">
        <v>2</v>
      </c>
      <c r="H1000">
        <v>1</v>
      </c>
      <c r="I1000" s="1" t="s">
        <v>48</v>
      </c>
      <c r="J1000">
        <v>1407</v>
      </c>
      <c r="K1000">
        <v>1</v>
      </c>
      <c r="L1000" s="1" t="s">
        <v>43</v>
      </c>
      <c r="M1000">
        <v>36</v>
      </c>
      <c r="N1000">
        <v>2</v>
      </c>
      <c r="O1000">
        <v>1</v>
      </c>
      <c r="P1000" s="1" t="s">
        <v>44</v>
      </c>
      <c r="Q1000">
        <v>4</v>
      </c>
      <c r="R1000" s="1" t="s">
        <v>39</v>
      </c>
      <c r="S1000">
        <v>3904</v>
      </c>
      <c r="T1000">
        <v>4050</v>
      </c>
      <c r="U1000">
        <v>0</v>
      </c>
      <c r="V1000" s="1" t="s">
        <v>40</v>
      </c>
      <c r="W1000">
        <v>12</v>
      </c>
      <c r="X1000">
        <v>3</v>
      </c>
      <c r="Y1000">
        <v>4</v>
      </c>
      <c r="Z1000">
        <v>80</v>
      </c>
      <c r="AA1000">
        <v>0</v>
      </c>
      <c r="AB1000">
        <v>5</v>
      </c>
      <c r="AC1000">
        <v>2</v>
      </c>
      <c r="AD1000">
        <v>3</v>
      </c>
      <c r="AE1000">
        <v>4</v>
      </c>
      <c r="AF1000">
        <v>3</v>
      </c>
      <c r="AG1000">
        <v>1</v>
      </c>
      <c r="AH1000">
        <v>1</v>
      </c>
      <c r="AI1000">
        <f>IF(tbl_HRData[[#This Row],[Attrition]] = "Yes",1,0)</f>
        <v>0</v>
      </c>
      <c r="AJ1000">
        <f>IF(tbl_HRData[[#This Row],[Attrition]] = "No",1,0)</f>
        <v>1</v>
      </c>
      <c r="AK1000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000" s="1" t="str">
        <f>IF(tbl_HRData[[#This Row],[MonthlyIncome]]&lt;5000,"Low",
IF(tbl_HRData[[#This Row],[MonthlyIncome]]&lt;10000,"Medium",
IF(tbl_HRData[[#This Row],[MonthlyIncome]]&lt;15000,"Upper Medium","High")))</f>
        <v>Low</v>
      </c>
      <c r="AM1000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001" spans="1:39" x14ac:dyDescent="0.35">
      <c r="A1001" s="1">
        <v>1000</v>
      </c>
      <c r="B1001">
        <v>42</v>
      </c>
      <c r="C1001" s="1" t="s">
        <v>40</v>
      </c>
      <c r="D1001" s="1" t="s">
        <v>34</v>
      </c>
      <c r="E1001">
        <v>1147</v>
      </c>
      <c r="F1001" s="1" t="s">
        <v>58</v>
      </c>
      <c r="G1001">
        <v>10</v>
      </c>
      <c r="H1001">
        <v>3</v>
      </c>
      <c r="I1001" s="1" t="s">
        <v>58</v>
      </c>
      <c r="J1001">
        <v>1408</v>
      </c>
      <c r="K1001">
        <v>3</v>
      </c>
      <c r="L1001" s="1" t="s">
        <v>37</v>
      </c>
      <c r="M1001">
        <v>31</v>
      </c>
      <c r="N1001">
        <v>3</v>
      </c>
      <c r="O1001">
        <v>4</v>
      </c>
      <c r="P1001" s="1" t="s">
        <v>53</v>
      </c>
      <c r="Q1001">
        <v>1</v>
      </c>
      <c r="R1001" s="1" t="s">
        <v>45</v>
      </c>
      <c r="S1001">
        <v>16799</v>
      </c>
      <c r="T1001">
        <v>16616</v>
      </c>
      <c r="U1001">
        <v>0</v>
      </c>
      <c r="V1001" s="1" t="s">
        <v>40</v>
      </c>
      <c r="W1001">
        <v>14</v>
      </c>
      <c r="X1001">
        <v>3</v>
      </c>
      <c r="Y1001">
        <v>3</v>
      </c>
      <c r="Z1001">
        <v>80</v>
      </c>
      <c r="AA1001">
        <v>1</v>
      </c>
      <c r="AB1001">
        <v>21</v>
      </c>
      <c r="AC1001">
        <v>5</v>
      </c>
      <c r="AD1001">
        <v>3</v>
      </c>
      <c r="AE1001">
        <v>20</v>
      </c>
      <c r="AF1001">
        <v>7</v>
      </c>
      <c r="AG1001">
        <v>0</v>
      </c>
      <c r="AH1001">
        <v>9</v>
      </c>
      <c r="AI1001">
        <f>IF(tbl_HRData[[#This Row],[Attrition]] = "Yes",1,0)</f>
        <v>0</v>
      </c>
      <c r="AJ1001">
        <f>IF(tbl_HRData[[#This Row],[Attrition]] = "No",1,0)</f>
        <v>1</v>
      </c>
      <c r="AK1001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001" s="1" t="str">
        <f>IF(tbl_HRData[[#This Row],[MonthlyIncome]]&lt;5000,"Low",
IF(tbl_HRData[[#This Row],[MonthlyIncome]]&lt;10000,"Medium",
IF(tbl_HRData[[#This Row],[MonthlyIncome]]&lt;15000,"Upper Medium","High")))</f>
        <v>High</v>
      </c>
      <c r="AM1001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1002" spans="1:39" x14ac:dyDescent="0.35">
      <c r="A1002" s="1">
        <v>1001</v>
      </c>
      <c r="B1002">
        <v>52</v>
      </c>
      <c r="C1002" s="1" t="s">
        <v>40</v>
      </c>
      <c r="D1002" s="1" t="s">
        <v>34</v>
      </c>
      <c r="E1002">
        <v>258</v>
      </c>
      <c r="F1002" s="1" t="s">
        <v>42</v>
      </c>
      <c r="G1002">
        <v>8</v>
      </c>
      <c r="H1002">
        <v>4</v>
      </c>
      <c r="I1002" s="1" t="s">
        <v>46</v>
      </c>
      <c r="J1002">
        <v>1409</v>
      </c>
      <c r="K1002">
        <v>3</v>
      </c>
      <c r="L1002" s="1" t="s">
        <v>37</v>
      </c>
      <c r="M1002">
        <v>54</v>
      </c>
      <c r="N1002">
        <v>3</v>
      </c>
      <c r="O1002">
        <v>1</v>
      </c>
      <c r="P1002" s="1" t="s">
        <v>47</v>
      </c>
      <c r="Q1002">
        <v>1</v>
      </c>
      <c r="R1002" s="1" t="s">
        <v>45</v>
      </c>
      <c r="S1002">
        <v>2950</v>
      </c>
      <c r="T1002">
        <v>17363</v>
      </c>
      <c r="U1002">
        <v>9</v>
      </c>
      <c r="V1002" s="1" t="s">
        <v>40</v>
      </c>
      <c r="W1002">
        <v>13</v>
      </c>
      <c r="X1002">
        <v>3</v>
      </c>
      <c r="Y1002">
        <v>3</v>
      </c>
      <c r="Z1002">
        <v>80</v>
      </c>
      <c r="AA1002">
        <v>0</v>
      </c>
      <c r="AB1002">
        <v>12</v>
      </c>
      <c r="AC1002">
        <v>2</v>
      </c>
      <c r="AD1002">
        <v>1</v>
      </c>
      <c r="AE1002">
        <v>5</v>
      </c>
      <c r="AF1002">
        <v>4</v>
      </c>
      <c r="AG1002">
        <v>0</v>
      </c>
      <c r="AH1002">
        <v>4</v>
      </c>
      <c r="AI1002">
        <f>IF(tbl_HRData[[#This Row],[Attrition]] = "Yes",1,0)</f>
        <v>0</v>
      </c>
      <c r="AJ1002">
        <f>IF(tbl_HRData[[#This Row],[Attrition]] = "No",1,0)</f>
        <v>1</v>
      </c>
      <c r="AK1002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1002" s="1" t="str">
        <f>IF(tbl_HRData[[#This Row],[MonthlyIncome]]&lt;5000,"Low",
IF(tbl_HRData[[#This Row],[MonthlyIncome]]&lt;10000,"Medium",
IF(tbl_HRData[[#This Row],[MonthlyIncome]]&lt;15000,"Upper Medium","High")))</f>
        <v>Low</v>
      </c>
      <c r="AM1002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003" spans="1:39" x14ac:dyDescent="0.35">
      <c r="A1003" s="1">
        <v>1002</v>
      </c>
      <c r="B1003">
        <v>37</v>
      </c>
      <c r="C1003" s="1" t="s">
        <v>40</v>
      </c>
      <c r="D1003" s="1" t="s">
        <v>34</v>
      </c>
      <c r="E1003">
        <v>1462</v>
      </c>
      <c r="F1003" s="1" t="s">
        <v>42</v>
      </c>
      <c r="G1003">
        <v>11</v>
      </c>
      <c r="H1003">
        <v>3</v>
      </c>
      <c r="I1003" s="1" t="s">
        <v>48</v>
      </c>
      <c r="J1003">
        <v>1411</v>
      </c>
      <c r="K1003">
        <v>1</v>
      </c>
      <c r="L1003" s="1" t="s">
        <v>37</v>
      </c>
      <c r="M1003">
        <v>94</v>
      </c>
      <c r="N1003">
        <v>3</v>
      </c>
      <c r="O1003">
        <v>1</v>
      </c>
      <c r="P1003" s="1" t="s">
        <v>47</v>
      </c>
      <c r="Q1003">
        <v>3</v>
      </c>
      <c r="R1003" s="1" t="s">
        <v>39</v>
      </c>
      <c r="S1003">
        <v>3629</v>
      </c>
      <c r="T1003">
        <v>19106</v>
      </c>
      <c r="U1003">
        <v>4</v>
      </c>
      <c r="V1003" s="1" t="s">
        <v>40</v>
      </c>
      <c r="W1003">
        <v>18</v>
      </c>
      <c r="X1003">
        <v>3</v>
      </c>
      <c r="Y1003">
        <v>1</v>
      </c>
      <c r="Z1003">
        <v>80</v>
      </c>
      <c r="AA1003">
        <v>0</v>
      </c>
      <c r="AB1003">
        <v>8</v>
      </c>
      <c r="AC1003">
        <v>6</v>
      </c>
      <c r="AD1003">
        <v>3</v>
      </c>
      <c r="AE1003">
        <v>3</v>
      </c>
      <c r="AF1003">
        <v>2</v>
      </c>
      <c r="AG1003">
        <v>0</v>
      </c>
      <c r="AH1003">
        <v>2</v>
      </c>
      <c r="AI1003">
        <f>IF(tbl_HRData[[#This Row],[Attrition]] = "Yes",1,0)</f>
        <v>0</v>
      </c>
      <c r="AJ1003">
        <f>IF(tbl_HRData[[#This Row],[Attrition]] = "No",1,0)</f>
        <v>1</v>
      </c>
      <c r="AK1003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003" s="1" t="str">
        <f>IF(tbl_HRData[[#This Row],[MonthlyIncome]]&lt;5000,"Low",
IF(tbl_HRData[[#This Row],[MonthlyIncome]]&lt;10000,"Medium",
IF(tbl_HRData[[#This Row],[MonthlyIncome]]&lt;15000,"Upper Medium","High")))</f>
        <v>Low</v>
      </c>
      <c r="AM1003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004" spans="1:39" x14ac:dyDescent="0.35">
      <c r="A1004" s="1">
        <v>1003</v>
      </c>
      <c r="B1004">
        <v>35</v>
      </c>
      <c r="C1004" s="1" t="s">
        <v>40</v>
      </c>
      <c r="D1004" s="1" t="s">
        <v>41</v>
      </c>
      <c r="E1004">
        <v>200</v>
      </c>
      <c r="F1004" s="1" t="s">
        <v>42</v>
      </c>
      <c r="G1004">
        <v>18</v>
      </c>
      <c r="H1004">
        <v>2</v>
      </c>
      <c r="I1004" s="1" t="s">
        <v>36</v>
      </c>
      <c r="J1004">
        <v>1412</v>
      </c>
      <c r="K1004">
        <v>3</v>
      </c>
      <c r="L1004" s="1" t="s">
        <v>43</v>
      </c>
      <c r="M1004">
        <v>60</v>
      </c>
      <c r="N1004">
        <v>3</v>
      </c>
      <c r="O1004">
        <v>3</v>
      </c>
      <c r="P1004" s="1" t="s">
        <v>50</v>
      </c>
      <c r="Q1004">
        <v>4</v>
      </c>
      <c r="R1004" s="1" t="s">
        <v>39</v>
      </c>
      <c r="S1004">
        <v>9362</v>
      </c>
      <c r="T1004">
        <v>19944</v>
      </c>
      <c r="U1004">
        <v>2</v>
      </c>
      <c r="V1004" s="1" t="s">
        <v>40</v>
      </c>
      <c r="W1004">
        <v>11</v>
      </c>
      <c r="X1004">
        <v>3</v>
      </c>
      <c r="Y1004">
        <v>3</v>
      </c>
      <c r="Z1004">
        <v>80</v>
      </c>
      <c r="AA1004">
        <v>0</v>
      </c>
      <c r="AB1004">
        <v>10</v>
      </c>
      <c r="AC1004">
        <v>2</v>
      </c>
      <c r="AD1004">
        <v>3</v>
      </c>
      <c r="AE1004">
        <v>2</v>
      </c>
      <c r="AF1004">
        <v>2</v>
      </c>
      <c r="AG1004">
        <v>2</v>
      </c>
      <c r="AH1004">
        <v>2</v>
      </c>
      <c r="AI1004">
        <f>IF(tbl_HRData[[#This Row],[Attrition]] = "Yes",1,0)</f>
        <v>0</v>
      </c>
      <c r="AJ1004">
        <f>IF(tbl_HRData[[#This Row],[Attrition]] = "No",1,0)</f>
        <v>1</v>
      </c>
      <c r="AK1004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004" s="1" t="str">
        <f>IF(tbl_HRData[[#This Row],[MonthlyIncome]]&lt;5000,"Low",
IF(tbl_HRData[[#This Row],[MonthlyIncome]]&lt;10000,"Medium",
IF(tbl_HRData[[#This Row],[MonthlyIncome]]&lt;15000,"Upper Medium","High")))</f>
        <v>Medium</v>
      </c>
      <c r="AM1004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005" spans="1:39" x14ac:dyDescent="0.35">
      <c r="A1005" s="1">
        <v>1004</v>
      </c>
      <c r="B1005">
        <v>25</v>
      </c>
      <c r="C1005" s="1" t="s">
        <v>40</v>
      </c>
      <c r="D1005" s="1" t="s">
        <v>34</v>
      </c>
      <c r="E1005">
        <v>949</v>
      </c>
      <c r="F1005" s="1" t="s">
        <v>42</v>
      </c>
      <c r="G1005">
        <v>1</v>
      </c>
      <c r="H1005">
        <v>3</v>
      </c>
      <c r="I1005" s="1" t="s">
        <v>57</v>
      </c>
      <c r="J1005">
        <v>1415</v>
      </c>
      <c r="K1005">
        <v>1</v>
      </c>
      <c r="L1005" s="1" t="s">
        <v>43</v>
      </c>
      <c r="M1005">
        <v>81</v>
      </c>
      <c r="N1005">
        <v>3</v>
      </c>
      <c r="O1005">
        <v>1</v>
      </c>
      <c r="P1005" s="1" t="s">
        <v>47</v>
      </c>
      <c r="Q1005">
        <v>4</v>
      </c>
      <c r="R1005" s="1" t="s">
        <v>45</v>
      </c>
      <c r="S1005">
        <v>3229</v>
      </c>
      <c r="T1005">
        <v>4910</v>
      </c>
      <c r="U1005">
        <v>4</v>
      </c>
      <c r="V1005" s="1" t="s">
        <v>40</v>
      </c>
      <c r="W1005">
        <v>11</v>
      </c>
      <c r="X1005">
        <v>3</v>
      </c>
      <c r="Y1005">
        <v>2</v>
      </c>
      <c r="Z1005">
        <v>80</v>
      </c>
      <c r="AA1005">
        <v>1</v>
      </c>
      <c r="AB1005">
        <v>7</v>
      </c>
      <c r="AC1005">
        <v>2</v>
      </c>
      <c r="AD1005">
        <v>2</v>
      </c>
      <c r="AE1005">
        <v>3</v>
      </c>
      <c r="AF1005">
        <v>2</v>
      </c>
      <c r="AG1005">
        <v>0</v>
      </c>
      <c r="AH1005">
        <v>2</v>
      </c>
      <c r="AI1005">
        <f>IF(tbl_HRData[[#This Row],[Attrition]] = "Yes",1,0)</f>
        <v>0</v>
      </c>
      <c r="AJ1005">
        <f>IF(tbl_HRData[[#This Row],[Attrition]] = "No",1,0)</f>
        <v>1</v>
      </c>
      <c r="AK1005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005" s="1" t="str">
        <f>IF(tbl_HRData[[#This Row],[MonthlyIncome]]&lt;5000,"Low",
IF(tbl_HRData[[#This Row],[MonthlyIncome]]&lt;10000,"Medium",
IF(tbl_HRData[[#This Row],[MonthlyIncome]]&lt;15000,"Upper Medium","High")))</f>
        <v>Low</v>
      </c>
      <c r="AM1005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006" spans="1:39" x14ac:dyDescent="0.35">
      <c r="A1006" s="1">
        <v>1005</v>
      </c>
      <c r="B1006">
        <v>26</v>
      </c>
      <c r="C1006" s="1" t="s">
        <v>40</v>
      </c>
      <c r="D1006" s="1" t="s">
        <v>34</v>
      </c>
      <c r="E1006">
        <v>652</v>
      </c>
      <c r="F1006" s="1" t="s">
        <v>42</v>
      </c>
      <c r="G1006">
        <v>7</v>
      </c>
      <c r="H1006">
        <v>3</v>
      </c>
      <c r="I1006" s="1" t="s">
        <v>46</v>
      </c>
      <c r="J1006">
        <v>1417</v>
      </c>
      <c r="K1006">
        <v>3</v>
      </c>
      <c r="L1006" s="1" t="s">
        <v>43</v>
      </c>
      <c r="M1006">
        <v>100</v>
      </c>
      <c r="N1006">
        <v>4</v>
      </c>
      <c r="O1006">
        <v>1</v>
      </c>
      <c r="P1006" s="1" t="s">
        <v>47</v>
      </c>
      <c r="Q1006">
        <v>1</v>
      </c>
      <c r="R1006" s="1" t="s">
        <v>39</v>
      </c>
      <c r="S1006">
        <v>3578</v>
      </c>
      <c r="T1006">
        <v>23577</v>
      </c>
      <c r="U1006">
        <v>0</v>
      </c>
      <c r="V1006" s="1" t="s">
        <v>40</v>
      </c>
      <c r="W1006">
        <v>12</v>
      </c>
      <c r="X1006">
        <v>3</v>
      </c>
      <c r="Y1006">
        <v>4</v>
      </c>
      <c r="Z1006">
        <v>80</v>
      </c>
      <c r="AA1006">
        <v>0</v>
      </c>
      <c r="AB1006">
        <v>8</v>
      </c>
      <c r="AC1006">
        <v>2</v>
      </c>
      <c r="AD1006">
        <v>3</v>
      </c>
      <c r="AE1006">
        <v>7</v>
      </c>
      <c r="AF1006">
        <v>7</v>
      </c>
      <c r="AG1006">
        <v>0</v>
      </c>
      <c r="AH1006">
        <v>7</v>
      </c>
      <c r="AI1006">
        <f>IF(tbl_HRData[[#This Row],[Attrition]] = "Yes",1,0)</f>
        <v>0</v>
      </c>
      <c r="AJ1006">
        <f>IF(tbl_HRData[[#This Row],[Attrition]] = "No",1,0)</f>
        <v>1</v>
      </c>
      <c r="AK1006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006" s="1" t="str">
        <f>IF(tbl_HRData[[#This Row],[MonthlyIncome]]&lt;5000,"Low",
IF(tbl_HRData[[#This Row],[MonthlyIncome]]&lt;10000,"Medium",
IF(tbl_HRData[[#This Row],[MonthlyIncome]]&lt;15000,"Upper Medium","High")))</f>
        <v>Low</v>
      </c>
      <c r="AM1006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007" spans="1:39" x14ac:dyDescent="0.35">
      <c r="A1007" s="1">
        <v>1006</v>
      </c>
      <c r="B1007">
        <v>29</v>
      </c>
      <c r="C1007" s="1" t="s">
        <v>40</v>
      </c>
      <c r="D1007" s="1" t="s">
        <v>34</v>
      </c>
      <c r="E1007">
        <v>332</v>
      </c>
      <c r="F1007" s="1" t="s">
        <v>58</v>
      </c>
      <c r="G1007">
        <v>17</v>
      </c>
      <c r="H1007">
        <v>3</v>
      </c>
      <c r="I1007" s="1" t="s">
        <v>46</v>
      </c>
      <c r="J1007">
        <v>1419</v>
      </c>
      <c r="K1007">
        <v>2</v>
      </c>
      <c r="L1007" s="1" t="s">
        <v>43</v>
      </c>
      <c r="M1007">
        <v>51</v>
      </c>
      <c r="N1007">
        <v>2</v>
      </c>
      <c r="O1007">
        <v>3</v>
      </c>
      <c r="P1007" s="1" t="s">
        <v>58</v>
      </c>
      <c r="Q1007">
        <v>1</v>
      </c>
      <c r="R1007" s="1" t="s">
        <v>39</v>
      </c>
      <c r="S1007">
        <v>7988</v>
      </c>
      <c r="T1007">
        <v>9769</v>
      </c>
      <c r="U1007">
        <v>1</v>
      </c>
      <c r="V1007" s="1" t="s">
        <v>40</v>
      </c>
      <c r="W1007">
        <v>13</v>
      </c>
      <c r="X1007">
        <v>3</v>
      </c>
      <c r="Y1007">
        <v>1</v>
      </c>
      <c r="Z1007">
        <v>80</v>
      </c>
      <c r="AA1007">
        <v>0</v>
      </c>
      <c r="AB1007">
        <v>10</v>
      </c>
      <c r="AC1007">
        <v>3</v>
      </c>
      <c r="AD1007">
        <v>2</v>
      </c>
      <c r="AE1007">
        <v>10</v>
      </c>
      <c r="AF1007">
        <v>9</v>
      </c>
      <c r="AG1007">
        <v>0</v>
      </c>
      <c r="AH1007">
        <v>9</v>
      </c>
      <c r="AI1007">
        <f>IF(tbl_HRData[[#This Row],[Attrition]] = "Yes",1,0)</f>
        <v>0</v>
      </c>
      <c r="AJ1007">
        <f>IF(tbl_HRData[[#This Row],[Attrition]] = "No",1,0)</f>
        <v>1</v>
      </c>
      <c r="AK1007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007" s="1" t="str">
        <f>IF(tbl_HRData[[#This Row],[MonthlyIncome]]&lt;5000,"Low",
IF(tbl_HRData[[#This Row],[MonthlyIncome]]&lt;10000,"Medium",
IF(tbl_HRData[[#This Row],[MonthlyIncome]]&lt;15000,"Upper Medium","High")))</f>
        <v>Medium</v>
      </c>
      <c r="AM1007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008" spans="1:39" x14ac:dyDescent="0.35">
      <c r="A1008" s="1">
        <v>1007</v>
      </c>
      <c r="B1008">
        <v>49</v>
      </c>
      <c r="C1008" s="1" t="s">
        <v>33</v>
      </c>
      <c r="D1008" s="1" t="s">
        <v>41</v>
      </c>
      <c r="E1008">
        <v>1475</v>
      </c>
      <c r="F1008" s="1" t="s">
        <v>42</v>
      </c>
      <c r="G1008">
        <v>28</v>
      </c>
      <c r="H1008">
        <v>2</v>
      </c>
      <c r="I1008" s="1" t="s">
        <v>36</v>
      </c>
      <c r="J1008">
        <v>1420</v>
      </c>
      <c r="K1008">
        <v>1</v>
      </c>
      <c r="L1008" s="1" t="s">
        <v>43</v>
      </c>
      <c r="M1008">
        <v>97</v>
      </c>
      <c r="N1008">
        <v>2</v>
      </c>
      <c r="O1008">
        <v>2</v>
      </c>
      <c r="P1008" s="1" t="s">
        <v>47</v>
      </c>
      <c r="Q1008">
        <v>1</v>
      </c>
      <c r="R1008" s="1" t="s">
        <v>39</v>
      </c>
      <c r="S1008">
        <v>4284</v>
      </c>
      <c r="T1008">
        <v>22710</v>
      </c>
      <c r="U1008">
        <v>3</v>
      </c>
      <c r="V1008" s="1" t="s">
        <v>40</v>
      </c>
      <c r="W1008">
        <v>20</v>
      </c>
      <c r="X1008">
        <v>4</v>
      </c>
      <c r="Y1008">
        <v>1</v>
      </c>
      <c r="Z1008">
        <v>80</v>
      </c>
      <c r="AA1008">
        <v>0</v>
      </c>
      <c r="AB1008">
        <v>20</v>
      </c>
      <c r="AC1008">
        <v>2</v>
      </c>
      <c r="AD1008">
        <v>3</v>
      </c>
      <c r="AE1008">
        <v>4</v>
      </c>
      <c r="AF1008">
        <v>3</v>
      </c>
      <c r="AG1008">
        <v>1</v>
      </c>
      <c r="AH1008">
        <v>3</v>
      </c>
      <c r="AI1008">
        <f>IF(tbl_HRData[[#This Row],[Attrition]] = "Yes",1,0)</f>
        <v>1</v>
      </c>
      <c r="AJ1008">
        <f>IF(tbl_HRData[[#This Row],[Attrition]] = "No",1,0)</f>
        <v>0</v>
      </c>
      <c r="AK1008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1008" s="1" t="str">
        <f>IF(tbl_HRData[[#This Row],[MonthlyIncome]]&lt;5000,"Low",
IF(tbl_HRData[[#This Row],[MonthlyIncome]]&lt;10000,"Medium",
IF(tbl_HRData[[#This Row],[MonthlyIncome]]&lt;15000,"Upper Medium","High")))</f>
        <v>Low</v>
      </c>
      <c r="AM1008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009" spans="1:39" x14ac:dyDescent="0.35">
      <c r="A1009" s="1">
        <v>1008</v>
      </c>
      <c r="B1009">
        <v>29</v>
      </c>
      <c r="C1009" s="1" t="s">
        <v>33</v>
      </c>
      <c r="D1009" s="1" t="s">
        <v>41</v>
      </c>
      <c r="E1009">
        <v>337</v>
      </c>
      <c r="F1009" s="1" t="s">
        <v>42</v>
      </c>
      <c r="G1009">
        <v>14</v>
      </c>
      <c r="H1009">
        <v>1</v>
      </c>
      <c r="I1009" s="1" t="s">
        <v>46</v>
      </c>
      <c r="J1009">
        <v>1421</v>
      </c>
      <c r="K1009">
        <v>3</v>
      </c>
      <c r="L1009" s="1" t="s">
        <v>37</v>
      </c>
      <c r="M1009">
        <v>84</v>
      </c>
      <c r="N1009">
        <v>3</v>
      </c>
      <c r="O1009">
        <v>3</v>
      </c>
      <c r="P1009" s="1" t="s">
        <v>51</v>
      </c>
      <c r="Q1009">
        <v>4</v>
      </c>
      <c r="R1009" s="1" t="s">
        <v>39</v>
      </c>
      <c r="S1009">
        <v>7553</v>
      </c>
      <c r="T1009">
        <v>22930</v>
      </c>
      <c r="U1009">
        <v>0</v>
      </c>
      <c r="V1009" s="1" t="s">
        <v>33</v>
      </c>
      <c r="W1009">
        <v>12</v>
      </c>
      <c r="X1009">
        <v>3</v>
      </c>
      <c r="Y1009">
        <v>1</v>
      </c>
      <c r="Z1009">
        <v>80</v>
      </c>
      <c r="AA1009">
        <v>0</v>
      </c>
      <c r="AB1009">
        <v>9</v>
      </c>
      <c r="AC1009">
        <v>1</v>
      </c>
      <c r="AD1009">
        <v>3</v>
      </c>
      <c r="AE1009">
        <v>8</v>
      </c>
      <c r="AF1009">
        <v>7</v>
      </c>
      <c r="AG1009">
        <v>7</v>
      </c>
      <c r="AH1009">
        <v>7</v>
      </c>
      <c r="AI1009">
        <f>IF(tbl_HRData[[#This Row],[Attrition]] = "Yes",1,0)</f>
        <v>1</v>
      </c>
      <c r="AJ1009">
        <f>IF(tbl_HRData[[#This Row],[Attrition]] = "No",1,0)</f>
        <v>0</v>
      </c>
      <c r="AK1009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009" s="1" t="str">
        <f>IF(tbl_HRData[[#This Row],[MonthlyIncome]]&lt;5000,"Low",
IF(tbl_HRData[[#This Row],[MonthlyIncome]]&lt;10000,"Medium",
IF(tbl_HRData[[#This Row],[MonthlyIncome]]&lt;15000,"Upper Medium","High")))</f>
        <v>Medium</v>
      </c>
      <c r="AM1009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010" spans="1:39" x14ac:dyDescent="0.35">
      <c r="A1010" s="1">
        <v>1009</v>
      </c>
      <c r="B1010">
        <v>54</v>
      </c>
      <c r="C1010" s="1" t="s">
        <v>40</v>
      </c>
      <c r="D1010" s="1" t="s">
        <v>34</v>
      </c>
      <c r="E1010">
        <v>971</v>
      </c>
      <c r="F1010" s="1" t="s">
        <v>42</v>
      </c>
      <c r="G1010">
        <v>1</v>
      </c>
      <c r="H1010">
        <v>3</v>
      </c>
      <c r="I1010" s="1" t="s">
        <v>48</v>
      </c>
      <c r="J1010">
        <v>1422</v>
      </c>
      <c r="K1010">
        <v>4</v>
      </c>
      <c r="L1010" s="1" t="s">
        <v>37</v>
      </c>
      <c r="M1010">
        <v>54</v>
      </c>
      <c r="N1010">
        <v>3</v>
      </c>
      <c r="O1010">
        <v>4</v>
      </c>
      <c r="P1010" s="1" t="s">
        <v>55</v>
      </c>
      <c r="Q1010">
        <v>4</v>
      </c>
      <c r="R1010" s="1" t="s">
        <v>39</v>
      </c>
      <c r="S1010">
        <v>17328</v>
      </c>
      <c r="T1010">
        <v>5652</v>
      </c>
      <c r="U1010">
        <v>6</v>
      </c>
      <c r="V1010" s="1" t="s">
        <v>40</v>
      </c>
      <c r="W1010">
        <v>19</v>
      </c>
      <c r="X1010">
        <v>3</v>
      </c>
      <c r="Y1010">
        <v>4</v>
      </c>
      <c r="Z1010">
        <v>80</v>
      </c>
      <c r="AA1010">
        <v>0</v>
      </c>
      <c r="AB1010">
        <v>29</v>
      </c>
      <c r="AC1010">
        <v>3</v>
      </c>
      <c r="AD1010">
        <v>2</v>
      </c>
      <c r="AE1010">
        <v>20</v>
      </c>
      <c r="AF1010">
        <v>7</v>
      </c>
      <c r="AG1010">
        <v>12</v>
      </c>
      <c r="AH1010">
        <v>7</v>
      </c>
      <c r="AI1010">
        <f>IF(tbl_HRData[[#This Row],[Attrition]] = "Yes",1,0)</f>
        <v>0</v>
      </c>
      <c r="AJ1010">
        <f>IF(tbl_HRData[[#This Row],[Attrition]] = "No",1,0)</f>
        <v>1</v>
      </c>
      <c r="AK1010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1010" s="1" t="str">
        <f>IF(tbl_HRData[[#This Row],[MonthlyIncome]]&lt;5000,"Low",
IF(tbl_HRData[[#This Row],[MonthlyIncome]]&lt;10000,"Medium",
IF(tbl_HRData[[#This Row],[MonthlyIncome]]&lt;15000,"Upper Medium","High")))</f>
        <v>High</v>
      </c>
      <c r="AM1010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1011" spans="1:39" x14ac:dyDescent="0.35">
      <c r="A1011" s="1">
        <v>1010</v>
      </c>
      <c r="B1011">
        <v>58</v>
      </c>
      <c r="C1011" s="1" t="s">
        <v>40</v>
      </c>
      <c r="D1011" s="1" t="s">
        <v>34</v>
      </c>
      <c r="E1011">
        <v>1055</v>
      </c>
      <c r="F1011" s="1" t="s">
        <v>42</v>
      </c>
      <c r="G1011">
        <v>1</v>
      </c>
      <c r="H1011">
        <v>3</v>
      </c>
      <c r="I1011" s="1" t="s">
        <v>48</v>
      </c>
      <c r="J1011">
        <v>1423</v>
      </c>
      <c r="K1011">
        <v>4</v>
      </c>
      <c r="L1011" s="1" t="s">
        <v>37</v>
      </c>
      <c r="M1011">
        <v>76</v>
      </c>
      <c r="N1011">
        <v>3</v>
      </c>
      <c r="O1011">
        <v>5</v>
      </c>
      <c r="P1011" s="1" t="s">
        <v>55</v>
      </c>
      <c r="Q1011">
        <v>1</v>
      </c>
      <c r="R1011" s="1" t="s">
        <v>45</v>
      </c>
      <c r="S1011">
        <v>19701</v>
      </c>
      <c r="T1011">
        <v>22456</v>
      </c>
      <c r="U1011">
        <v>3</v>
      </c>
      <c r="V1011" s="1" t="s">
        <v>33</v>
      </c>
      <c r="W1011">
        <v>21</v>
      </c>
      <c r="X1011">
        <v>4</v>
      </c>
      <c r="Y1011">
        <v>3</v>
      </c>
      <c r="Z1011">
        <v>80</v>
      </c>
      <c r="AA1011">
        <v>1</v>
      </c>
      <c r="AB1011">
        <v>32</v>
      </c>
      <c r="AC1011">
        <v>3</v>
      </c>
      <c r="AD1011">
        <v>3</v>
      </c>
      <c r="AE1011">
        <v>9</v>
      </c>
      <c r="AF1011">
        <v>8</v>
      </c>
      <c r="AG1011">
        <v>1</v>
      </c>
      <c r="AH1011">
        <v>5</v>
      </c>
      <c r="AI1011">
        <f>IF(tbl_HRData[[#This Row],[Attrition]] = "Yes",1,0)</f>
        <v>0</v>
      </c>
      <c r="AJ1011">
        <f>IF(tbl_HRData[[#This Row],[Attrition]] = "No",1,0)</f>
        <v>1</v>
      </c>
      <c r="AK1011" t="str">
        <f>IF(tbl_HRData[[#This Row],[Age]] &lt; 25, "Under 25", IF(tbl_HRData[[#This Row],[Age]] &lt;= 34, "25-34", IF(tbl_HRData[[#This Row],[Age]] &lt;= 44, "35-44", IF(tbl_HRData[[#This Row],[Age]] &lt;= 54, "45-54", "55+"))))</f>
        <v>55+</v>
      </c>
      <c r="AL1011" s="1" t="str">
        <f>IF(tbl_HRData[[#This Row],[MonthlyIncome]]&lt;5000,"Low",
IF(tbl_HRData[[#This Row],[MonthlyIncome]]&lt;10000,"Medium",
IF(tbl_HRData[[#This Row],[MonthlyIncome]]&lt;15000,"Upper Medium","High")))</f>
        <v>High</v>
      </c>
      <c r="AM1011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012" spans="1:39" x14ac:dyDescent="0.35">
      <c r="A1012" s="1">
        <v>1011</v>
      </c>
      <c r="B1012">
        <v>55</v>
      </c>
      <c r="C1012" s="1" t="s">
        <v>40</v>
      </c>
      <c r="D1012" s="1" t="s">
        <v>34</v>
      </c>
      <c r="E1012">
        <v>1136</v>
      </c>
      <c r="F1012" s="1" t="s">
        <v>42</v>
      </c>
      <c r="G1012">
        <v>1</v>
      </c>
      <c r="H1012">
        <v>4</v>
      </c>
      <c r="I1012" s="1" t="s">
        <v>48</v>
      </c>
      <c r="J1012">
        <v>1424</v>
      </c>
      <c r="K1012">
        <v>2</v>
      </c>
      <c r="L1012" s="1" t="s">
        <v>43</v>
      </c>
      <c r="M1012">
        <v>81</v>
      </c>
      <c r="N1012">
        <v>4</v>
      </c>
      <c r="O1012">
        <v>4</v>
      </c>
      <c r="P1012" s="1" t="s">
        <v>55</v>
      </c>
      <c r="Q1012">
        <v>4</v>
      </c>
      <c r="R1012" s="1" t="s">
        <v>49</v>
      </c>
      <c r="S1012">
        <v>14732</v>
      </c>
      <c r="T1012">
        <v>12414</v>
      </c>
      <c r="U1012">
        <v>2</v>
      </c>
      <c r="V1012" s="1" t="s">
        <v>40</v>
      </c>
      <c r="W1012">
        <v>13</v>
      </c>
      <c r="X1012">
        <v>3</v>
      </c>
      <c r="Y1012">
        <v>4</v>
      </c>
      <c r="Z1012">
        <v>80</v>
      </c>
      <c r="AA1012">
        <v>2</v>
      </c>
      <c r="AB1012">
        <v>31</v>
      </c>
      <c r="AC1012">
        <v>4</v>
      </c>
      <c r="AD1012">
        <v>4</v>
      </c>
      <c r="AE1012">
        <v>7</v>
      </c>
      <c r="AF1012">
        <v>7</v>
      </c>
      <c r="AG1012">
        <v>0</v>
      </c>
      <c r="AH1012">
        <v>0</v>
      </c>
      <c r="AI1012">
        <f>IF(tbl_HRData[[#This Row],[Attrition]] = "Yes",1,0)</f>
        <v>0</v>
      </c>
      <c r="AJ1012">
        <f>IF(tbl_HRData[[#This Row],[Attrition]] = "No",1,0)</f>
        <v>1</v>
      </c>
      <c r="AK1012" t="str">
        <f>IF(tbl_HRData[[#This Row],[Age]] &lt; 25, "Under 25", IF(tbl_HRData[[#This Row],[Age]] &lt;= 34, "25-34", IF(tbl_HRData[[#This Row],[Age]] &lt;= 44, "35-44", IF(tbl_HRData[[#This Row],[Age]] &lt;= 54, "45-54", "55+"))))</f>
        <v>55+</v>
      </c>
      <c r="AL1012" s="1" t="str">
        <f>IF(tbl_HRData[[#This Row],[MonthlyIncome]]&lt;5000,"Low",
IF(tbl_HRData[[#This Row],[MonthlyIncome]]&lt;10000,"Medium",
IF(tbl_HRData[[#This Row],[MonthlyIncome]]&lt;15000,"Upper Medium","High")))</f>
        <v>Upper Medium</v>
      </c>
      <c r="AM1012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013" spans="1:39" x14ac:dyDescent="0.35">
      <c r="A1013" s="1">
        <v>1012</v>
      </c>
      <c r="B1013">
        <v>36</v>
      </c>
      <c r="C1013" s="1" t="s">
        <v>40</v>
      </c>
      <c r="D1013" s="1" t="s">
        <v>34</v>
      </c>
      <c r="E1013">
        <v>1174</v>
      </c>
      <c r="F1013" s="1" t="s">
        <v>35</v>
      </c>
      <c r="G1013">
        <v>3</v>
      </c>
      <c r="H1013">
        <v>4</v>
      </c>
      <c r="I1013" s="1" t="s">
        <v>56</v>
      </c>
      <c r="J1013">
        <v>1425</v>
      </c>
      <c r="K1013">
        <v>1</v>
      </c>
      <c r="L1013" s="1" t="s">
        <v>37</v>
      </c>
      <c r="M1013">
        <v>99</v>
      </c>
      <c r="N1013">
        <v>3</v>
      </c>
      <c r="O1013">
        <v>2</v>
      </c>
      <c r="P1013" s="1" t="s">
        <v>38</v>
      </c>
      <c r="Q1013">
        <v>2</v>
      </c>
      <c r="R1013" s="1" t="s">
        <v>39</v>
      </c>
      <c r="S1013">
        <v>9278</v>
      </c>
      <c r="T1013">
        <v>20763</v>
      </c>
      <c r="U1013">
        <v>3</v>
      </c>
      <c r="V1013" s="1" t="s">
        <v>33</v>
      </c>
      <c r="W1013">
        <v>16</v>
      </c>
      <c r="X1013">
        <v>3</v>
      </c>
      <c r="Y1013">
        <v>4</v>
      </c>
      <c r="Z1013">
        <v>80</v>
      </c>
      <c r="AA1013">
        <v>0</v>
      </c>
      <c r="AB1013">
        <v>15</v>
      </c>
      <c r="AC1013">
        <v>3</v>
      </c>
      <c r="AD1013">
        <v>3</v>
      </c>
      <c r="AE1013">
        <v>5</v>
      </c>
      <c r="AF1013">
        <v>4</v>
      </c>
      <c r="AG1013">
        <v>0</v>
      </c>
      <c r="AH1013">
        <v>1</v>
      </c>
      <c r="AI1013">
        <f>IF(tbl_HRData[[#This Row],[Attrition]] = "Yes",1,0)</f>
        <v>0</v>
      </c>
      <c r="AJ1013">
        <f>IF(tbl_HRData[[#This Row],[Attrition]] = "No",1,0)</f>
        <v>1</v>
      </c>
      <c r="AK1013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013" s="1" t="str">
        <f>IF(tbl_HRData[[#This Row],[MonthlyIncome]]&lt;5000,"Low",
IF(tbl_HRData[[#This Row],[MonthlyIncome]]&lt;10000,"Medium",
IF(tbl_HRData[[#This Row],[MonthlyIncome]]&lt;15000,"Upper Medium","High")))</f>
        <v>Medium</v>
      </c>
      <c r="AM1013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014" spans="1:39" x14ac:dyDescent="0.35">
      <c r="A1014" s="1">
        <v>1013</v>
      </c>
      <c r="B1014">
        <v>31</v>
      </c>
      <c r="C1014" s="1" t="s">
        <v>33</v>
      </c>
      <c r="D1014" s="1" t="s">
        <v>41</v>
      </c>
      <c r="E1014">
        <v>667</v>
      </c>
      <c r="F1014" s="1" t="s">
        <v>35</v>
      </c>
      <c r="G1014">
        <v>1</v>
      </c>
      <c r="H1014">
        <v>4</v>
      </c>
      <c r="I1014" s="1" t="s">
        <v>36</v>
      </c>
      <c r="J1014">
        <v>1427</v>
      </c>
      <c r="K1014">
        <v>2</v>
      </c>
      <c r="L1014" s="1" t="s">
        <v>37</v>
      </c>
      <c r="M1014">
        <v>50</v>
      </c>
      <c r="N1014">
        <v>1</v>
      </c>
      <c r="O1014">
        <v>1</v>
      </c>
      <c r="P1014" s="1" t="s">
        <v>54</v>
      </c>
      <c r="Q1014">
        <v>3</v>
      </c>
      <c r="R1014" s="1" t="s">
        <v>39</v>
      </c>
      <c r="S1014">
        <v>1359</v>
      </c>
      <c r="T1014">
        <v>16154</v>
      </c>
      <c r="U1014">
        <v>1</v>
      </c>
      <c r="V1014" s="1" t="s">
        <v>40</v>
      </c>
      <c r="W1014">
        <v>12</v>
      </c>
      <c r="X1014">
        <v>3</v>
      </c>
      <c r="Y1014">
        <v>2</v>
      </c>
      <c r="Z1014">
        <v>80</v>
      </c>
      <c r="AA1014">
        <v>0</v>
      </c>
      <c r="AB1014">
        <v>1</v>
      </c>
      <c r="AC1014">
        <v>3</v>
      </c>
      <c r="AD1014">
        <v>3</v>
      </c>
      <c r="AE1014">
        <v>1</v>
      </c>
      <c r="AF1014">
        <v>0</v>
      </c>
      <c r="AG1014">
        <v>0</v>
      </c>
      <c r="AH1014">
        <v>0</v>
      </c>
      <c r="AI1014">
        <f>IF(tbl_HRData[[#This Row],[Attrition]] = "Yes",1,0)</f>
        <v>1</v>
      </c>
      <c r="AJ1014">
        <f>IF(tbl_HRData[[#This Row],[Attrition]] = "No",1,0)</f>
        <v>0</v>
      </c>
      <c r="AK1014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014" s="1" t="str">
        <f>IF(tbl_HRData[[#This Row],[MonthlyIncome]]&lt;5000,"Low",
IF(tbl_HRData[[#This Row],[MonthlyIncome]]&lt;10000,"Medium",
IF(tbl_HRData[[#This Row],[MonthlyIncome]]&lt;15000,"Upper Medium","High")))</f>
        <v>Low</v>
      </c>
      <c r="AM1014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015" spans="1:39" x14ac:dyDescent="0.35">
      <c r="A1015" s="1">
        <v>1014</v>
      </c>
      <c r="B1015">
        <v>30</v>
      </c>
      <c r="C1015" s="1" t="s">
        <v>40</v>
      </c>
      <c r="D1015" s="1" t="s">
        <v>34</v>
      </c>
      <c r="E1015">
        <v>855</v>
      </c>
      <c r="F1015" s="1" t="s">
        <v>35</v>
      </c>
      <c r="G1015">
        <v>7</v>
      </c>
      <c r="H1015">
        <v>4</v>
      </c>
      <c r="I1015" s="1" t="s">
        <v>56</v>
      </c>
      <c r="J1015">
        <v>1428</v>
      </c>
      <c r="K1015">
        <v>4</v>
      </c>
      <c r="L1015" s="1" t="s">
        <v>37</v>
      </c>
      <c r="M1015">
        <v>73</v>
      </c>
      <c r="N1015">
        <v>3</v>
      </c>
      <c r="O1015">
        <v>2</v>
      </c>
      <c r="P1015" s="1" t="s">
        <v>38</v>
      </c>
      <c r="Q1015">
        <v>1</v>
      </c>
      <c r="R1015" s="1" t="s">
        <v>49</v>
      </c>
      <c r="S1015">
        <v>4779</v>
      </c>
      <c r="T1015">
        <v>12761</v>
      </c>
      <c r="U1015">
        <v>7</v>
      </c>
      <c r="V1015" s="1" t="s">
        <v>40</v>
      </c>
      <c r="W1015">
        <v>14</v>
      </c>
      <c r="X1015">
        <v>3</v>
      </c>
      <c r="Y1015">
        <v>2</v>
      </c>
      <c r="Z1015">
        <v>80</v>
      </c>
      <c r="AA1015">
        <v>2</v>
      </c>
      <c r="AB1015">
        <v>8</v>
      </c>
      <c r="AC1015">
        <v>3</v>
      </c>
      <c r="AD1015">
        <v>3</v>
      </c>
      <c r="AE1015">
        <v>3</v>
      </c>
      <c r="AF1015">
        <v>2</v>
      </c>
      <c r="AG1015">
        <v>0</v>
      </c>
      <c r="AH1015">
        <v>2</v>
      </c>
      <c r="AI1015">
        <f>IF(tbl_HRData[[#This Row],[Attrition]] = "Yes",1,0)</f>
        <v>0</v>
      </c>
      <c r="AJ1015">
        <f>IF(tbl_HRData[[#This Row],[Attrition]] = "No",1,0)</f>
        <v>1</v>
      </c>
      <c r="AK1015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015" s="1" t="str">
        <f>IF(tbl_HRData[[#This Row],[MonthlyIncome]]&lt;5000,"Low",
IF(tbl_HRData[[#This Row],[MonthlyIncome]]&lt;10000,"Medium",
IF(tbl_HRData[[#This Row],[MonthlyIncome]]&lt;15000,"Upper Medium","High")))</f>
        <v>Low</v>
      </c>
      <c r="AM1015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016" spans="1:39" x14ac:dyDescent="0.35">
      <c r="A1016" s="1">
        <v>1015</v>
      </c>
      <c r="B1016">
        <v>31</v>
      </c>
      <c r="C1016" s="1" t="s">
        <v>40</v>
      </c>
      <c r="D1016" s="1" t="s">
        <v>34</v>
      </c>
      <c r="E1016">
        <v>182</v>
      </c>
      <c r="F1016" s="1" t="s">
        <v>42</v>
      </c>
      <c r="G1016">
        <v>8</v>
      </c>
      <c r="H1016">
        <v>5</v>
      </c>
      <c r="I1016" s="1" t="s">
        <v>36</v>
      </c>
      <c r="J1016">
        <v>1430</v>
      </c>
      <c r="K1016">
        <v>1</v>
      </c>
      <c r="L1016" s="1" t="s">
        <v>37</v>
      </c>
      <c r="M1016">
        <v>93</v>
      </c>
      <c r="N1016">
        <v>3</v>
      </c>
      <c r="O1016">
        <v>4</v>
      </c>
      <c r="P1016" s="1" t="s">
        <v>55</v>
      </c>
      <c r="Q1016">
        <v>2</v>
      </c>
      <c r="R1016" s="1" t="s">
        <v>39</v>
      </c>
      <c r="S1016">
        <v>16422</v>
      </c>
      <c r="T1016">
        <v>8847</v>
      </c>
      <c r="U1016">
        <v>3</v>
      </c>
      <c r="V1016" s="1" t="s">
        <v>40</v>
      </c>
      <c r="W1016">
        <v>11</v>
      </c>
      <c r="X1016">
        <v>3</v>
      </c>
      <c r="Y1016">
        <v>3</v>
      </c>
      <c r="Z1016">
        <v>80</v>
      </c>
      <c r="AA1016">
        <v>0</v>
      </c>
      <c r="AB1016">
        <v>9</v>
      </c>
      <c r="AC1016">
        <v>3</v>
      </c>
      <c r="AD1016">
        <v>4</v>
      </c>
      <c r="AE1016">
        <v>3</v>
      </c>
      <c r="AF1016">
        <v>2</v>
      </c>
      <c r="AG1016">
        <v>1</v>
      </c>
      <c r="AH1016">
        <v>0</v>
      </c>
      <c r="AI1016">
        <f>IF(tbl_HRData[[#This Row],[Attrition]] = "Yes",1,0)</f>
        <v>0</v>
      </c>
      <c r="AJ1016">
        <f>IF(tbl_HRData[[#This Row],[Attrition]] = "No",1,0)</f>
        <v>1</v>
      </c>
      <c r="AK1016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016" s="1" t="str">
        <f>IF(tbl_HRData[[#This Row],[MonthlyIncome]]&lt;5000,"Low",
IF(tbl_HRData[[#This Row],[MonthlyIncome]]&lt;10000,"Medium",
IF(tbl_HRData[[#This Row],[MonthlyIncome]]&lt;15000,"Upper Medium","High")))</f>
        <v>High</v>
      </c>
      <c r="AM1016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017" spans="1:39" x14ac:dyDescent="0.35">
      <c r="A1017" s="1">
        <v>1016</v>
      </c>
      <c r="B1017">
        <v>34</v>
      </c>
      <c r="C1017" s="1" t="s">
        <v>40</v>
      </c>
      <c r="D1017" s="1" t="s">
        <v>41</v>
      </c>
      <c r="E1017">
        <v>560</v>
      </c>
      <c r="F1017" s="1" t="s">
        <v>42</v>
      </c>
      <c r="G1017">
        <v>1</v>
      </c>
      <c r="H1017">
        <v>4</v>
      </c>
      <c r="I1017" s="1" t="s">
        <v>46</v>
      </c>
      <c r="J1017">
        <v>1431</v>
      </c>
      <c r="K1017">
        <v>4</v>
      </c>
      <c r="L1017" s="1" t="s">
        <v>43</v>
      </c>
      <c r="M1017">
        <v>91</v>
      </c>
      <c r="N1017">
        <v>3</v>
      </c>
      <c r="O1017">
        <v>1</v>
      </c>
      <c r="P1017" s="1" t="s">
        <v>44</v>
      </c>
      <c r="Q1017">
        <v>1</v>
      </c>
      <c r="R1017" s="1" t="s">
        <v>49</v>
      </c>
      <c r="S1017">
        <v>2996</v>
      </c>
      <c r="T1017">
        <v>20284</v>
      </c>
      <c r="U1017">
        <v>5</v>
      </c>
      <c r="V1017" s="1" t="s">
        <v>40</v>
      </c>
      <c r="W1017">
        <v>14</v>
      </c>
      <c r="X1017">
        <v>3</v>
      </c>
      <c r="Y1017">
        <v>3</v>
      </c>
      <c r="Z1017">
        <v>80</v>
      </c>
      <c r="AA1017">
        <v>2</v>
      </c>
      <c r="AB1017">
        <v>10</v>
      </c>
      <c r="AC1017">
        <v>2</v>
      </c>
      <c r="AD1017">
        <v>3</v>
      </c>
      <c r="AE1017">
        <v>4</v>
      </c>
      <c r="AF1017">
        <v>3</v>
      </c>
      <c r="AG1017">
        <v>1</v>
      </c>
      <c r="AH1017">
        <v>3</v>
      </c>
      <c r="AI1017">
        <f>IF(tbl_HRData[[#This Row],[Attrition]] = "Yes",1,0)</f>
        <v>0</v>
      </c>
      <c r="AJ1017">
        <f>IF(tbl_HRData[[#This Row],[Attrition]] = "No",1,0)</f>
        <v>1</v>
      </c>
      <c r="AK1017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017" s="1" t="str">
        <f>IF(tbl_HRData[[#This Row],[MonthlyIncome]]&lt;5000,"Low",
IF(tbl_HRData[[#This Row],[MonthlyIncome]]&lt;10000,"Medium",
IF(tbl_HRData[[#This Row],[MonthlyIncome]]&lt;15000,"Upper Medium","High")))</f>
        <v>Low</v>
      </c>
      <c r="AM1017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018" spans="1:39" x14ac:dyDescent="0.35">
      <c r="A1018" s="1">
        <v>1017</v>
      </c>
      <c r="B1018">
        <v>31</v>
      </c>
      <c r="C1018" s="1" t="s">
        <v>33</v>
      </c>
      <c r="D1018" s="1" t="s">
        <v>34</v>
      </c>
      <c r="E1018">
        <v>202</v>
      </c>
      <c r="F1018" s="1" t="s">
        <v>42</v>
      </c>
      <c r="G1018">
        <v>8</v>
      </c>
      <c r="H1018">
        <v>3</v>
      </c>
      <c r="I1018" s="1" t="s">
        <v>36</v>
      </c>
      <c r="J1018">
        <v>1433</v>
      </c>
      <c r="K1018">
        <v>1</v>
      </c>
      <c r="L1018" s="1" t="s">
        <v>37</v>
      </c>
      <c r="M1018">
        <v>34</v>
      </c>
      <c r="N1018">
        <v>2</v>
      </c>
      <c r="O1018">
        <v>1</v>
      </c>
      <c r="P1018" s="1" t="s">
        <v>44</v>
      </c>
      <c r="Q1018">
        <v>2</v>
      </c>
      <c r="R1018" s="1" t="s">
        <v>39</v>
      </c>
      <c r="S1018">
        <v>1261</v>
      </c>
      <c r="T1018">
        <v>22262</v>
      </c>
      <c r="U1018">
        <v>1</v>
      </c>
      <c r="V1018" s="1" t="s">
        <v>40</v>
      </c>
      <c r="W1018">
        <v>12</v>
      </c>
      <c r="X1018">
        <v>3</v>
      </c>
      <c r="Y1018">
        <v>3</v>
      </c>
      <c r="Z1018">
        <v>80</v>
      </c>
      <c r="AA1018">
        <v>0</v>
      </c>
      <c r="AB1018">
        <v>1</v>
      </c>
      <c r="AC1018">
        <v>3</v>
      </c>
      <c r="AD1018">
        <v>4</v>
      </c>
      <c r="AE1018">
        <v>1</v>
      </c>
      <c r="AF1018">
        <v>0</v>
      </c>
      <c r="AG1018">
        <v>0</v>
      </c>
      <c r="AH1018">
        <v>0</v>
      </c>
      <c r="AI1018">
        <f>IF(tbl_HRData[[#This Row],[Attrition]] = "Yes",1,0)</f>
        <v>1</v>
      </c>
      <c r="AJ1018">
        <f>IF(tbl_HRData[[#This Row],[Attrition]] = "No",1,0)</f>
        <v>0</v>
      </c>
      <c r="AK1018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018" s="1" t="str">
        <f>IF(tbl_HRData[[#This Row],[MonthlyIncome]]&lt;5000,"Low",
IF(tbl_HRData[[#This Row],[MonthlyIncome]]&lt;10000,"Medium",
IF(tbl_HRData[[#This Row],[MonthlyIncome]]&lt;15000,"Upper Medium","High")))</f>
        <v>Low</v>
      </c>
      <c r="AM1018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019" spans="1:39" x14ac:dyDescent="0.35">
      <c r="A1019" s="1">
        <v>1018</v>
      </c>
      <c r="B1019">
        <v>27</v>
      </c>
      <c r="C1019" s="1" t="s">
        <v>40</v>
      </c>
      <c r="D1019" s="1" t="s">
        <v>34</v>
      </c>
      <c r="E1019">
        <v>1377</v>
      </c>
      <c r="F1019" s="1" t="s">
        <v>42</v>
      </c>
      <c r="G1019">
        <v>11</v>
      </c>
      <c r="H1019">
        <v>1</v>
      </c>
      <c r="I1019" s="1" t="s">
        <v>36</v>
      </c>
      <c r="J1019">
        <v>1434</v>
      </c>
      <c r="K1019">
        <v>2</v>
      </c>
      <c r="L1019" s="1" t="s">
        <v>43</v>
      </c>
      <c r="M1019">
        <v>91</v>
      </c>
      <c r="N1019">
        <v>3</v>
      </c>
      <c r="O1019">
        <v>1</v>
      </c>
      <c r="P1019" s="1" t="s">
        <v>47</v>
      </c>
      <c r="Q1019">
        <v>1</v>
      </c>
      <c r="R1019" s="1" t="s">
        <v>45</v>
      </c>
      <c r="S1019">
        <v>2099</v>
      </c>
      <c r="T1019">
        <v>7679</v>
      </c>
      <c r="U1019">
        <v>0</v>
      </c>
      <c r="V1019" s="1" t="s">
        <v>40</v>
      </c>
      <c r="W1019">
        <v>14</v>
      </c>
      <c r="X1019">
        <v>3</v>
      </c>
      <c r="Y1019">
        <v>2</v>
      </c>
      <c r="Z1019">
        <v>80</v>
      </c>
      <c r="AA1019">
        <v>0</v>
      </c>
      <c r="AB1019">
        <v>6</v>
      </c>
      <c r="AC1019">
        <v>3</v>
      </c>
      <c r="AD1019">
        <v>4</v>
      </c>
      <c r="AE1019">
        <v>5</v>
      </c>
      <c r="AF1019">
        <v>0</v>
      </c>
      <c r="AG1019">
        <v>1</v>
      </c>
      <c r="AH1019">
        <v>4</v>
      </c>
      <c r="AI1019">
        <f>IF(tbl_HRData[[#This Row],[Attrition]] = "Yes",1,0)</f>
        <v>0</v>
      </c>
      <c r="AJ1019">
        <f>IF(tbl_HRData[[#This Row],[Attrition]] = "No",1,0)</f>
        <v>1</v>
      </c>
      <c r="AK1019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019" s="1" t="str">
        <f>IF(tbl_HRData[[#This Row],[MonthlyIncome]]&lt;5000,"Low",
IF(tbl_HRData[[#This Row],[MonthlyIncome]]&lt;10000,"Medium",
IF(tbl_HRData[[#This Row],[MonthlyIncome]]&lt;15000,"Upper Medium","High")))</f>
        <v>Low</v>
      </c>
      <c r="AM1019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020" spans="1:39" x14ac:dyDescent="0.35">
      <c r="A1020" s="1">
        <v>1019</v>
      </c>
      <c r="B1020">
        <v>36</v>
      </c>
      <c r="C1020" s="1" t="s">
        <v>40</v>
      </c>
      <c r="D1020" s="1" t="s">
        <v>34</v>
      </c>
      <c r="E1020">
        <v>172</v>
      </c>
      <c r="F1020" s="1" t="s">
        <v>42</v>
      </c>
      <c r="G1020">
        <v>4</v>
      </c>
      <c r="H1020">
        <v>4</v>
      </c>
      <c r="I1020" s="1" t="s">
        <v>36</v>
      </c>
      <c r="J1020">
        <v>1435</v>
      </c>
      <c r="K1020">
        <v>1</v>
      </c>
      <c r="L1020" s="1" t="s">
        <v>43</v>
      </c>
      <c r="M1020">
        <v>37</v>
      </c>
      <c r="N1020">
        <v>2</v>
      </c>
      <c r="O1020">
        <v>2</v>
      </c>
      <c r="P1020" s="1" t="s">
        <v>47</v>
      </c>
      <c r="Q1020">
        <v>4</v>
      </c>
      <c r="R1020" s="1" t="s">
        <v>39</v>
      </c>
      <c r="S1020">
        <v>5810</v>
      </c>
      <c r="T1020">
        <v>22604</v>
      </c>
      <c r="U1020">
        <v>1</v>
      </c>
      <c r="V1020" s="1" t="s">
        <v>40</v>
      </c>
      <c r="W1020">
        <v>16</v>
      </c>
      <c r="X1020">
        <v>3</v>
      </c>
      <c r="Y1020">
        <v>3</v>
      </c>
      <c r="Z1020">
        <v>80</v>
      </c>
      <c r="AA1020">
        <v>0</v>
      </c>
      <c r="AB1020">
        <v>10</v>
      </c>
      <c r="AC1020">
        <v>2</v>
      </c>
      <c r="AD1020">
        <v>2</v>
      </c>
      <c r="AE1020">
        <v>10</v>
      </c>
      <c r="AF1020">
        <v>4</v>
      </c>
      <c r="AG1020">
        <v>1</v>
      </c>
      <c r="AH1020">
        <v>8</v>
      </c>
      <c r="AI1020">
        <f>IF(tbl_HRData[[#This Row],[Attrition]] = "Yes",1,0)</f>
        <v>0</v>
      </c>
      <c r="AJ1020">
        <f>IF(tbl_HRData[[#This Row],[Attrition]] = "No",1,0)</f>
        <v>1</v>
      </c>
      <c r="AK1020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020" s="1" t="str">
        <f>IF(tbl_HRData[[#This Row],[MonthlyIncome]]&lt;5000,"Low",
IF(tbl_HRData[[#This Row],[MonthlyIncome]]&lt;10000,"Medium",
IF(tbl_HRData[[#This Row],[MonthlyIncome]]&lt;15000,"Upper Medium","High")))</f>
        <v>Medium</v>
      </c>
      <c r="AM1020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021" spans="1:39" x14ac:dyDescent="0.35">
      <c r="A1021" s="1">
        <v>1020</v>
      </c>
      <c r="B1021">
        <v>36</v>
      </c>
      <c r="C1021" s="1" t="s">
        <v>40</v>
      </c>
      <c r="D1021" s="1" t="s">
        <v>34</v>
      </c>
      <c r="E1021">
        <v>329</v>
      </c>
      <c r="F1021" s="1" t="s">
        <v>35</v>
      </c>
      <c r="G1021">
        <v>16</v>
      </c>
      <c r="H1021">
        <v>4</v>
      </c>
      <c r="I1021" s="1" t="s">
        <v>56</v>
      </c>
      <c r="J1021">
        <v>1436</v>
      </c>
      <c r="K1021">
        <v>3</v>
      </c>
      <c r="L1021" s="1" t="s">
        <v>37</v>
      </c>
      <c r="M1021">
        <v>98</v>
      </c>
      <c r="N1021">
        <v>2</v>
      </c>
      <c r="O1021">
        <v>2</v>
      </c>
      <c r="P1021" s="1" t="s">
        <v>38</v>
      </c>
      <c r="Q1021">
        <v>1</v>
      </c>
      <c r="R1021" s="1" t="s">
        <v>45</v>
      </c>
      <c r="S1021">
        <v>5647</v>
      </c>
      <c r="T1021">
        <v>13494</v>
      </c>
      <c r="U1021">
        <v>4</v>
      </c>
      <c r="V1021" s="1" t="s">
        <v>40</v>
      </c>
      <c r="W1021">
        <v>13</v>
      </c>
      <c r="X1021">
        <v>3</v>
      </c>
      <c r="Y1021">
        <v>1</v>
      </c>
      <c r="Z1021">
        <v>80</v>
      </c>
      <c r="AA1021">
        <v>2</v>
      </c>
      <c r="AB1021">
        <v>11</v>
      </c>
      <c r="AC1021">
        <v>3</v>
      </c>
      <c r="AD1021">
        <v>2</v>
      </c>
      <c r="AE1021">
        <v>3</v>
      </c>
      <c r="AF1021">
        <v>2</v>
      </c>
      <c r="AG1021">
        <v>0</v>
      </c>
      <c r="AH1021">
        <v>2</v>
      </c>
      <c r="AI1021">
        <f>IF(tbl_HRData[[#This Row],[Attrition]] = "Yes",1,0)</f>
        <v>0</v>
      </c>
      <c r="AJ1021">
        <f>IF(tbl_HRData[[#This Row],[Attrition]] = "No",1,0)</f>
        <v>1</v>
      </c>
      <c r="AK1021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021" s="1" t="str">
        <f>IF(tbl_HRData[[#This Row],[MonthlyIncome]]&lt;5000,"Low",
IF(tbl_HRData[[#This Row],[MonthlyIncome]]&lt;10000,"Medium",
IF(tbl_HRData[[#This Row],[MonthlyIncome]]&lt;15000,"Upper Medium","High")))</f>
        <v>Medium</v>
      </c>
      <c r="AM1021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022" spans="1:39" x14ac:dyDescent="0.35">
      <c r="A1022" s="1">
        <v>1021</v>
      </c>
      <c r="B1022">
        <v>47</v>
      </c>
      <c r="C1022" s="1" t="s">
        <v>40</v>
      </c>
      <c r="D1022" s="1" t="s">
        <v>34</v>
      </c>
      <c r="E1022">
        <v>465</v>
      </c>
      <c r="F1022" s="1" t="s">
        <v>42</v>
      </c>
      <c r="G1022">
        <v>1</v>
      </c>
      <c r="H1022">
        <v>3</v>
      </c>
      <c r="I1022" s="1" t="s">
        <v>57</v>
      </c>
      <c r="J1022">
        <v>1438</v>
      </c>
      <c r="K1022">
        <v>1</v>
      </c>
      <c r="L1022" s="1" t="s">
        <v>43</v>
      </c>
      <c r="M1022">
        <v>74</v>
      </c>
      <c r="N1022">
        <v>3</v>
      </c>
      <c r="O1022">
        <v>1</v>
      </c>
      <c r="P1022" s="1" t="s">
        <v>44</v>
      </c>
      <c r="Q1022">
        <v>4</v>
      </c>
      <c r="R1022" s="1" t="s">
        <v>45</v>
      </c>
      <c r="S1022">
        <v>3420</v>
      </c>
      <c r="T1022">
        <v>10205</v>
      </c>
      <c r="U1022">
        <v>7</v>
      </c>
      <c r="V1022" s="1" t="s">
        <v>40</v>
      </c>
      <c r="W1022">
        <v>12</v>
      </c>
      <c r="X1022">
        <v>3</v>
      </c>
      <c r="Y1022">
        <v>3</v>
      </c>
      <c r="Z1022">
        <v>80</v>
      </c>
      <c r="AA1022">
        <v>1</v>
      </c>
      <c r="AB1022">
        <v>17</v>
      </c>
      <c r="AC1022">
        <v>2</v>
      </c>
      <c r="AD1022">
        <v>2</v>
      </c>
      <c r="AE1022">
        <v>6</v>
      </c>
      <c r="AF1022">
        <v>5</v>
      </c>
      <c r="AG1022">
        <v>1</v>
      </c>
      <c r="AH1022">
        <v>2</v>
      </c>
      <c r="AI1022">
        <f>IF(tbl_HRData[[#This Row],[Attrition]] = "Yes",1,0)</f>
        <v>0</v>
      </c>
      <c r="AJ1022">
        <f>IF(tbl_HRData[[#This Row],[Attrition]] = "No",1,0)</f>
        <v>1</v>
      </c>
      <c r="AK1022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1022" s="1" t="str">
        <f>IF(tbl_HRData[[#This Row],[MonthlyIncome]]&lt;5000,"Low",
IF(tbl_HRData[[#This Row],[MonthlyIncome]]&lt;10000,"Medium",
IF(tbl_HRData[[#This Row],[MonthlyIncome]]&lt;15000,"Upper Medium","High")))</f>
        <v>Low</v>
      </c>
      <c r="AM1022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023" spans="1:39" x14ac:dyDescent="0.35">
      <c r="A1023" s="1">
        <v>1022</v>
      </c>
      <c r="B1023">
        <v>25</v>
      </c>
      <c r="C1023" s="1" t="s">
        <v>33</v>
      </c>
      <c r="D1023" s="1" t="s">
        <v>34</v>
      </c>
      <c r="E1023">
        <v>383</v>
      </c>
      <c r="F1023" s="1" t="s">
        <v>35</v>
      </c>
      <c r="G1023">
        <v>9</v>
      </c>
      <c r="H1023">
        <v>2</v>
      </c>
      <c r="I1023" s="1" t="s">
        <v>36</v>
      </c>
      <c r="J1023">
        <v>1439</v>
      </c>
      <c r="K1023">
        <v>1</v>
      </c>
      <c r="L1023" s="1" t="s">
        <v>43</v>
      </c>
      <c r="M1023">
        <v>68</v>
      </c>
      <c r="N1023">
        <v>2</v>
      </c>
      <c r="O1023">
        <v>1</v>
      </c>
      <c r="P1023" s="1" t="s">
        <v>54</v>
      </c>
      <c r="Q1023">
        <v>1</v>
      </c>
      <c r="R1023" s="1" t="s">
        <v>45</v>
      </c>
      <c r="S1023">
        <v>4400</v>
      </c>
      <c r="T1023">
        <v>15182</v>
      </c>
      <c r="U1023">
        <v>3</v>
      </c>
      <c r="V1023" s="1" t="s">
        <v>40</v>
      </c>
      <c r="W1023">
        <v>12</v>
      </c>
      <c r="X1023">
        <v>3</v>
      </c>
      <c r="Y1023">
        <v>1</v>
      </c>
      <c r="Z1023">
        <v>80</v>
      </c>
      <c r="AA1023">
        <v>0</v>
      </c>
      <c r="AB1023">
        <v>6</v>
      </c>
      <c r="AC1023">
        <v>2</v>
      </c>
      <c r="AD1023">
        <v>3</v>
      </c>
      <c r="AE1023">
        <v>3</v>
      </c>
      <c r="AF1023">
        <v>2</v>
      </c>
      <c r="AG1023">
        <v>2</v>
      </c>
      <c r="AH1023">
        <v>2</v>
      </c>
      <c r="AI1023">
        <f>IF(tbl_HRData[[#This Row],[Attrition]] = "Yes",1,0)</f>
        <v>1</v>
      </c>
      <c r="AJ1023">
        <f>IF(tbl_HRData[[#This Row],[Attrition]] = "No",1,0)</f>
        <v>0</v>
      </c>
      <c r="AK1023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023" s="1" t="str">
        <f>IF(tbl_HRData[[#This Row],[MonthlyIncome]]&lt;5000,"Low",
IF(tbl_HRData[[#This Row],[MonthlyIncome]]&lt;10000,"Medium",
IF(tbl_HRData[[#This Row],[MonthlyIncome]]&lt;15000,"Upper Medium","High")))</f>
        <v>Low</v>
      </c>
      <c r="AM1023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024" spans="1:39" x14ac:dyDescent="0.35">
      <c r="A1024" s="1">
        <v>1023</v>
      </c>
      <c r="B1024">
        <v>37</v>
      </c>
      <c r="C1024" s="1" t="s">
        <v>40</v>
      </c>
      <c r="D1024" s="1" t="s">
        <v>52</v>
      </c>
      <c r="E1024">
        <v>1413</v>
      </c>
      <c r="F1024" s="1" t="s">
        <v>42</v>
      </c>
      <c r="G1024">
        <v>5</v>
      </c>
      <c r="H1024">
        <v>2</v>
      </c>
      <c r="I1024" s="1" t="s">
        <v>57</v>
      </c>
      <c r="J1024">
        <v>1440</v>
      </c>
      <c r="K1024">
        <v>3</v>
      </c>
      <c r="L1024" s="1" t="s">
        <v>43</v>
      </c>
      <c r="M1024">
        <v>84</v>
      </c>
      <c r="N1024">
        <v>4</v>
      </c>
      <c r="O1024">
        <v>1</v>
      </c>
      <c r="P1024" s="1" t="s">
        <v>47</v>
      </c>
      <c r="Q1024">
        <v>3</v>
      </c>
      <c r="R1024" s="1" t="s">
        <v>39</v>
      </c>
      <c r="S1024">
        <v>3500</v>
      </c>
      <c r="T1024">
        <v>25470</v>
      </c>
      <c r="U1024">
        <v>0</v>
      </c>
      <c r="V1024" s="1" t="s">
        <v>40</v>
      </c>
      <c r="W1024">
        <v>14</v>
      </c>
      <c r="X1024">
        <v>3</v>
      </c>
      <c r="Y1024">
        <v>1</v>
      </c>
      <c r="Z1024">
        <v>80</v>
      </c>
      <c r="AA1024">
        <v>0</v>
      </c>
      <c r="AB1024">
        <v>7</v>
      </c>
      <c r="AC1024">
        <v>2</v>
      </c>
      <c r="AD1024">
        <v>1</v>
      </c>
      <c r="AE1024">
        <v>6</v>
      </c>
      <c r="AF1024">
        <v>5</v>
      </c>
      <c r="AG1024">
        <v>1</v>
      </c>
      <c r="AH1024">
        <v>3</v>
      </c>
      <c r="AI1024">
        <f>IF(tbl_HRData[[#This Row],[Attrition]] = "Yes",1,0)</f>
        <v>0</v>
      </c>
      <c r="AJ1024">
        <f>IF(tbl_HRData[[#This Row],[Attrition]] = "No",1,0)</f>
        <v>1</v>
      </c>
      <c r="AK1024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024" s="1" t="str">
        <f>IF(tbl_HRData[[#This Row],[MonthlyIncome]]&lt;5000,"Low",
IF(tbl_HRData[[#This Row],[MonthlyIncome]]&lt;10000,"Medium",
IF(tbl_HRData[[#This Row],[MonthlyIncome]]&lt;15000,"Upper Medium","High")))</f>
        <v>Low</v>
      </c>
      <c r="AM1024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025" spans="1:39" x14ac:dyDescent="0.35">
      <c r="A1025" s="1">
        <v>1024</v>
      </c>
      <c r="B1025">
        <v>56</v>
      </c>
      <c r="C1025" s="1" t="s">
        <v>40</v>
      </c>
      <c r="D1025" s="1" t="s">
        <v>34</v>
      </c>
      <c r="E1025">
        <v>1255</v>
      </c>
      <c r="F1025" s="1" t="s">
        <v>42</v>
      </c>
      <c r="G1025">
        <v>1</v>
      </c>
      <c r="H1025">
        <v>2</v>
      </c>
      <c r="I1025" s="1" t="s">
        <v>36</v>
      </c>
      <c r="J1025">
        <v>1441</v>
      </c>
      <c r="K1025">
        <v>1</v>
      </c>
      <c r="L1025" s="1" t="s">
        <v>37</v>
      </c>
      <c r="M1025">
        <v>90</v>
      </c>
      <c r="N1025">
        <v>3</v>
      </c>
      <c r="O1025">
        <v>1</v>
      </c>
      <c r="P1025" s="1" t="s">
        <v>44</v>
      </c>
      <c r="Q1025">
        <v>1</v>
      </c>
      <c r="R1025" s="1" t="s">
        <v>45</v>
      </c>
      <c r="S1025">
        <v>2066</v>
      </c>
      <c r="T1025">
        <v>10494</v>
      </c>
      <c r="U1025">
        <v>2</v>
      </c>
      <c r="V1025" s="1" t="s">
        <v>40</v>
      </c>
      <c r="W1025">
        <v>22</v>
      </c>
      <c r="X1025">
        <v>4</v>
      </c>
      <c r="Y1025">
        <v>4</v>
      </c>
      <c r="Z1025">
        <v>80</v>
      </c>
      <c r="AA1025">
        <v>1</v>
      </c>
      <c r="AB1025">
        <v>5</v>
      </c>
      <c r="AC1025">
        <v>3</v>
      </c>
      <c r="AD1025">
        <v>4</v>
      </c>
      <c r="AE1025">
        <v>3</v>
      </c>
      <c r="AF1025">
        <v>2</v>
      </c>
      <c r="AG1025">
        <v>1</v>
      </c>
      <c r="AH1025">
        <v>0</v>
      </c>
      <c r="AI1025">
        <f>IF(tbl_HRData[[#This Row],[Attrition]] = "Yes",1,0)</f>
        <v>0</v>
      </c>
      <c r="AJ1025">
        <f>IF(tbl_HRData[[#This Row],[Attrition]] = "No",1,0)</f>
        <v>1</v>
      </c>
      <c r="AK1025" t="str">
        <f>IF(tbl_HRData[[#This Row],[Age]] &lt; 25, "Under 25", IF(tbl_HRData[[#This Row],[Age]] &lt;= 34, "25-34", IF(tbl_HRData[[#This Row],[Age]] &lt;= 44, "35-44", IF(tbl_HRData[[#This Row],[Age]] &lt;= 54, "45-54", "55+"))))</f>
        <v>55+</v>
      </c>
      <c r="AL1025" s="1" t="str">
        <f>IF(tbl_HRData[[#This Row],[MonthlyIncome]]&lt;5000,"Low",
IF(tbl_HRData[[#This Row],[MonthlyIncome]]&lt;10000,"Medium",
IF(tbl_HRData[[#This Row],[MonthlyIncome]]&lt;15000,"Upper Medium","High")))</f>
        <v>Low</v>
      </c>
      <c r="AM1025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026" spans="1:39" x14ac:dyDescent="0.35">
      <c r="A1026" s="1">
        <v>1025</v>
      </c>
      <c r="B1026">
        <v>47</v>
      </c>
      <c r="C1026" s="1" t="s">
        <v>40</v>
      </c>
      <c r="D1026" s="1" t="s">
        <v>34</v>
      </c>
      <c r="E1026">
        <v>359</v>
      </c>
      <c r="F1026" s="1" t="s">
        <v>42</v>
      </c>
      <c r="G1026">
        <v>2</v>
      </c>
      <c r="H1026">
        <v>4</v>
      </c>
      <c r="I1026" s="1" t="s">
        <v>48</v>
      </c>
      <c r="J1026">
        <v>1443</v>
      </c>
      <c r="K1026">
        <v>1</v>
      </c>
      <c r="L1026" s="1" t="s">
        <v>37</v>
      </c>
      <c r="M1026">
        <v>82</v>
      </c>
      <c r="N1026">
        <v>3</v>
      </c>
      <c r="O1026">
        <v>4</v>
      </c>
      <c r="P1026" s="1" t="s">
        <v>55</v>
      </c>
      <c r="Q1026">
        <v>3</v>
      </c>
      <c r="R1026" s="1" t="s">
        <v>45</v>
      </c>
      <c r="S1026">
        <v>17169</v>
      </c>
      <c r="T1026">
        <v>26703</v>
      </c>
      <c r="U1026">
        <v>3</v>
      </c>
      <c r="V1026" s="1" t="s">
        <v>40</v>
      </c>
      <c r="W1026">
        <v>19</v>
      </c>
      <c r="X1026">
        <v>3</v>
      </c>
      <c r="Y1026">
        <v>2</v>
      </c>
      <c r="Z1026">
        <v>80</v>
      </c>
      <c r="AA1026">
        <v>2</v>
      </c>
      <c r="AB1026">
        <v>26</v>
      </c>
      <c r="AC1026">
        <v>2</v>
      </c>
      <c r="AD1026">
        <v>4</v>
      </c>
      <c r="AE1026">
        <v>20</v>
      </c>
      <c r="AF1026">
        <v>17</v>
      </c>
      <c r="AG1026">
        <v>5</v>
      </c>
      <c r="AH1026">
        <v>6</v>
      </c>
      <c r="AI1026">
        <f>IF(tbl_HRData[[#This Row],[Attrition]] = "Yes",1,0)</f>
        <v>0</v>
      </c>
      <c r="AJ1026">
        <f>IF(tbl_HRData[[#This Row],[Attrition]] = "No",1,0)</f>
        <v>1</v>
      </c>
      <c r="AK1026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1026" s="1" t="str">
        <f>IF(tbl_HRData[[#This Row],[MonthlyIncome]]&lt;5000,"Low",
IF(tbl_HRData[[#This Row],[MonthlyIncome]]&lt;10000,"Medium",
IF(tbl_HRData[[#This Row],[MonthlyIncome]]&lt;15000,"Upper Medium","High")))</f>
        <v>High</v>
      </c>
      <c r="AM1026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1027" spans="1:39" x14ac:dyDescent="0.35">
      <c r="A1027" s="1">
        <v>1026</v>
      </c>
      <c r="B1027">
        <v>24</v>
      </c>
      <c r="C1027" s="1" t="s">
        <v>40</v>
      </c>
      <c r="D1027" s="1" t="s">
        <v>34</v>
      </c>
      <c r="E1027">
        <v>1476</v>
      </c>
      <c r="F1027" s="1" t="s">
        <v>35</v>
      </c>
      <c r="G1027">
        <v>4</v>
      </c>
      <c r="H1027">
        <v>1</v>
      </c>
      <c r="I1027" s="1" t="s">
        <v>48</v>
      </c>
      <c r="J1027">
        <v>1445</v>
      </c>
      <c r="K1027">
        <v>4</v>
      </c>
      <c r="L1027" s="1" t="s">
        <v>37</v>
      </c>
      <c r="M1027">
        <v>42</v>
      </c>
      <c r="N1027">
        <v>3</v>
      </c>
      <c r="O1027">
        <v>2</v>
      </c>
      <c r="P1027" s="1" t="s">
        <v>38</v>
      </c>
      <c r="Q1027">
        <v>3</v>
      </c>
      <c r="R1027" s="1" t="s">
        <v>45</v>
      </c>
      <c r="S1027">
        <v>4162</v>
      </c>
      <c r="T1027">
        <v>15211</v>
      </c>
      <c r="U1027">
        <v>1</v>
      </c>
      <c r="V1027" s="1" t="s">
        <v>33</v>
      </c>
      <c r="W1027">
        <v>12</v>
      </c>
      <c r="X1027">
        <v>3</v>
      </c>
      <c r="Y1027">
        <v>3</v>
      </c>
      <c r="Z1027">
        <v>80</v>
      </c>
      <c r="AA1027">
        <v>2</v>
      </c>
      <c r="AB1027">
        <v>5</v>
      </c>
      <c r="AC1027">
        <v>3</v>
      </c>
      <c r="AD1027">
        <v>3</v>
      </c>
      <c r="AE1027">
        <v>5</v>
      </c>
      <c r="AF1027">
        <v>4</v>
      </c>
      <c r="AG1027">
        <v>0</v>
      </c>
      <c r="AH1027">
        <v>3</v>
      </c>
      <c r="AI1027">
        <f>IF(tbl_HRData[[#This Row],[Attrition]] = "Yes",1,0)</f>
        <v>0</v>
      </c>
      <c r="AJ1027">
        <f>IF(tbl_HRData[[#This Row],[Attrition]] = "No",1,0)</f>
        <v>1</v>
      </c>
      <c r="AK1027" t="str">
        <f>IF(tbl_HRData[[#This Row],[Age]] &lt; 25, "Under 25", IF(tbl_HRData[[#This Row],[Age]] &lt;= 34, "25-34", IF(tbl_HRData[[#This Row],[Age]] &lt;= 44, "35-44", IF(tbl_HRData[[#This Row],[Age]] &lt;= 54, "45-54", "55+"))))</f>
        <v>Under 25</v>
      </c>
      <c r="AL1027" s="1" t="str">
        <f>IF(tbl_HRData[[#This Row],[MonthlyIncome]]&lt;5000,"Low",
IF(tbl_HRData[[#This Row],[MonthlyIncome]]&lt;10000,"Medium",
IF(tbl_HRData[[#This Row],[MonthlyIncome]]&lt;15000,"Upper Medium","High")))</f>
        <v>Low</v>
      </c>
      <c r="AM1027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028" spans="1:39" x14ac:dyDescent="0.35">
      <c r="A1028" s="1">
        <v>1027</v>
      </c>
      <c r="B1028">
        <v>32</v>
      </c>
      <c r="C1028" s="1" t="s">
        <v>40</v>
      </c>
      <c r="D1028" s="1" t="s">
        <v>34</v>
      </c>
      <c r="E1028">
        <v>601</v>
      </c>
      <c r="F1028" s="1" t="s">
        <v>35</v>
      </c>
      <c r="G1028">
        <v>7</v>
      </c>
      <c r="H1028">
        <v>5</v>
      </c>
      <c r="I1028" s="1" t="s">
        <v>56</v>
      </c>
      <c r="J1028">
        <v>1446</v>
      </c>
      <c r="K1028">
        <v>4</v>
      </c>
      <c r="L1028" s="1" t="s">
        <v>43</v>
      </c>
      <c r="M1028">
        <v>97</v>
      </c>
      <c r="N1028">
        <v>3</v>
      </c>
      <c r="O1028">
        <v>2</v>
      </c>
      <c r="P1028" s="1" t="s">
        <v>38</v>
      </c>
      <c r="Q1028">
        <v>4</v>
      </c>
      <c r="R1028" s="1" t="s">
        <v>45</v>
      </c>
      <c r="S1028">
        <v>9204</v>
      </c>
      <c r="T1028">
        <v>23343</v>
      </c>
      <c r="U1028">
        <v>4</v>
      </c>
      <c r="V1028" s="1" t="s">
        <v>40</v>
      </c>
      <c r="W1028">
        <v>12</v>
      </c>
      <c r="X1028">
        <v>3</v>
      </c>
      <c r="Y1028">
        <v>3</v>
      </c>
      <c r="Z1028">
        <v>80</v>
      </c>
      <c r="AA1028">
        <v>1</v>
      </c>
      <c r="AB1028">
        <v>7</v>
      </c>
      <c r="AC1028">
        <v>3</v>
      </c>
      <c r="AD1028">
        <v>2</v>
      </c>
      <c r="AE1028">
        <v>4</v>
      </c>
      <c r="AF1028">
        <v>3</v>
      </c>
      <c r="AG1028">
        <v>0</v>
      </c>
      <c r="AH1028">
        <v>3</v>
      </c>
      <c r="AI1028">
        <f>IF(tbl_HRData[[#This Row],[Attrition]] = "Yes",1,0)</f>
        <v>0</v>
      </c>
      <c r="AJ1028">
        <f>IF(tbl_HRData[[#This Row],[Attrition]] = "No",1,0)</f>
        <v>1</v>
      </c>
      <c r="AK1028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028" s="1" t="str">
        <f>IF(tbl_HRData[[#This Row],[MonthlyIncome]]&lt;5000,"Low",
IF(tbl_HRData[[#This Row],[MonthlyIncome]]&lt;10000,"Medium",
IF(tbl_HRData[[#This Row],[MonthlyIncome]]&lt;15000,"Upper Medium","High")))</f>
        <v>Medium</v>
      </c>
      <c r="AM1028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029" spans="1:39" x14ac:dyDescent="0.35">
      <c r="A1029" s="1">
        <v>1028</v>
      </c>
      <c r="B1029">
        <v>34</v>
      </c>
      <c r="C1029" s="1" t="s">
        <v>40</v>
      </c>
      <c r="D1029" s="1" t="s">
        <v>34</v>
      </c>
      <c r="E1029">
        <v>401</v>
      </c>
      <c r="F1029" s="1" t="s">
        <v>42</v>
      </c>
      <c r="G1029">
        <v>1</v>
      </c>
      <c r="H1029">
        <v>3</v>
      </c>
      <c r="I1029" s="1" t="s">
        <v>36</v>
      </c>
      <c r="J1029">
        <v>1447</v>
      </c>
      <c r="K1029">
        <v>4</v>
      </c>
      <c r="L1029" s="1" t="s">
        <v>37</v>
      </c>
      <c r="M1029">
        <v>86</v>
      </c>
      <c r="N1029">
        <v>2</v>
      </c>
      <c r="O1029">
        <v>1</v>
      </c>
      <c r="P1029" s="1" t="s">
        <v>47</v>
      </c>
      <c r="Q1029">
        <v>2</v>
      </c>
      <c r="R1029" s="1" t="s">
        <v>45</v>
      </c>
      <c r="S1029">
        <v>3294</v>
      </c>
      <c r="T1029">
        <v>3708</v>
      </c>
      <c r="U1029">
        <v>5</v>
      </c>
      <c r="V1029" s="1" t="s">
        <v>40</v>
      </c>
      <c r="W1029">
        <v>17</v>
      </c>
      <c r="X1029">
        <v>3</v>
      </c>
      <c r="Y1029">
        <v>1</v>
      </c>
      <c r="Z1029">
        <v>80</v>
      </c>
      <c r="AA1029">
        <v>1</v>
      </c>
      <c r="AB1029">
        <v>7</v>
      </c>
      <c r="AC1029">
        <v>2</v>
      </c>
      <c r="AD1029">
        <v>2</v>
      </c>
      <c r="AE1029">
        <v>5</v>
      </c>
      <c r="AF1029">
        <v>4</v>
      </c>
      <c r="AG1029">
        <v>0</v>
      </c>
      <c r="AH1029">
        <v>2</v>
      </c>
      <c r="AI1029">
        <f>IF(tbl_HRData[[#This Row],[Attrition]] = "Yes",1,0)</f>
        <v>0</v>
      </c>
      <c r="AJ1029">
        <f>IF(tbl_HRData[[#This Row],[Attrition]] = "No",1,0)</f>
        <v>1</v>
      </c>
      <c r="AK1029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029" s="1" t="str">
        <f>IF(tbl_HRData[[#This Row],[MonthlyIncome]]&lt;5000,"Low",
IF(tbl_HRData[[#This Row],[MonthlyIncome]]&lt;10000,"Medium",
IF(tbl_HRData[[#This Row],[MonthlyIncome]]&lt;15000,"Upper Medium","High")))</f>
        <v>Low</v>
      </c>
      <c r="AM1029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030" spans="1:39" x14ac:dyDescent="0.35">
      <c r="A1030" s="1">
        <v>1029</v>
      </c>
      <c r="B1030">
        <v>41</v>
      </c>
      <c r="C1030" s="1" t="s">
        <v>40</v>
      </c>
      <c r="D1030" s="1" t="s">
        <v>34</v>
      </c>
      <c r="E1030">
        <v>1283</v>
      </c>
      <c r="F1030" s="1" t="s">
        <v>42</v>
      </c>
      <c r="G1030">
        <v>5</v>
      </c>
      <c r="H1030">
        <v>5</v>
      </c>
      <c r="I1030" s="1" t="s">
        <v>48</v>
      </c>
      <c r="J1030">
        <v>1448</v>
      </c>
      <c r="K1030">
        <v>2</v>
      </c>
      <c r="L1030" s="1" t="s">
        <v>43</v>
      </c>
      <c r="M1030">
        <v>90</v>
      </c>
      <c r="N1030">
        <v>4</v>
      </c>
      <c r="O1030">
        <v>1</v>
      </c>
      <c r="P1030" s="1" t="s">
        <v>44</v>
      </c>
      <c r="Q1030">
        <v>3</v>
      </c>
      <c r="R1030" s="1" t="s">
        <v>45</v>
      </c>
      <c r="S1030">
        <v>2127</v>
      </c>
      <c r="T1030">
        <v>5561</v>
      </c>
      <c r="U1030">
        <v>2</v>
      </c>
      <c r="V1030" s="1" t="s">
        <v>33</v>
      </c>
      <c r="W1030">
        <v>12</v>
      </c>
      <c r="X1030">
        <v>3</v>
      </c>
      <c r="Y1030">
        <v>1</v>
      </c>
      <c r="Z1030">
        <v>80</v>
      </c>
      <c r="AA1030">
        <v>0</v>
      </c>
      <c r="AB1030">
        <v>7</v>
      </c>
      <c r="AC1030">
        <v>5</v>
      </c>
      <c r="AD1030">
        <v>2</v>
      </c>
      <c r="AE1030">
        <v>4</v>
      </c>
      <c r="AF1030">
        <v>2</v>
      </c>
      <c r="AG1030">
        <v>0</v>
      </c>
      <c r="AH1030">
        <v>3</v>
      </c>
      <c r="AI1030">
        <f>IF(tbl_HRData[[#This Row],[Attrition]] = "Yes",1,0)</f>
        <v>0</v>
      </c>
      <c r="AJ1030">
        <f>IF(tbl_HRData[[#This Row],[Attrition]] = "No",1,0)</f>
        <v>1</v>
      </c>
      <c r="AK1030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030" s="1" t="str">
        <f>IF(tbl_HRData[[#This Row],[MonthlyIncome]]&lt;5000,"Low",
IF(tbl_HRData[[#This Row],[MonthlyIncome]]&lt;10000,"Medium",
IF(tbl_HRData[[#This Row],[MonthlyIncome]]&lt;15000,"Upper Medium","High")))</f>
        <v>Low</v>
      </c>
      <c r="AM1030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031" spans="1:39" x14ac:dyDescent="0.35">
      <c r="A1031" s="1">
        <v>1030</v>
      </c>
      <c r="B1031">
        <v>40</v>
      </c>
      <c r="C1031" s="1" t="s">
        <v>40</v>
      </c>
      <c r="D1031" s="1" t="s">
        <v>52</v>
      </c>
      <c r="E1031">
        <v>663</v>
      </c>
      <c r="F1031" s="1" t="s">
        <v>42</v>
      </c>
      <c r="G1031">
        <v>9</v>
      </c>
      <c r="H1031">
        <v>4</v>
      </c>
      <c r="I1031" s="1" t="s">
        <v>46</v>
      </c>
      <c r="J1031">
        <v>1449</v>
      </c>
      <c r="K1031">
        <v>3</v>
      </c>
      <c r="L1031" s="1" t="s">
        <v>43</v>
      </c>
      <c r="M1031">
        <v>81</v>
      </c>
      <c r="N1031">
        <v>3</v>
      </c>
      <c r="O1031">
        <v>2</v>
      </c>
      <c r="P1031" s="1" t="s">
        <v>47</v>
      </c>
      <c r="Q1031">
        <v>3</v>
      </c>
      <c r="R1031" s="1" t="s">
        <v>49</v>
      </c>
      <c r="S1031">
        <v>3975</v>
      </c>
      <c r="T1031">
        <v>23099</v>
      </c>
      <c r="U1031">
        <v>3</v>
      </c>
      <c r="V1031" s="1" t="s">
        <v>40</v>
      </c>
      <c r="W1031">
        <v>11</v>
      </c>
      <c r="X1031">
        <v>3</v>
      </c>
      <c r="Y1031">
        <v>3</v>
      </c>
      <c r="Z1031">
        <v>80</v>
      </c>
      <c r="AA1031">
        <v>2</v>
      </c>
      <c r="AB1031">
        <v>11</v>
      </c>
      <c r="AC1031">
        <v>2</v>
      </c>
      <c r="AD1031">
        <v>4</v>
      </c>
      <c r="AE1031">
        <v>8</v>
      </c>
      <c r="AF1031">
        <v>7</v>
      </c>
      <c r="AG1031">
        <v>0</v>
      </c>
      <c r="AH1031">
        <v>7</v>
      </c>
      <c r="AI1031">
        <f>IF(tbl_HRData[[#This Row],[Attrition]] = "Yes",1,0)</f>
        <v>0</v>
      </c>
      <c r="AJ1031">
        <f>IF(tbl_HRData[[#This Row],[Attrition]] = "No",1,0)</f>
        <v>1</v>
      </c>
      <c r="AK1031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031" s="1" t="str">
        <f>IF(tbl_HRData[[#This Row],[MonthlyIncome]]&lt;5000,"Low",
IF(tbl_HRData[[#This Row],[MonthlyIncome]]&lt;10000,"Medium",
IF(tbl_HRData[[#This Row],[MonthlyIncome]]&lt;15000,"Upper Medium","High")))</f>
        <v>Low</v>
      </c>
      <c r="AM1031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032" spans="1:39" x14ac:dyDescent="0.35">
      <c r="A1032" s="1">
        <v>1031</v>
      </c>
      <c r="B1032">
        <v>31</v>
      </c>
      <c r="C1032" s="1" t="s">
        <v>40</v>
      </c>
      <c r="D1032" s="1" t="s">
        <v>34</v>
      </c>
      <c r="E1032">
        <v>326</v>
      </c>
      <c r="F1032" s="1" t="s">
        <v>35</v>
      </c>
      <c r="G1032">
        <v>8</v>
      </c>
      <c r="H1032">
        <v>2</v>
      </c>
      <c r="I1032" s="1" t="s">
        <v>36</v>
      </c>
      <c r="J1032">
        <v>1453</v>
      </c>
      <c r="K1032">
        <v>1</v>
      </c>
      <c r="L1032" s="1" t="s">
        <v>43</v>
      </c>
      <c r="M1032">
        <v>31</v>
      </c>
      <c r="N1032">
        <v>3</v>
      </c>
      <c r="O1032">
        <v>3</v>
      </c>
      <c r="P1032" s="1" t="s">
        <v>38</v>
      </c>
      <c r="Q1032">
        <v>4</v>
      </c>
      <c r="R1032" s="1" t="s">
        <v>49</v>
      </c>
      <c r="S1032">
        <v>10793</v>
      </c>
      <c r="T1032">
        <v>8386</v>
      </c>
      <c r="U1032">
        <v>1</v>
      </c>
      <c r="V1032" s="1" t="s">
        <v>40</v>
      </c>
      <c r="W1032">
        <v>18</v>
      </c>
      <c r="X1032">
        <v>3</v>
      </c>
      <c r="Y1032">
        <v>1</v>
      </c>
      <c r="Z1032">
        <v>80</v>
      </c>
      <c r="AA1032">
        <v>1</v>
      </c>
      <c r="AB1032">
        <v>13</v>
      </c>
      <c r="AC1032">
        <v>5</v>
      </c>
      <c r="AD1032">
        <v>3</v>
      </c>
      <c r="AE1032">
        <v>13</v>
      </c>
      <c r="AF1032">
        <v>7</v>
      </c>
      <c r="AG1032">
        <v>9</v>
      </c>
      <c r="AH1032">
        <v>9</v>
      </c>
      <c r="AI1032">
        <f>IF(tbl_HRData[[#This Row],[Attrition]] = "Yes",1,0)</f>
        <v>0</v>
      </c>
      <c r="AJ1032">
        <f>IF(tbl_HRData[[#This Row],[Attrition]] = "No",1,0)</f>
        <v>1</v>
      </c>
      <c r="AK1032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032" s="1" t="str">
        <f>IF(tbl_HRData[[#This Row],[MonthlyIncome]]&lt;5000,"Low",
IF(tbl_HRData[[#This Row],[MonthlyIncome]]&lt;10000,"Medium",
IF(tbl_HRData[[#This Row],[MonthlyIncome]]&lt;15000,"Upper Medium","High")))</f>
        <v>Upper Medium</v>
      </c>
      <c r="AM1032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1033" spans="1:39" x14ac:dyDescent="0.35">
      <c r="A1033" s="1">
        <v>1032</v>
      </c>
      <c r="B1033">
        <v>46</v>
      </c>
      <c r="C1033" s="1" t="s">
        <v>33</v>
      </c>
      <c r="D1033" s="1" t="s">
        <v>34</v>
      </c>
      <c r="E1033">
        <v>377</v>
      </c>
      <c r="F1033" s="1" t="s">
        <v>35</v>
      </c>
      <c r="G1033">
        <v>9</v>
      </c>
      <c r="H1033">
        <v>3</v>
      </c>
      <c r="I1033" s="1" t="s">
        <v>56</v>
      </c>
      <c r="J1033">
        <v>1457</v>
      </c>
      <c r="K1033">
        <v>1</v>
      </c>
      <c r="L1033" s="1" t="s">
        <v>43</v>
      </c>
      <c r="M1033">
        <v>52</v>
      </c>
      <c r="N1033">
        <v>3</v>
      </c>
      <c r="O1033">
        <v>3</v>
      </c>
      <c r="P1033" s="1" t="s">
        <v>38</v>
      </c>
      <c r="Q1033">
        <v>4</v>
      </c>
      <c r="R1033" s="1" t="s">
        <v>49</v>
      </c>
      <c r="S1033">
        <v>10096</v>
      </c>
      <c r="T1033">
        <v>15986</v>
      </c>
      <c r="U1033">
        <v>4</v>
      </c>
      <c r="V1033" s="1" t="s">
        <v>40</v>
      </c>
      <c r="W1033">
        <v>11</v>
      </c>
      <c r="X1033">
        <v>3</v>
      </c>
      <c r="Y1033">
        <v>1</v>
      </c>
      <c r="Z1033">
        <v>80</v>
      </c>
      <c r="AA1033">
        <v>1</v>
      </c>
      <c r="AB1033">
        <v>28</v>
      </c>
      <c r="AC1033">
        <v>1</v>
      </c>
      <c r="AD1033">
        <v>4</v>
      </c>
      <c r="AE1033">
        <v>7</v>
      </c>
      <c r="AF1033">
        <v>7</v>
      </c>
      <c r="AG1033">
        <v>4</v>
      </c>
      <c r="AH1033">
        <v>3</v>
      </c>
      <c r="AI1033">
        <f>IF(tbl_HRData[[#This Row],[Attrition]] = "Yes",1,0)</f>
        <v>1</v>
      </c>
      <c r="AJ1033">
        <f>IF(tbl_HRData[[#This Row],[Attrition]] = "No",1,0)</f>
        <v>0</v>
      </c>
      <c r="AK1033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1033" s="1" t="str">
        <f>IF(tbl_HRData[[#This Row],[MonthlyIncome]]&lt;5000,"Low",
IF(tbl_HRData[[#This Row],[MonthlyIncome]]&lt;10000,"Medium",
IF(tbl_HRData[[#This Row],[MonthlyIncome]]&lt;15000,"Upper Medium","High")))</f>
        <v>Upper Medium</v>
      </c>
      <c r="AM1033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034" spans="1:39" x14ac:dyDescent="0.35">
      <c r="A1034" s="1">
        <v>1033</v>
      </c>
      <c r="B1034">
        <v>39</v>
      </c>
      <c r="C1034" s="1" t="s">
        <v>33</v>
      </c>
      <c r="D1034" s="1" t="s">
        <v>52</v>
      </c>
      <c r="E1034">
        <v>592</v>
      </c>
      <c r="F1034" s="1" t="s">
        <v>42</v>
      </c>
      <c r="G1034">
        <v>2</v>
      </c>
      <c r="H1034">
        <v>3</v>
      </c>
      <c r="I1034" s="1" t="s">
        <v>36</v>
      </c>
      <c r="J1034">
        <v>1458</v>
      </c>
      <c r="K1034">
        <v>1</v>
      </c>
      <c r="L1034" s="1" t="s">
        <v>37</v>
      </c>
      <c r="M1034">
        <v>54</v>
      </c>
      <c r="N1034">
        <v>2</v>
      </c>
      <c r="O1034">
        <v>1</v>
      </c>
      <c r="P1034" s="1" t="s">
        <v>47</v>
      </c>
      <c r="Q1034">
        <v>1</v>
      </c>
      <c r="R1034" s="1" t="s">
        <v>39</v>
      </c>
      <c r="S1034">
        <v>3646</v>
      </c>
      <c r="T1034">
        <v>17181</v>
      </c>
      <c r="U1034">
        <v>2</v>
      </c>
      <c r="V1034" s="1" t="s">
        <v>33</v>
      </c>
      <c r="W1034">
        <v>23</v>
      </c>
      <c r="X1034">
        <v>4</v>
      </c>
      <c r="Y1034">
        <v>2</v>
      </c>
      <c r="Z1034">
        <v>80</v>
      </c>
      <c r="AA1034">
        <v>0</v>
      </c>
      <c r="AB1034">
        <v>11</v>
      </c>
      <c r="AC1034">
        <v>2</v>
      </c>
      <c r="AD1034">
        <v>4</v>
      </c>
      <c r="AE1034">
        <v>1</v>
      </c>
      <c r="AF1034">
        <v>0</v>
      </c>
      <c r="AG1034">
        <v>0</v>
      </c>
      <c r="AH1034">
        <v>0</v>
      </c>
      <c r="AI1034">
        <f>IF(tbl_HRData[[#This Row],[Attrition]] = "Yes",1,0)</f>
        <v>1</v>
      </c>
      <c r="AJ1034">
        <f>IF(tbl_HRData[[#This Row],[Attrition]] = "No",1,0)</f>
        <v>0</v>
      </c>
      <c r="AK1034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034" s="1" t="str">
        <f>IF(tbl_HRData[[#This Row],[MonthlyIncome]]&lt;5000,"Low",
IF(tbl_HRData[[#This Row],[MonthlyIncome]]&lt;10000,"Medium",
IF(tbl_HRData[[#This Row],[MonthlyIncome]]&lt;15000,"Upper Medium","High")))</f>
        <v>Low</v>
      </c>
      <c r="AM1034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035" spans="1:39" x14ac:dyDescent="0.35">
      <c r="A1035" s="1">
        <v>1034</v>
      </c>
      <c r="B1035">
        <v>31</v>
      </c>
      <c r="C1035" s="1" t="s">
        <v>33</v>
      </c>
      <c r="D1035" s="1" t="s">
        <v>41</v>
      </c>
      <c r="E1035">
        <v>1445</v>
      </c>
      <c r="F1035" s="1" t="s">
        <v>42</v>
      </c>
      <c r="G1035">
        <v>1</v>
      </c>
      <c r="H1035">
        <v>5</v>
      </c>
      <c r="I1035" s="1" t="s">
        <v>36</v>
      </c>
      <c r="J1035">
        <v>1459</v>
      </c>
      <c r="K1035">
        <v>3</v>
      </c>
      <c r="L1035" s="1" t="s">
        <v>37</v>
      </c>
      <c r="M1035">
        <v>100</v>
      </c>
      <c r="N1035">
        <v>4</v>
      </c>
      <c r="O1035">
        <v>3</v>
      </c>
      <c r="P1035" s="1" t="s">
        <v>50</v>
      </c>
      <c r="Q1035">
        <v>2</v>
      </c>
      <c r="R1035" s="1" t="s">
        <v>39</v>
      </c>
      <c r="S1035">
        <v>7446</v>
      </c>
      <c r="T1035">
        <v>8931</v>
      </c>
      <c r="U1035">
        <v>1</v>
      </c>
      <c r="V1035" s="1" t="s">
        <v>40</v>
      </c>
      <c r="W1035">
        <v>11</v>
      </c>
      <c r="X1035">
        <v>3</v>
      </c>
      <c r="Y1035">
        <v>1</v>
      </c>
      <c r="Z1035">
        <v>80</v>
      </c>
      <c r="AA1035">
        <v>0</v>
      </c>
      <c r="AB1035">
        <v>10</v>
      </c>
      <c r="AC1035">
        <v>2</v>
      </c>
      <c r="AD1035">
        <v>3</v>
      </c>
      <c r="AE1035">
        <v>10</v>
      </c>
      <c r="AF1035">
        <v>8</v>
      </c>
      <c r="AG1035">
        <v>4</v>
      </c>
      <c r="AH1035">
        <v>7</v>
      </c>
      <c r="AI1035">
        <f>IF(tbl_HRData[[#This Row],[Attrition]] = "Yes",1,0)</f>
        <v>1</v>
      </c>
      <c r="AJ1035">
        <f>IF(tbl_HRData[[#This Row],[Attrition]] = "No",1,0)</f>
        <v>0</v>
      </c>
      <c r="AK1035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035" s="1" t="str">
        <f>IF(tbl_HRData[[#This Row],[MonthlyIncome]]&lt;5000,"Low",
IF(tbl_HRData[[#This Row],[MonthlyIncome]]&lt;10000,"Medium",
IF(tbl_HRData[[#This Row],[MonthlyIncome]]&lt;15000,"Upper Medium","High")))</f>
        <v>Medium</v>
      </c>
      <c r="AM1035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036" spans="1:39" x14ac:dyDescent="0.35">
      <c r="A1036" s="1">
        <v>1035</v>
      </c>
      <c r="B1036">
        <v>45</v>
      </c>
      <c r="C1036" s="1" t="s">
        <v>40</v>
      </c>
      <c r="D1036" s="1" t="s">
        <v>34</v>
      </c>
      <c r="E1036">
        <v>1038</v>
      </c>
      <c r="F1036" s="1" t="s">
        <v>42</v>
      </c>
      <c r="G1036">
        <v>20</v>
      </c>
      <c r="H1036">
        <v>3</v>
      </c>
      <c r="I1036" s="1" t="s">
        <v>48</v>
      </c>
      <c r="J1036">
        <v>1460</v>
      </c>
      <c r="K1036">
        <v>2</v>
      </c>
      <c r="L1036" s="1" t="s">
        <v>43</v>
      </c>
      <c r="M1036">
        <v>95</v>
      </c>
      <c r="N1036">
        <v>1</v>
      </c>
      <c r="O1036">
        <v>3</v>
      </c>
      <c r="P1036" s="1" t="s">
        <v>51</v>
      </c>
      <c r="Q1036">
        <v>1</v>
      </c>
      <c r="R1036" s="1" t="s">
        <v>49</v>
      </c>
      <c r="S1036">
        <v>10851</v>
      </c>
      <c r="T1036">
        <v>19863</v>
      </c>
      <c r="U1036">
        <v>2</v>
      </c>
      <c r="V1036" s="1" t="s">
        <v>33</v>
      </c>
      <c r="W1036">
        <v>18</v>
      </c>
      <c r="X1036">
        <v>3</v>
      </c>
      <c r="Y1036">
        <v>2</v>
      </c>
      <c r="Z1036">
        <v>80</v>
      </c>
      <c r="AA1036">
        <v>1</v>
      </c>
      <c r="AB1036">
        <v>24</v>
      </c>
      <c r="AC1036">
        <v>2</v>
      </c>
      <c r="AD1036">
        <v>3</v>
      </c>
      <c r="AE1036">
        <v>7</v>
      </c>
      <c r="AF1036">
        <v>7</v>
      </c>
      <c r="AG1036">
        <v>0</v>
      </c>
      <c r="AH1036">
        <v>7</v>
      </c>
      <c r="AI1036">
        <f>IF(tbl_HRData[[#This Row],[Attrition]] = "Yes",1,0)</f>
        <v>0</v>
      </c>
      <c r="AJ1036">
        <f>IF(tbl_HRData[[#This Row],[Attrition]] = "No",1,0)</f>
        <v>1</v>
      </c>
      <c r="AK1036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1036" s="1" t="str">
        <f>IF(tbl_HRData[[#This Row],[MonthlyIncome]]&lt;5000,"Low",
IF(tbl_HRData[[#This Row],[MonthlyIncome]]&lt;10000,"Medium",
IF(tbl_HRData[[#This Row],[MonthlyIncome]]&lt;15000,"Upper Medium","High")))</f>
        <v>Upper Medium</v>
      </c>
      <c r="AM1036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037" spans="1:39" x14ac:dyDescent="0.35">
      <c r="A1037" s="1">
        <v>1036</v>
      </c>
      <c r="B1037">
        <v>31</v>
      </c>
      <c r="C1037" s="1" t="s">
        <v>40</v>
      </c>
      <c r="D1037" s="1" t="s">
        <v>34</v>
      </c>
      <c r="E1037">
        <v>1398</v>
      </c>
      <c r="F1037" s="1" t="s">
        <v>58</v>
      </c>
      <c r="G1037">
        <v>8</v>
      </c>
      <c r="H1037">
        <v>2</v>
      </c>
      <c r="I1037" s="1" t="s">
        <v>48</v>
      </c>
      <c r="J1037">
        <v>1461</v>
      </c>
      <c r="K1037">
        <v>4</v>
      </c>
      <c r="L1037" s="1" t="s">
        <v>37</v>
      </c>
      <c r="M1037">
        <v>96</v>
      </c>
      <c r="N1037">
        <v>4</v>
      </c>
      <c r="O1037">
        <v>1</v>
      </c>
      <c r="P1037" s="1" t="s">
        <v>58</v>
      </c>
      <c r="Q1037">
        <v>2</v>
      </c>
      <c r="R1037" s="1" t="s">
        <v>39</v>
      </c>
      <c r="S1037">
        <v>2109</v>
      </c>
      <c r="T1037">
        <v>24609</v>
      </c>
      <c r="U1037">
        <v>9</v>
      </c>
      <c r="V1037" s="1" t="s">
        <v>40</v>
      </c>
      <c r="W1037">
        <v>18</v>
      </c>
      <c r="X1037">
        <v>3</v>
      </c>
      <c r="Y1037">
        <v>4</v>
      </c>
      <c r="Z1037">
        <v>80</v>
      </c>
      <c r="AA1037">
        <v>0</v>
      </c>
      <c r="AB1037">
        <v>8</v>
      </c>
      <c r="AC1037">
        <v>3</v>
      </c>
      <c r="AD1037">
        <v>3</v>
      </c>
      <c r="AE1037">
        <v>3</v>
      </c>
      <c r="AF1037">
        <v>2</v>
      </c>
      <c r="AG1037">
        <v>0</v>
      </c>
      <c r="AH1037">
        <v>2</v>
      </c>
      <c r="AI1037">
        <f>IF(tbl_HRData[[#This Row],[Attrition]] = "Yes",1,0)</f>
        <v>0</v>
      </c>
      <c r="AJ1037">
        <f>IF(tbl_HRData[[#This Row],[Attrition]] = "No",1,0)</f>
        <v>1</v>
      </c>
      <c r="AK1037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037" s="1" t="str">
        <f>IF(tbl_HRData[[#This Row],[MonthlyIncome]]&lt;5000,"Low",
IF(tbl_HRData[[#This Row],[MonthlyIncome]]&lt;10000,"Medium",
IF(tbl_HRData[[#This Row],[MonthlyIncome]]&lt;15000,"Upper Medium","High")))</f>
        <v>Low</v>
      </c>
      <c r="AM1037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038" spans="1:39" x14ac:dyDescent="0.35">
      <c r="A1038" s="1">
        <v>1037</v>
      </c>
      <c r="B1038">
        <v>31</v>
      </c>
      <c r="C1038" s="1" t="s">
        <v>33</v>
      </c>
      <c r="D1038" s="1" t="s">
        <v>41</v>
      </c>
      <c r="E1038">
        <v>523</v>
      </c>
      <c r="F1038" s="1" t="s">
        <v>42</v>
      </c>
      <c r="G1038">
        <v>2</v>
      </c>
      <c r="H1038">
        <v>3</v>
      </c>
      <c r="I1038" s="1" t="s">
        <v>36</v>
      </c>
      <c r="J1038">
        <v>1464</v>
      </c>
      <c r="K1038">
        <v>2</v>
      </c>
      <c r="L1038" s="1" t="s">
        <v>43</v>
      </c>
      <c r="M1038">
        <v>94</v>
      </c>
      <c r="N1038">
        <v>3</v>
      </c>
      <c r="O1038">
        <v>1</v>
      </c>
      <c r="P1038" s="1" t="s">
        <v>47</v>
      </c>
      <c r="Q1038">
        <v>4</v>
      </c>
      <c r="R1038" s="1" t="s">
        <v>45</v>
      </c>
      <c r="S1038">
        <v>3722</v>
      </c>
      <c r="T1038">
        <v>21081</v>
      </c>
      <c r="U1038">
        <v>6</v>
      </c>
      <c r="V1038" s="1" t="s">
        <v>33</v>
      </c>
      <c r="W1038">
        <v>13</v>
      </c>
      <c r="X1038">
        <v>3</v>
      </c>
      <c r="Y1038">
        <v>3</v>
      </c>
      <c r="Z1038">
        <v>80</v>
      </c>
      <c r="AA1038">
        <v>1</v>
      </c>
      <c r="AB1038">
        <v>7</v>
      </c>
      <c r="AC1038">
        <v>2</v>
      </c>
      <c r="AD1038">
        <v>1</v>
      </c>
      <c r="AE1038">
        <v>2</v>
      </c>
      <c r="AF1038">
        <v>2</v>
      </c>
      <c r="AG1038">
        <v>2</v>
      </c>
      <c r="AH1038">
        <v>2</v>
      </c>
      <c r="AI1038">
        <f>IF(tbl_HRData[[#This Row],[Attrition]] = "Yes",1,0)</f>
        <v>1</v>
      </c>
      <c r="AJ1038">
        <f>IF(tbl_HRData[[#This Row],[Attrition]] = "No",1,0)</f>
        <v>0</v>
      </c>
      <c r="AK1038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038" s="1" t="str">
        <f>IF(tbl_HRData[[#This Row],[MonthlyIncome]]&lt;5000,"Low",
IF(tbl_HRData[[#This Row],[MonthlyIncome]]&lt;10000,"Medium",
IF(tbl_HRData[[#This Row],[MonthlyIncome]]&lt;15000,"Upper Medium","High")))</f>
        <v>Low</v>
      </c>
      <c r="AM1038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039" spans="1:39" x14ac:dyDescent="0.35">
      <c r="A1039" s="1">
        <v>1038</v>
      </c>
      <c r="B1039">
        <v>45</v>
      </c>
      <c r="C1039" s="1" t="s">
        <v>40</v>
      </c>
      <c r="D1039" s="1" t="s">
        <v>34</v>
      </c>
      <c r="E1039">
        <v>1448</v>
      </c>
      <c r="F1039" s="1" t="s">
        <v>42</v>
      </c>
      <c r="G1039">
        <v>29</v>
      </c>
      <c r="H1039">
        <v>3</v>
      </c>
      <c r="I1039" s="1" t="s">
        <v>57</v>
      </c>
      <c r="J1039">
        <v>1465</v>
      </c>
      <c r="K1039">
        <v>2</v>
      </c>
      <c r="L1039" s="1" t="s">
        <v>43</v>
      </c>
      <c r="M1039">
        <v>55</v>
      </c>
      <c r="N1039">
        <v>3</v>
      </c>
      <c r="O1039">
        <v>3</v>
      </c>
      <c r="P1039" s="1" t="s">
        <v>50</v>
      </c>
      <c r="Q1039">
        <v>4</v>
      </c>
      <c r="R1039" s="1" t="s">
        <v>45</v>
      </c>
      <c r="S1039">
        <v>9380</v>
      </c>
      <c r="T1039">
        <v>14720</v>
      </c>
      <c r="U1039">
        <v>4</v>
      </c>
      <c r="V1039" s="1" t="s">
        <v>33</v>
      </c>
      <c r="W1039">
        <v>18</v>
      </c>
      <c r="X1039">
        <v>3</v>
      </c>
      <c r="Y1039">
        <v>4</v>
      </c>
      <c r="Z1039">
        <v>80</v>
      </c>
      <c r="AA1039">
        <v>2</v>
      </c>
      <c r="AB1039">
        <v>10</v>
      </c>
      <c r="AC1039">
        <v>4</v>
      </c>
      <c r="AD1039">
        <v>4</v>
      </c>
      <c r="AE1039">
        <v>3</v>
      </c>
      <c r="AF1039">
        <v>1</v>
      </c>
      <c r="AG1039">
        <v>1</v>
      </c>
      <c r="AH1039">
        <v>2</v>
      </c>
      <c r="AI1039">
        <f>IF(tbl_HRData[[#This Row],[Attrition]] = "Yes",1,0)</f>
        <v>0</v>
      </c>
      <c r="AJ1039">
        <f>IF(tbl_HRData[[#This Row],[Attrition]] = "No",1,0)</f>
        <v>1</v>
      </c>
      <c r="AK1039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1039" s="1" t="str">
        <f>IF(tbl_HRData[[#This Row],[MonthlyIncome]]&lt;5000,"Low",
IF(tbl_HRData[[#This Row],[MonthlyIncome]]&lt;10000,"Medium",
IF(tbl_HRData[[#This Row],[MonthlyIncome]]&lt;15000,"Upper Medium","High")))</f>
        <v>Medium</v>
      </c>
      <c r="AM1039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040" spans="1:39" x14ac:dyDescent="0.35">
      <c r="A1040" s="1">
        <v>1039</v>
      </c>
      <c r="B1040">
        <v>48</v>
      </c>
      <c r="C1040" s="1" t="s">
        <v>40</v>
      </c>
      <c r="D1040" s="1" t="s">
        <v>34</v>
      </c>
      <c r="E1040">
        <v>1221</v>
      </c>
      <c r="F1040" s="1" t="s">
        <v>35</v>
      </c>
      <c r="G1040">
        <v>7</v>
      </c>
      <c r="H1040">
        <v>3</v>
      </c>
      <c r="I1040" s="1" t="s">
        <v>56</v>
      </c>
      <c r="J1040">
        <v>1466</v>
      </c>
      <c r="K1040">
        <v>3</v>
      </c>
      <c r="L1040" s="1" t="s">
        <v>43</v>
      </c>
      <c r="M1040">
        <v>96</v>
      </c>
      <c r="N1040">
        <v>3</v>
      </c>
      <c r="O1040">
        <v>2</v>
      </c>
      <c r="P1040" s="1" t="s">
        <v>38</v>
      </c>
      <c r="Q1040">
        <v>1</v>
      </c>
      <c r="R1040" s="1" t="s">
        <v>49</v>
      </c>
      <c r="S1040">
        <v>5486</v>
      </c>
      <c r="T1040">
        <v>24795</v>
      </c>
      <c r="U1040">
        <v>4</v>
      </c>
      <c r="V1040" s="1" t="s">
        <v>40</v>
      </c>
      <c r="W1040">
        <v>11</v>
      </c>
      <c r="X1040">
        <v>3</v>
      </c>
      <c r="Y1040">
        <v>1</v>
      </c>
      <c r="Z1040">
        <v>80</v>
      </c>
      <c r="AA1040">
        <v>3</v>
      </c>
      <c r="AB1040">
        <v>15</v>
      </c>
      <c r="AC1040">
        <v>3</v>
      </c>
      <c r="AD1040">
        <v>3</v>
      </c>
      <c r="AE1040">
        <v>2</v>
      </c>
      <c r="AF1040">
        <v>2</v>
      </c>
      <c r="AG1040">
        <v>2</v>
      </c>
      <c r="AH1040">
        <v>2</v>
      </c>
      <c r="AI1040">
        <f>IF(tbl_HRData[[#This Row],[Attrition]] = "Yes",1,0)</f>
        <v>0</v>
      </c>
      <c r="AJ1040">
        <f>IF(tbl_HRData[[#This Row],[Attrition]] = "No",1,0)</f>
        <v>1</v>
      </c>
      <c r="AK1040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1040" s="1" t="str">
        <f>IF(tbl_HRData[[#This Row],[MonthlyIncome]]&lt;5000,"Low",
IF(tbl_HRData[[#This Row],[MonthlyIncome]]&lt;10000,"Medium",
IF(tbl_HRData[[#This Row],[MonthlyIncome]]&lt;15000,"Upper Medium","High")))</f>
        <v>Medium</v>
      </c>
      <c r="AM1040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041" spans="1:39" x14ac:dyDescent="0.35">
      <c r="A1041" s="1">
        <v>1040</v>
      </c>
      <c r="B1041">
        <v>34</v>
      </c>
      <c r="C1041" s="1" t="s">
        <v>33</v>
      </c>
      <c r="D1041" s="1" t="s">
        <v>34</v>
      </c>
      <c r="E1041">
        <v>1107</v>
      </c>
      <c r="F1041" s="1" t="s">
        <v>58</v>
      </c>
      <c r="G1041">
        <v>9</v>
      </c>
      <c r="H1041">
        <v>4</v>
      </c>
      <c r="I1041" s="1" t="s">
        <v>57</v>
      </c>
      <c r="J1041">
        <v>1467</v>
      </c>
      <c r="K1041">
        <v>1</v>
      </c>
      <c r="L1041" s="1" t="s">
        <v>37</v>
      </c>
      <c r="M1041">
        <v>52</v>
      </c>
      <c r="N1041">
        <v>3</v>
      </c>
      <c r="O1041">
        <v>1</v>
      </c>
      <c r="P1041" s="1" t="s">
        <v>58</v>
      </c>
      <c r="Q1041">
        <v>3</v>
      </c>
      <c r="R1041" s="1" t="s">
        <v>45</v>
      </c>
      <c r="S1041">
        <v>2742</v>
      </c>
      <c r="T1041">
        <v>3072</v>
      </c>
      <c r="U1041">
        <v>1</v>
      </c>
      <c r="V1041" s="1" t="s">
        <v>40</v>
      </c>
      <c r="W1041">
        <v>15</v>
      </c>
      <c r="X1041">
        <v>3</v>
      </c>
      <c r="Y1041">
        <v>4</v>
      </c>
      <c r="Z1041">
        <v>80</v>
      </c>
      <c r="AA1041">
        <v>0</v>
      </c>
      <c r="AB1041">
        <v>2</v>
      </c>
      <c r="AC1041">
        <v>0</v>
      </c>
      <c r="AD1041">
        <v>3</v>
      </c>
      <c r="AE1041">
        <v>2</v>
      </c>
      <c r="AF1041">
        <v>2</v>
      </c>
      <c r="AG1041">
        <v>2</v>
      </c>
      <c r="AH1041">
        <v>2</v>
      </c>
      <c r="AI1041">
        <f>IF(tbl_HRData[[#This Row],[Attrition]] = "Yes",1,0)</f>
        <v>1</v>
      </c>
      <c r="AJ1041">
        <f>IF(tbl_HRData[[#This Row],[Attrition]] = "No",1,0)</f>
        <v>0</v>
      </c>
      <c r="AK1041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041" s="1" t="str">
        <f>IF(tbl_HRData[[#This Row],[MonthlyIncome]]&lt;5000,"Low",
IF(tbl_HRData[[#This Row],[MonthlyIncome]]&lt;10000,"Medium",
IF(tbl_HRData[[#This Row],[MonthlyIncome]]&lt;15000,"Upper Medium","High")))</f>
        <v>Low</v>
      </c>
      <c r="AM1041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042" spans="1:39" x14ac:dyDescent="0.35">
      <c r="A1042" s="1">
        <v>1041</v>
      </c>
      <c r="B1042">
        <v>40</v>
      </c>
      <c r="C1042" s="1" t="s">
        <v>40</v>
      </c>
      <c r="D1042" s="1" t="s">
        <v>52</v>
      </c>
      <c r="E1042">
        <v>218</v>
      </c>
      <c r="F1042" s="1" t="s">
        <v>42</v>
      </c>
      <c r="G1042">
        <v>8</v>
      </c>
      <c r="H1042">
        <v>1</v>
      </c>
      <c r="I1042" s="1" t="s">
        <v>48</v>
      </c>
      <c r="J1042">
        <v>1468</v>
      </c>
      <c r="K1042">
        <v>4</v>
      </c>
      <c r="L1042" s="1" t="s">
        <v>43</v>
      </c>
      <c r="M1042">
        <v>55</v>
      </c>
      <c r="N1042">
        <v>2</v>
      </c>
      <c r="O1042">
        <v>3</v>
      </c>
      <c r="P1042" s="1" t="s">
        <v>55</v>
      </c>
      <c r="Q1042">
        <v>2</v>
      </c>
      <c r="R1042" s="1" t="s">
        <v>49</v>
      </c>
      <c r="S1042">
        <v>13757</v>
      </c>
      <c r="T1042">
        <v>25178</v>
      </c>
      <c r="U1042">
        <v>2</v>
      </c>
      <c r="V1042" s="1" t="s">
        <v>40</v>
      </c>
      <c r="W1042">
        <v>11</v>
      </c>
      <c r="X1042">
        <v>3</v>
      </c>
      <c r="Y1042">
        <v>3</v>
      </c>
      <c r="Z1042">
        <v>80</v>
      </c>
      <c r="AA1042">
        <v>1</v>
      </c>
      <c r="AB1042">
        <v>16</v>
      </c>
      <c r="AC1042">
        <v>5</v>
      </c>
      <c r="AD1042">
        <v>3</v>
      </c>
      <c r="AE1042">
        <v>9</v>
      </c>
      <c r="AF1042">
        <v>8</v>
      </c>
      <c r="AG1042">
        <v>4</v>
      </c>
      <c r="AH1042">
        <v>8</v>
      </c>
      <c r="AI1042">
        <f>IF(tbl_HRData[[#This Row],[Attrition]] = "Yes",1,0)</f>
        <v>0</v>
      </c>
      <c r="AJ1042">
        <f>IF(tbl_HRData[[#This Row],[Attrition]] = "No",1,0)</f>
        <v>1</v>
      </c>
      <c r="AK1042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042" s="1" t="str">
        <f>IF(tbl_HRData[[#This Row],[MonthlyIncome]]&lt;5000,"Low",
IF(tbl_HRData[[#This Row],[MonthlyIncome]]&lt;10000,"Medium",
IF(tbl_HRData[[#This Row],[MonthlyIncome]]&lt;15000,"Upper Medium","High")))</f>
        <v>Upper Medium</v>
      </c>
      <c r="AM1042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043" spans="1:39" x14ac:dyDescent="0.35">
      <c r="A1043" s="1">
        <v>1042</v>
      </c>
      <c r="B1043">
        <v>28</v>
      </c>
      <c r="C1043" s="1" t="s">
        <v>40</v>
      </c>
      <c r="D1043" s="1" t="s">
        <v>34</v>
      </c>
      <c r="E1043">
        <v>866</v>
      </c>
      <c r="F1043" s="1" t="s">
        <v>35</v>
      </c>
      <c r="G1043">
        <v>5</v>
      </c>
      <c r="H1043">
        <v>3</v>
      </c>
      <c r="I1043" s="1" t="s">
        <v>48</v>
      </c>
      <c r="J1043">
        <v>1469</v>
      </c>
      <c r="K1043">
        <v>4</v>
      </c>
      <c r="L1043" s="1" t="s">
        <v>43</v>
      </c>
      <c r="M1043">
        <v>84</v>
      </c>
      <c r="N1043">
        <v>3</v>
      </c>
      <c r="O1043">
        <v>2</v>
      </c>
      <c r="P1043" s="1" t="s">
        <v>38</v>
      </c>
      <c r="Q1043">
        <v>1</v>
      </c>
      <c r="R1043" s="1" t="s">
        <v>39</v>
      </c>
      <c r="S1043">
        <v>8463</v>
      </c>
      <c r="T1043">
        <v>23490</v>
      </c>
      <c r="U1043">
        <v>0</v>
      </c>
      <c r="V1043" s="1" t="s">
        <v>40</v>
      </c>
      <c r="W1043">
        <v>18</v>
      </c>
      <c r="X1043">
        <v>3</v>
      </c>
      <c r="Y1043">
        <v>4</v>
      </c>
      <c r="Z1043">
        <v>80</v>
      </c>
      <c r="AA1043">
        <v>0</v>
      </c>
      <c r="AB1043">
        <v>6</v>
      </c>
      <c r="AC1043">
        <v>4</v>
      </c>
      <c r="AD1043">
        <v>3</v>
      </c>
      <c r="AE1043">
        <v>5</v>
      </c>
      <c r="AF1043">
        <v>4</v>
      </c>
      <c r="AG1043">
        <v>1</v>
      </c>
      <c r="AH1043">
        <v>3</v>
      </c>
      <c r="AI1043">
        <f>IF(tbl_HRData[[#This Row],[Attrition]] = "Yes",1,0)</f>
        <v>0</v>
      </c>
      <c r="AJ1043">
        <f>IF(tbl_HRData[[#This Row],[Attrition]] = "No",1,0)</f>
        <v>1</v>
      </c>
      <c r="AK1043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043" s="1" t="str">
        <f>IF(tbl_HRData[[#This Row],[MonthlyIncome]]&lt;5000,"Low",
IF(tbl_HRData[[#This Row],[MonthlyIncome]]&lt;10000,"Medium",
IF(tbl_HRData[[#This Row],[MonthlyIncome]]&lt;15000,"Upper Medium","High")))</f>
        <v>Medium</v>
      </c>
      <c r="AM1043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044" spans="1:39" x14ac:dyDescent="0.35">
      <c r="A1044" s="1">
        <v>1043</v>
      </c>
      <c r="B1044">
        <v>44</v>
      </c>
      <c r="C1044" s="1" t="s">
        <v>40</v>
      </c>
      <c r="D1044" s="1" t="s">
        <v>52</v>
      </c>
      <c r="E1044">
        <v>981</v>
      </c>
      <c r="F1044" s="1" t="s">
        <v>42</v>
      </c>
      <c r="G1044">
        <v>5</v>
      </c>
      <c r="H1044">
        <v>3</v>
      </c>
      <c r="I1044" s="1" t="s">
        <v>36</v>
      </c>
      <c r="J1044">
        <v>1471</v>
      </c>
      <c r="K1044">
        <v>3</v>
      </c>
      <c r="L1044" s="1" t="s">
        <v>43</v>
      </c>
      <c r="M1044">
        <v>90</v>
      </c>
      <c r="N1044">
        <v>2</v>
      </c>
      <c r="O1044">
        <v>1</v>
      </c>
      <c r="P1044" s="1" t="s">
        <v>47</v>
      </c>
      <c r="Q1044">
        <v>3</v>
      </c>
      <c r="R1044" s="1" t="s">
        <v>39</v>
      </c>
      <c r="S1044">
        <v>3162</v>
      </c>
      <c r="T1044">
        <v>7973</v>
      </c>
      <c r="U1044">
        <v>3</v>
      </c>
      <c r="V1044" s="1" t="s">
        <v>40</v>
      </c>
      <c r="W1044">
        <v>14</v>
      </c>
      <c r="X1044">
        <v>3</v>
      </c>
      <c r="Y1044">
        <v>4</v>
      </c>
      <c r="Z1044">
        <v>80</v>
      </c>
      <c r="AA1044">
        <v>0</v>
      </c>
      <c r="AB1044">
        <v>7</v>
      </c>
      <c r="AC1044">
        <v>5</v>
      </c>
      <c r="AD1044">
        <v>3</v>
      </c>
      <c r="AE1044">
        <v>5</v>
      </c>
      <c r="AF1044">
        <v>2</v>
      </c>
      <c r="AG1044">
        <v>0</v>
      </c>
      <c r="AH1044">
        <v>3</v>
      </c>
      <c r="AI1044">
        <f>IF(tbl_HRData[[#This Row],[Attrition]] = "Yes",1,0)</f>
        <v>0</v>
      </c>
      <c r="AJ1044">
        <f>IF(tbl_HRData[[#This Row],[Attrition]] = "No",1,0)</f>
        <v>1</v>
      </c>
      <c r="AK1044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044" s="1" t="str">
        <f>IF(tbl_HRData[[#This Row],[MonthlyIncome]]&lt;5000,"Low",
IF(tbl_HRData[[#This Row],[MonthlyIncome]]&lt;10000,"Medium",
IF(tbl_HRData[[#This Row],[MonthlyIncome]]&lt;15000,"Upper Medium","High")))</f>
        <v>Low</v>
      </c>
      <c r="AM1044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045" spans="1:39" x14ac:dyDescent="0.35">
      <c r="A1045" s="1">
        <v>1044</v>
      </c>
      <c r="B1045">
        <v>53</v>
      </c>
      <c r="C1045" s="1" t="s">
        <v>40</v>
      </c>
      <c r="D1045" s="1" t="s">
        <v>34</v>
      </c>
      <c r="E1045">
        <v>447</v>
      </c>
      <c r="F1045" s="1" t="s">
        <v>42</v>
      </c>
      <c r="G1045">
        <v>2</v>
      </c>
      <c r="H1045">
        <v>3</v>
      </c>
      <c r="I1045" s="1" t="s">
        <v>48</v>
      </c>
      <c r="J1045">
        <v>1472</v>
      </c>
      <c r="K1045">
        <v>4</v>
      </c>
      <c r="L1045" s="1" t="s">
        <v>43</v>
      </c>
      <c r="M1045">
        <v>39</v>
      </c>
      <c r="N1045">
        <v>4</v>
      </c>
      <c r="O1045">
        <v>4</v>
      </c>
      <c r="P1045" s="1" t="s">
        <v>55</v>
      </c>
      <c r="Q1045">
        <v>2</v>
      </c>
      <c r="R1045" s="1" t="s">
        <v>39</v>
      </c>
      <c r="S1045">
        <v>16598</v>
      </c>
      <c r="T1045">
        <v>19764</v>
      </c>
      <c r="U1045">
        <v>4</v>
      </c>
      <c r="V1045" s="1" t="s">
        <v>40</v>
      </c>
      <c r="W1045">
        <v>12</v>
      </c>
      <c r="X1045">
        <v>3</v>
      </c>
      <c r="Y1045">
        <v>2</v>
      </c>
      <c r="Z1045">
        <v>80</v>
      </c>
      <c r="AA1045">
        <v>0</v>
      </c>
      <c r="AB1045">
        <v>35</v>
      </c>
      <c r="AC1045">
        <v>2</v>
      </c>
      <c r="AD1045">
        <v>2</v>
      </c>
      <c r="AE1045">
        <v>9</v>
      </c>
      <c r="AF1045">
        <v>8</v>
      </c>
      <c r="AG1045">
        <v>8</v>
      </c>
      <c r="AH1045">
        <v>8</v>
      </c>
      <c r="AI1045">
        <f>IF(tbl_HRData[[#This Row],[Attrition]] = "Yes",1,0)</f>
        <v>0</v>
      </c>
      <c r="AJ1045">
        <f>IF(tbl_HRData[[#This Row],[Attrition]] = "No",1,0)</f>
        <v>1</v>
      </c>
      <c r="AK1045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1045" s="1" t="str">
        <f>IF(tbl_HRData[[#This Row],[MonthlyIncome]]&lt;5000,"Low",
IF(tbl_HRData[[#This Row],[MonthlyIncome]]&lt;10000,"Medium",
IF(tbl_HRData[[#This Row],[MonthlyIncome]]&lt;15000,"Upper Medium","High")))</f>
        <v>High</v>
      </c>
      <c r="AM1045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046" spans="1:39" x14ac:dyDescent="0.35">
      <c r="A1046" s="1">
        <v>1045</v>
      </c>
      <c r="B1046">
        <v>49</v>
      </c>
      <c r="C1046" s="1" t="s">
        <v>40</v>
      </c>
      <c r="D1046" s="1" t="s">
        <v>34</v>
      </c>
      <c r="E1046">
        <v>1495</v>
      </c>
      <c r="F1046" s="1" t="s">
        <v>42</v>
      </c>
      <c r="G1046">
        <v>5</v>
      </c>
      <c r="H1046">
        <v>4</v>
      </c>
      <c r="I1046" s="1" t="s">
        <v>57</v>
      </c>
      <c r="J1046">
        <v>1473</v>
      </c>
      <c r="K1046">
        <v>1</v>
      </c>
      <c r="L1046" s="1" t="s">
        <v>43</v>
      </c>
      <c r="M1046">
        <v>96</v>
      </c>
      <c r="N1046">
        <v>3</v>
      </c>
      <c r="O1046">
        <v>2</v>
      </c>
      <c r="P1046" s="1" t="s">
        <v>51</v>
      </c>
      <c r="Q1046">
        <v>3</v>
      </c>
      <c r="R1046" s="1" t="s">
        <v>45</v>
      </c>
      <c r="S1046">
        <v>6651</v>
      </c>
      <c r="T1046">
        <v>21534</v>
      </c>
      <c r="U1046">
        <v>2</v>
      </c>
      <c r="V1046" s="1" t="s">
        <v>40</v>
      </c>
      <c r="W1046">
        <v>14</v>
      </c>
      <c r="X1046">
        <v>3</v>
      </c>
      <c r="Y1046">
        <v>2</v>
      </c>
      <c r="Z1046">
        <v>80</v>
      </c>
      <c r="AA1046">
        <v>1</v>
      </c>
      <c r="AB1046">
        <v>20</v>
      </c>
      <c r="AC1046">
        <v>0</v>
      </c>
      <c r="AD1046">
        <v>2</v>
      </c>
      <c r="AE1046">
        <v>3</v>
      </c>
      <c r="AF1046">
        <v>2</v>
      </c>
      <c r="AG1046">
        <v>1</v>
      </c>
      <c r="AH1046">
        <v>2</v>
      </c>
      <c r="AI1046">
        <f>IF(tbl_HRData[[#This Row],[Attrition]] = "Yes",1,0)</f>
        <v>0</v>
      </c>
      <c r="AJ1046">
        <f>IF(tbl_HRData[[#This Row],[Attrition]] = "No",1,0)</f>
        <v>1</v>
      </c>
      <c r="AK1046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1046" s="1" t="str">
        <f>IF(tbl_HRData[[#This Row],[MonthlyIncome]]&lt;5000,"Low",
IF(tbl_HRData[[#This Row],[MonthlyIncome]]&lt;10000,"Medium",
IF(tbl_HRData[[#This Row],[MonthlyIncome]]&lt;15000,"Upper Medium","High")))</f>
        <v>Medium</v>
      </c>
      <c r="AM1046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047" spans="1:39" x14ac:dyDescent="0.35">
      <c r="A1047" s="1">
        <v>1046</v>
      </c>
      <c r="B1047">
        <v>40</v>
      </c>
      <c r="C1047" s="1" t="s">
        <v>40</v>
      </c>
      <c r="D1047" s="1" t="s">
        <v>34</v>
      </c>
      <c r="E1047">
        <v>896</v>
      </c>
      <c r="F1047" s="1" t="s">
        <v>42</v>
      </c>
      <c r="G1047">
        <v>2</v>
      </c>
      <c r="H1047">
        <v>3</v>
      </c>
      <c r="I1047" s="1" t="s">
        <v>48</v>
      </c>
      <c r="J1047">
        <v>1474</v>
      </c>
      <c r="K1047">
        <v>3</v>
      </c>
      <c r="L1047" s="1" t="s">
        <v>43</v>
      </c>
      <c r="M1047">
        <v>68</v>
      </c>
      <c r="N1047">
        <v>3</v>
      </c>
      <c r="O1047">
        <v>1</v>
      </c>
      <c r="P1047" s="1" t="s">
        <v>44</v>
      </c>
      <c r="Q1047">
        <v>3</v>
      </c>
      <c r="R1047" s="1" t="s">
        <v>49</v>
      </c>
      <c r="S1047">
        <v>2345</v>
      </c>
      <c r="T1047">
        <v>8045</v>
      </c>
      <c r="U1047">
        <v>2</v>
      </c>
      <c r="V1047" s="1" t="s">
        <v>40</v>
      </c>
      <c r="W1047">
        <v>14</v>
      </c>
      <c r="X1047">
        <v>3</v>
      </c>
      <c r="Y1047">
        <v>3</v>
      </c>
      <c r="Z1047">
        <v>80</v>
      </c>
      <c r="AA1047">
        <v>1</v>
      </c>
      <c r="AB1047">
        <v>8</v>
      </c>
      <c r="AC1047">
        <v>3</v>
      </c>
      <c r="AD1047">
        <v>4</v>
      </c>
      <c r="AE1047">
        <v>3</v>
      </c>
      <c r="AF1047">
        <v>1</v>
      </c>
      <c r="AG1047">
        <v>1</v>
      </c>
      <c r="AH1047">
        <v>2</v>
      </c>
      <c r="AI1047">
        <f>IF(tbl_HRData[[#This Row],[Attrition]] = "Yes",1,0)</f>
        <v>0</v>
      </c>
      <c r="AJ1047">
        <f>IF(tbl_HRData[[#This Row],[Attrition]] = "No",1,0)</f>
        <v>1</v>
      </c>
      <c r="AK1047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047" s="1" t="str">
        <f>IF(tbl_HRData[[#This Row],[MonthlyIncome]]&lt;5000,"Low",
IF(tbl_HRData[[#This Row],[MonthlyIncome]]&lt;10000,"Medium",
IF(tbl_HRData[[#This Row],[MonthlyIncome]]&lt;15000,"Upper Medium","High")))</f>
        <v>Low</v>
      </c>
      <c r="AM1047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048" spans="1:39" x14ac:dyDescent="0.35">
      <c r="A1048" s="1">
        <v>1047</v>
      </c>
      <c r="B1048">
        <v>44</v>
      </c>
      <c r="C1048" s="1" t="s">
        <v>40</v>
      </c>
      <c r="D1048" s="1" t="s">
        <v>34</v>
      </c>
      <c r="E1048">
        <v>1467</v>
      </c>
      <c r="F1048" s="1" t="s">
        <v>42</v>
      </c>
      <c r="G1048">
        <v>20</v>
      </c>
      <c r="H1048">
        <v>3</v>
      </c>
      <c r="I1048" s="1" t="s">
        <v>36</v>
      </c>
      <c r="J1048">
        <v>1475</v>
      </c>
      <c r="K1048">
        <v>4</v>
      </c>
      <c r="L1048" s="1" t="s">
        <v>43</v>
      </c>
      <c r="M1048">
        <v>49</v>
      </c>
      <c r="N1048">
        <v>3</v>
      </c>
      <c r="O1048">
        <v>1</v>
      </c>
      <c r="P1048" s="1" t="s">
        <v>44</v>
      </c>
      <c r="Q1048">
        <v>2</v>
      </c>
      <c r="R1048" s="1" t="s">
        <v>39</v>
      </c>
      <c r="S1048">
        <v>3420</v>
      </c>
      <c r="T1048">
        <v>21158</v>
      </c>
      <c r="U1048">
        <v>1</v>
      </c>
      <c r="V1048" s="1" t="s">
        <v>40</v>
      </c>
      <c r="W1048">
        <v>13</v>
      </c>
      <c r="X1048">
        <v>3</v>
      </c>
      <c r="Y1048">
        <v>3</v>
      </c>
      <c r="Z1048">
        <v>80</v>
      </c>
      <c r="AA1048">
        <v>0</v>
      </c>
      <c r="AB1048">
        <v>6</v>
      </c>
      <c r="AC1048">
        <v>3</v>
      </c>
      <c r="AD1048">
        <v>2</v>
      </c>
      <c r="AE1048">
        <v>5</v>
      </c>
      <c r="AF1048">
        <v>2</v>
      </c>
      <c r="AG1048">
        <v>1</v>
      </c>
      <c r="AH1048">
        <v>3</v>
      </c>
      <c r="AI1048">
        <f>IF(tbl_HRData[[#This Row],[Attrition]] = "Yes",1,0)</f>
        <v>0</v>
      </c>
      <c r="AJ1048">
        <f>IF(tbl_HRData[[#This Row],[Attrition]] = "No",1,0)</f>
        <v>1</v>
      </c>
      <c r="AK1048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048" s="1" t="str">
        <f>IF(tbl_HRData[[#This Row],[MonthlyIncome]]&lt;5000,"Low",
IF(tbl_HRData[[#This Row],[MonthlyIncome]]&lt;10000,"Medium",
IF(tbl_HRData[[#This Row],[MonthlyIncome]]&lt;15000,"Upper Medium","High")))</f>
        <v>Low</v>
      </c>
      <c r="AM1048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049" spans="1:39" x14ac:dyDescent="0.35">
      <c r="A1049" s="1">
        <v>1048</v>
      </c>
      <c r="B1049">
        <v>33</v>
      </c>
      <c r="C1049" s="1" t="s">
        <v>40</v>
      </c>
      <c r="D1049" s="1" t="s">
        <v>41</v>
      </c>
      <c r="E1049">
        <v>430</v>
      </c>
      <c r="F1049" s="1" t="s">
        <v>35</v>
      </c>
      <c r="G1049">
        <v>7</v>
      </c>
      <c r="H1049">
        <v>3</v>
      </c>
      <c r="I1049" s="1" t="s">
        <v>48</v>
      </c>
      <c r="J1049">
        <v>1477</v>
      </c>
      <c r="K1049">
        <v>4</v>
      </c>
      <c r="L1049" s="1" t="s">
        <v>43</v>
      </c>
      <c r="M1049">
        <v>54</v>
      </c>
      <c r="N1049">
        <v>3</v>
      </c>
      <c r="O1049">
        <v>2</v>
      </c>
      <c r="P1049" s="1" t="s">
        <v>38</v>
      </c>
      <c r="Q1049">
        <v>1</v>
      </c>
      <c r="R1049" s="1" t="s">
        <v>45</v>
      </c>
      <c r="S1049">
        <v>4373</v>
      </c>
      <c r="T1049">
        <v>17456</v>
      </c>
      <c r="U1049">
        <v>0</v>
      </c>
      <c r="V1049" s="1" t="s">
        <v>40</v>
      </c>
      <c r="W1049">
        <v>14</v>
      </c>
      <c r="X1049">
        <v>3</v>
      </c>
      <c r="Y1049">
        <v>1</v>
      </c>
      <c r="Z1049">
        <v>80</v>
      </c>
      <c r="AA1049">
        <v>2</v>
      </c>
      <c r="AB1049">
        <v>5</v>
      </c>
      <c r="AC1049">
        <v>2</v>
      </c>
      <c r="AD1049">
        <v>3</v>
      </c>
      <c r="AE1049">
        <v>4</v>
      </c>
      <c r="AF1049">
        <v>3</v>
      </c>
      <c r="AG1049">
        <v>0</v>
      </c>
      <c r="AH1049">
        <v>3</v>
      </c>
      <c r="AI1049">
        <f>IF(tbl_HRData[[#This Row],[Attrition]] = "Yes",1,0)</f>
        <v>0</v>
      </c>
      <c r="AJ1049">
        <f>IF(tbl_HRData[[#This Row],[Attrition]] = "No",1,0)</f>
        <v>1</v>
      </c>
      <c r="AK1049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049" s="1" t="str">
        <f>IF(tbl_HRData[[#This Row],[MonthlyIncome]]&lt;5000,"Low",
IF(tbl_HRData[[#This Row],[MonthlyIncome]]&lt;10000,"Medium",
IF(tbl_HRData[[#This Row],[MonthlyIncome]]&lt;15000,"Upper Medium","High")))</f>
        <v>Low</v>
      </c>
      <c r="AM1049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050" spans="1:39" x14ac:dyDescent="0.35">
      <c r="A1050" s="1">
        <v>1049</v>
      </c>
      <c r="B1050">
        <v>34</v>
      </c>
      <c r="C1050" s="1" t="s">
        <v>40</v>
      </c>
      <c r="D1050" s="1" t="s">
        <v>34</v>
      </c>
      <c r="E1050">
        <v>1326</v>
      </c>
      <c r="F1050" s="1" t="s">
        <v>35</v>
      </c>
      <c r="G1050">
        <v>3</v>
      </c>
      <c r="H1050">
        <v>3</v>
      </c>
      <c r="I1050" s="1" t="s">
        <v>46</v>
      </c>
      <c r="J1050">
        <v>1478</v>
      </c>
      <c r="K1050">
        <v>4</v>
      </c>
      <c r="L1050" s="1" t="s">
        <v>43</v>
      </c>
      <c r="M1050">
        <v>81</v>
      </c>
      <c r="N1050">
        <v>1</v>
      </c>
      <c r="O1050">
        <v>2</v>
      </c>
      <c r="P1050" s="1" t="s">
        <v>38</v>
      </c>
      <c r="Q1050">
        <v>1</v>
      </c>
      <c r="R1050" s="1" t="s">
        <v>39</v>
      </c>
      <c r="S1050">
        <v>4759</v>
      </c>
      <c r="T1050">
        <v>15891</v>
      </c>
      <c r="U1050">
        <v>3</v>
      </c>
      <c r="V1050" s="1" t="s">
        <v>40</v>
      </c>
      <c r="W1050">
        <v>18</v>
      </c>
      <c r="X1050">
        <v>3</v>
      </c>
      <c r="Y1050">
        <v>4</v>
      </c>
      <c r="Z1050">
        <v>80</v>
      </c>
      <c r="AA1050">
        <v>0</v>
      </c>
      <c r="AB1050">
        <v>15</v>
      </c>
      <c r="AC1050">
        <v>2</v>
      </c>
      <c r="AD1050">
        <v>3</v>
      </c>
      <c r="AE1050">
        <v>13</v>
      </c>
      <c r="AF1050">
        <v>9</v>
      </c>
      <c r="AG1050">
        <v>3</v>
      </c>
      <c r="AH1050">
        <v>12</v>
      </c>
      <c r="AI1050">
        <f>IF(tbl_HRData[[#This Row],[Attrition]] = "Yes",1,0)</f>
        <v>0</v>
      </c>
      <c r="AJ1050">
        <f>IF(tbl_HRData[[#This Row],[Attrition]] = "No",1,0)</f>
        <v>1</v>
      </c>
      <c r="AK1050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050" s="1" t="str">
        <f>IF(tbl_HRData[[#This Row],[MonthlyIncome]]&lt;5000,"Low",
IF(tbl_HRData[[#This Row],[MonthlyIncome]]&lt;10000,"Medium",
IF(tbl_HRData[[#This Row],[MonthlyIncome]]&lt;15000,"Upper Medium","High")))</f>
        <v>Low</v>
      </c>
      <c r="AM1050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1051" spans="1:39" x14ac:dyDescent="0.35">
      <c r="A1051" s="1">
        <v>1050</v>
      </c>
      <c r="B1051">
        <v>30</v>
      </c>
      <c r="C1051" s="1" t="s">
        <v>40</v>
      </c>
      <c r="D1051" s="1" t="s">
        <v>34</v>
      </c>
      <c r="E1051">
        <v>1358</v>
      </c>
      <c r="F1051" s="1" t="s">
        <v>35</v>
      </c>
      <c r="G1051">
        <v>16</v>
      </c>
      <c r="H1051">
        <v>1</v>
      </c>
      <c r="I1051" s="1" t="s">
        <v>36</v>
      </c>
      <c r="J1051">
        <v>1479</v>
      </c>
      <c r="K1051">
        <v>4</v>
      </c>
      <c r="L1051" s="1" t="s">
        <v>43</v>
      </c>
      <c r="M1051">
        <v>96</v>
      </c>
      <c r="N1051">
        <v>3</v>
      </c>
      <c r="O1051">
        <v>2</v>
      </c>
      <c r="P1051" s="1" t="s">
        <v>38</v>
      </c>
      <c r="Q1051">
        <v>3</v>
      </c>
      <c r="R1051" s="1" t="s">
        <v>45</v>
      </c>
      <c r="S1051">
        <v>5301</v>
      </c>
      <c r="T1051">
        <v>2939</v>
      </c>
      <c r="U1051">
        <v>8</v>
      </c>
      <c r="V1051" s="1" t="s">
        <v>40</v>
      </c>
      <c r="W1051">
        <v>15</v>
      </c>
      <c r="X1051">
        <v>3</v>
      </c>
      <c r="Y1051">
        <v>3</v>
      </c>
      <c r="Z1051">
        <v>80</v>
      </c>
      <c r="AA1051">
        <v>2</v>
      </c>
      <c r="AB1051">
        <v>4</v>
      </c>
      <c r="AC1051">
        <v>2</v>
      </c>
      <c r="AD1051">
        <v>2</v>
      </c>
      <c r="AE1051">
        <v>2</v>
      </c>
      <c r="AF1051">
        <v>1</v>
      </c>
      <c r="AG1051">
        <v>2</v>
      </c>
      <c r="AH1051">
        <v>2</v>
      </c>
      <c r="AI1051">
        <f>IF(tbl_HRData[[#This Row],[Attrition]] = "Yes",1,0)</f>
        <v>0</v>
      </c>
      <c r="AJ1051">
        <f>IF(tbl_HRData[[#This Row],[Attrition]] = "No",1,0)</f>
        <v>1</v>
      </c>
      <c r="AK1051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051" s="1" t="str">
        <f>IF(tbl_HRData[[#This Row],[MonthlyIncome]]&lt;5000,"Low",
IF(tbl_HRData[[#This Row],[MonthlyIncome]]&lt;10000,"Medium",
IF(tbl_HRData[[#This Row],[MonthlyIncome]]&lt;15000,"Upper Medium","High")))</f>
        <v>Medium</v>
      </c>
      <c r="AM1051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052" spans="1:39" x14ac:dyDescent="0.35">
      <c r="A1052" s="1">
        <v>1051</v>
      </c>
      <c r="B1052">
        <v>42</v>
      </c>
      <c r="C1052" s="1" t="s">
        <v>40</v>
      </c>
      <c r="D1052" s="1" t="s">
        <v>41</v>
      </c>
      <c r="E1052">
        <v>748</v>
      </c>
      <c r="F1052" s="1" t="s">
        <v>42</v>
      </c>
      <c r="G1052">
        <v>9</v>
      </c>
      <c r="H1052">
        <v>2</v>
      </c>
      <c r="I1052" s="1" t="s">
        <v>48</v>
      </c>
      <c r="J1052">
        <v>1480</v>
      </c>
      <c r="K1052">
        <v>1</v>
      </c>
      <c r="L1052" s="1" t="s">
        <v>37</v>
      </c>
      <c r="M1052">
        <v>74</v>
      </c>
      <c r="N1052">
        <v>3</v>
      </c>
      <c r="O1052">
        <v>1</v>
      </c>
      <c r="P1052" s="1" t="s">
        <v>47</v>
      </c>
      <c r="Q1052">
        <v>4</v>
      </c>
      <c r="R1052" s="1" t="s">
        <v>39</v>
      </c>
      <c r="S1052">
        <v>3673</v>
      </c>
      <c r="T1052">
        <v>16458</v>
      </c>
      <c r="U1052">
        <v>1</v>
      </c>
      <c r="V1052" s="1" t="s">
        <v>40</v>
      </c>
      <c r="W1052">
        <v>13</v>
      </c>
      <c r="X1052">
        <v>3</v>
      </c>
      <c r="Y1052">
        <v>3</v>
      </c>
      <c r="Z1052">
        <v>80</v>
      </c>
      <c r="AA1052">
        <v>0</v>
      </c>
      <c r="AB1052">
        <v>12</v>
      </c>
      <c r="AC1052">
        <v>3</v>
      </c>
      <c r="AD1052">
        <v>3</v>
      </c>
      <c r="AE1052">
        <v>12</v>
      </c>
      <c r="AF1052">
        <v>9</v>
      </c>
      <c r="AG1052">
        <v>5</v>
      </c>
      <c r="AH1052">
        <v>8</v>
      </c>
      <c r="AI1052">
        <f>IF(tbl_HRData[[#This Row],[Attrition]] = "Yes",1,0)</f>
        <v>0</v>
      </c>
      <c r="AJ1052">
        <f>IF(tbl_HRData[[#This Row],[Attrition]] = "No",1,0)</f>
        <v>1</v>
      </c>
      <c r="AK1052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052" s="1" t="str">
        <f>IF(tbl_HRData[[#This Row],[MonthlyIncome]]&lt;5000,"Low",
IF(tbl_HRData[[#This Row],[MonthlyIncome]]&lt;10000,"Medium",
IF(tbl_HRData[[#This Row],[MonthlyIncome]]&lt;15000,"Upper Medium","High")))</f>
        <v>Low</v>
      </c>
      <c r="AM1052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1053" spans="1:39" x14ac:dyDescent="0.35">
      <c r="A1053" s="1">
        <v>1052</v>
      </c>
      <c r="B1053">
        <v>44</v>
      </c>
      <c r="C1053" s="1" t="s">
        <v>40</v>
      </c>
      <c r="D1053" s="1" t="s">
        <v>41</v>
      </c>
      <c r="E1053">
        <v>383</v>
      </c>
      <c r="F1053" s="1" t="s">
        <v>35</v>
      </c>
      <c r="G1053">
        <v>1</v>
      </c>
      <c r="H1053">
        <v>5</v>
      </c>
      <c r="I1053" s="1" t="s">
        <v>56</v>
      </c>
      <c r="J1053">
        <v>1481</v>
      </c>
      <c r="K1053">
        <v>1</v>
      </c>
      <c r="L1053" s="1" t="s">
        <v>37</v>
      </c>
      <c r="M1053">
        <v>79</v>
      </c>
      <c r="N1053">
        <v>3</v>
      </c>
      <c r="O1053">
        <v>2</v>
      </c>
      <c r="P1053" s="1" t="s">
        <v>38</v>
      </c>
      <c r="Q1053">
        <v>3</v>
      </c>
      <c r="R1053" s="1" t="s">
        <v>45</v>
      </c>
      <c r="S1053">
        <v>4768</v>
      </c>
      <c r="T1053">
        <v>9282</v>
      </c>
      <c r="U1053">
        <v>7</v>
      </c>
      <c r="V1053" s="1" t="s">
        <v>40</v>
      </c>
      <c r="W1053">
        <v>12</v>
      </c>
      <c r="X1053">
        <v>3</v>
      </c>
      <c r="Y1053">
        <v>3</v>
      </c>
      <c r="Z1053">
        <v>80</v>
      </c>
      <c r="AA1053">
        <v>1</v>
      </c>
      <c r="AB1053">
        <v>11</v>
      </c>
      <c r="AC1053">
        <v>4</v>
      </c>
      <c r="AD1053">
        <v>2</v>
      </c>
      <c r="AE1053">
        <v>1</v>
      </c>
      <c r="AF1053">
        <v>0</v>
      </c>
      <c r="AG1053">
        <v>0</v>
      </c>
      <c r="AH1053">
        <v>0</v>
      </c>
      <c r="AI1053">
        <f>IF(tbl_HRData[[#This Row],[Attrition]] = "Yes",1,0)</f>
        <v>0</v>
      </c>
      <c r="AJ1053">
        <f>IF(tbl_HRData[[#This Row],[Attrition]] = "No",1,0)</f>
        <v>1</v>
      </c>
      <c r="AK1053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053" s="1" t="str">
        <f>IF(tbl_HRData[[#This Row],[MonthlyIncome]]&lt;5000,"Low",
IF(tbl_HRData[[#This Row],[MonthlyIncome]]&lt;10000,"Medium",
IF(tbl_HRData[[#This Row],[MonthlyIncome]]&lt;15000,"Upper Medium","High")))</f>
        <v>Low</v>
      </c>
      <c r="AM1053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054" spans="1:39" x14ac:dyDescent="0.35">
      <c r="A1054" s="1">
        <v>1053</v>
      </c>
      <c r="B1054">
        <v>30</v>
      </c>
      <c r="C1054" s="1" t="s">
        <v>40</v>
      </c>
      <c r="D1054" s="1" t="s">
        <v>52</v>
      </c>
      <c r="E1054">
        <v>990</v>
      </c>
      <c r="F1054" s="1" t="s">
        <v>42</v>
      </c>
      <c r="G1054">
        <v>7</v>
      </c>
      <c r="H1054">
        <v>3</v>
      </c>
      <c r="I1054" s="1" t="s">
        <v>57</v>
      </c>
      <c r="J1054">
        <v>1482</v>
      </c>
      <c r="K1054">
        <v>3</v>
      </c>
      <c r="L1054" s="1" t="s">
        <v>43</v>
      </c>
      <c r="M1054">
        <v>64</v>
      </c>
      <c r="N1054">
        <v>3</v>
      </c>
      <c r="O1054">
        <v>1</v>
      </c>
      <c r="P1054" s="1" t="s">
        <v>44</v>
      </c>
      <c r="Q1054">
        <v>3</v>
      </c>
      <c r="R1054" s="1" t="s">
        <v>49</v>
      </c>
      <c r="S1054">
        <v>1274</v>
      </c>
      <c r="T1054">
        <v>7152</v>
      </c>
      <c r="U1054">
        <v>1</v>
      </c>
      <c r="V1054" s="1" t="s">
        <v>40</v>
      </c>
      <c r="W1054">
        <v>13</v>
      </c>
      <c r="X1054">
        <v>3</v>
      </c>
      <c r="Y1054">
        <v>2</v>
      </c>
      <c r="Z1054">
        <v>80</v>
      </c>
      <c r="AA1054">
        <v>2</v>
      </c>
      <c r="AB1054">
        <v>1</v>
      </c>
      <c r="AC1054">
        <v>2</v>
      </c>
      <c r="AD1054">
        <v>2</v>
      </c>
      <c r="AE1054">
        <v>1</v>
      </c>
      <c r="AF1054">
        <v>0</v>
      </c>
      <c r="AG1054">
        <v>0</v>
      </c>
      <c r="AH1054">
        <v>0</v>
      </c>
      <c r="AI1054">
        <f>IF(tbl_HRData[[#This Row],[Attrition]] = "Yes",1,0)</f>
        <v>0</v>
      </c>
      <c r="AJ1054">
        <f>IF(tbl_HRData[[#This Row],[Attrition]] = "No",1,0)</f>
        <v>1</v>
      </c>
      <c r="AK1054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054" s="1" t="str">
        <f>IF(tbl_HRData[[#This Row],[MonthlyIncome]]&lt;5000,"Low",
IF(tbl_HRData[[#This Row],[MonthlyIncome]]&lt;10000,"Medium",
IF(tbl_HRData[[#This Row],[MonthlyIncome]]&lt;15000,"Upper Medium","High")))</f>
        <v>Low</v>
      </c>
      <c r="AM1054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055" spans="1:39" x14ac:dyDescent="0.35">
      <c r="A1055" s="1">
        <v>1054</v>
      </c>
      <c r="B1055">
        <v>57</v>
      </c>
      <c r="C1055" s="1" t="s">
        <v>40</v>
      </c>
      <c r="D1055" s="1" t="s">
        <v>34</v>
      </c>
      <c r="E1055">
        <v>405</v>
      </c>
      <c r="F1055" s="1" t="s">
        <v>42</v>
      </c>
      <c r="G1055">
        <v>1</v>
      </c>
      <c r="H1055">
        <v>2</v>
      </c>
      <c r="I1055" s="1" t="s">
        <v>36</v>
      </c>
      <c r="J1055">
        <v>1483</v>
      </c>
      <c r="K1055">
        <v>2</v>
      </c>
      <c r="L1055" s="1" t="s">
        <v>43</v>
      </c>
      <c r="M1055">
        <v>93</v>
      </c>
      <c r="N1055">
        <v>4</v>
      </c>
      <c r="O1055">
        <v>2</v>
      </c>
      <c r="P1055" s="1" t="s">
        <v>44</v>
      </c>
      <c r="Q1055">
        <v>3</v>
      </c>
      <c r="R1055" s="1" t="s">
        <v>45</v>
      </c>
      <c r="S1055">
        <v>4900</v>
      </c>
      <c r="T1055">
        <v>2721</v>
      </c>
      <c r="U1055">
        <v>0</v>
      </c>
      <c r="V1055" s="1" t="s">
        <v>40</v>
      </c>
      <c r="W1055">
        <v>24</v>
      </c>
      <c r="X1055">
        <v>4</v>
      </c>
      <c r="Y1055">
        <v>1</v>
      </c>
      <c r="Z1055">
        <v>80</v>
      </c>
      <c r="AA1055">
        <v>1</v>
      </c>
      <c r="AB1055">
        <v>13</v>
      </c>
      <c r="AC1055">
        <v>2</v>
      </c>
      <c r="AD1055">
        <v>2</v>
      </c>
      <c r="AE1055">
        <v>12</v>
      </c>
      <c r="AF1055">
        <v>9</v>
      </c>
      <c r="AG1055">
        <v>2</v>
      </c>
      <c r="AH1055">
        <v>8</v>
      </c>
      <c r="AI1055">
        <f>IF(tbl_HRData[[#This Row],[Attrition]] = "Yes",1,0)</f>
        <v>0</v>
      </c>
      <c r="AJ1055">
        <f>IF(tbl_HRData[[#This Row],[Attrition]] = "No",1,0)</f>
        <v>1</v>
      </c>
      <c r="AK1055" t="str">
        <f>IF(tbl_HRData[[#This Row],[Age]] &lt; 25, "Under 25", IF(tbl_HRData[[#This Row],[Age]] &lt;= 34, "25-34", IF(tbl_HRData[[#This Row],[Age]] &lt;= 44, "35-44", IF(tbl_HRData[[#This Row],[Age]] &lt;= 54, "45-54", "55+"))))</f>
        <v>55+</v>
      </c>
      <c r="AL1055" s="1" t="str">
        <f>IF(tbl_HRData[[#This Row],[MonthlyIncome]]&lt;5000,"Low",
IF(tbl_HRData[[#This Row],[MonthlyIncome]]&lt;10000,"Medium",
IF(tbl_HRData[[#This Row],[MonthlyIncome]]&lt;15000,"Upper Medium","High")))</f>
        <v>Low</v>
      </c>
      <c r="AM1055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1056" spans="1:39" x14ac:dyDescent="0.35">
      <c r="A1056" s="1">
        <v>1055</v>
      </c>
      <c r="B1056">
        <v>49</v>
      </c>
      <c r="C1056" s="1" t="s">
        <v>40</v>
      </c>
      <c r="D1056" s="1" t="s">
        <v>34</v>
      </c>
      <c r="E1056">
        <v>1490</v>
      </c>
      <c r="F1056" s="1" t="s">
        <v>42</v>
      </c>
      <c r="G1056">
        <v>7</v>
      </c>
      <c r="H1056">
        <v>4</v>
      </c>
      <c r="I1056" s="1" t="s">
        <v>36</v>
      </c>
      <c r="J1056">
        <v>1484</v>
      </c>
      <c r="K1056">
        <v>3</v>
      </c>
      <c r="L1056" s="1" t="s">
        <v>43</v>
      </c>
      <c r="M1056">
        <v>35</v>
      </c>
      <c r="N1056">
        <v>3</v>
      </c>
      <c r="O1056">
        <v>3</v>
      </c>
      <c r="P1056" s="1" t="s">
        <v>51</v>
      </c>
      <c r="Q1056">
        <v>2</v>
      </c>
      <c r="R1056" s="1" t="s">
        <v>49</v>
      </c>
      <c r="S1056">
        <v>10466</v>
      </c>
      <c r="T1056">
        <v>20948</v>
      </c>
      <c r="U1056">
        <v>3</v>
      </c>
      <c r="V1056" s="1" t="s">
        <v>40</v>
      </c>
      <c r="W1056">
        <v>14</v>
      </c>
      <c r="X1056">
        <v>3</v>
      </c>
      <c r="Y1056">
        <v>2</v>
      </c>
      <c r="Z1056">
        <v>80</v>
      </c>
      <c r="AA1056">
        <v>2</v>
      </c>
      <c r="AB1056">
        <v>29</v>
      </c>
      <c r="AC1056">
        <v>3</v>
      </c>
      <c r="AD1056">
        <v>3</v>
      </c>
      <c r="AE1056">
        <v>8</v>
      </c>
      <c r="AF1056">
        <v>7</v>
      </c>
      <c r="AG1056">
        <v>0</v>
      </c>
      <c r="AH1056">
        <v>7</v>
      </c>
      <c r="AI1056">
        <f>IF(tbl_HRData[[#This Row],[Attrition]] = "Yes",1,0)</f>
        <v>0</v>
      </c>
      <c r="AJ1056">
        <f>IF(tbl_HRData[[#This Row],[Attrition]] = "No",1,0)</f>
        <v>1</v>
      </c>
      <c r="AK1056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1056" s="1" t="str">
        <f>IF(tbl_HRData[[#This Row],[MonthlyIncome]]&lt;5000,"Low",
IF(tbl_HRData[[#This Row],[MonthlyIncome]]&lt;10000,"Medium",
IF(tbl_HRData[[#This Row],[MonthlyIncome]]&lt;15000,"Upper Medium","High")))</f>
        <v>Upper Medium</v>
      </c>
      <c r="AM1056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057" spans="1:39" x14ac:dyDescent="0.35">
      <c r="A1057" s="1">
        <v>1056</v>
      </c>
      <c r="B1057">
        <v>34</v>
      </c>
      <c r="C1057" s="1" t="s">
        <v>40</v>
      </c>
      <c r="D1057" s="1" t="s">
        <v>41</v>
      </c>
      <c r="E1057">
        <v>829</v>
      </c>
      <c r="F1057" s="1" t="s">
        <v>42</v>
      </c>
      <c r="G1057">
        <v>15</v>
      </c>
      <c r="H1057">
        <v>3</v>
      </c>
      <c r="I1057" s="1" t="s">
        <v>48</v>
      </c>
      <c r="J1057">
        <v>1485</v>
      </c>
      <c r="K1057">
        <v>2</v>
      </c>
      <c r="L1057" s="1" t="s">
        <v>43</v>
      </c>
      <c r="M1057">
        <v>71</v>
      </c>
      <c r="N1057">
        <v>3</v>
      </c>
      <c r="O1057">
        <v>4</v>
      </c>
      <c r="P1057" s="1" t="s">
        <v>55</v>
      </c>
      <c r="Q1057">
        <v>1</v>
      </c>
      <c r="R1057" s="1" t="s">
        <v>49</v>
      </c>
      <c r="S1057">
        <v>17007</v>
      </c>
      <c r="T1057">
        <v>11929</v>
      </c>
      <c r="U1057">
        <v>7</v>
      </c>
      <c r="V1057" s="1" t="s">
        <v>40</v>
      </c>
      <c r="W1057">
        <v>14</v>
      </c>
      <c r="X1057">
        <v>3</v>
      </c>
      <c r="Y1057">
        <v>4</v>
      </c>
      <c r="Z1057">
        <v>80</v>
      </c>
      <c r="AA1057">
        <v>2</v>
      </c>
      <c r="AB1057">
        <v>16</v>
      </c>
      <c r="AC1057">
        <v>3</v>
      </c>
      <c r="AD1057">
        <v>2</v>
      </c>
      <c r="AE1057">
        <v>14</v>
      </c>
      <c r="AF1057">
        <v>8</v>
      </c>
      <c r="AG1057">
        <v>6</v>
      </c>
      <c r="AH1057">
        <v>9</v>
      </c>
      <c r="AI1057">
        <f>IF(tbl_HRData[[#This Row],[Attrition]] = "Yes",1,0)</f>
        <v>0</v>
      </c>
      <c r="AJ1057">
        <f>IF(tbl_HRData[[#This Row],[Attrition]] = "No",1,0)</f>
        <v>1</v>
      </c>
      <c r="AK1057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057" s="1" t="str">
        <f>IF(tbl_HRData[[#This Row],[MonthlyIncome]]&lt;5000,"Low",
IF(tbl_HRData[[#This Row],[MonthlyIncome]]&lt;10000,"Medium",
IF(tbl_HRData[[#This Row],[MonthlyIncome]]&lt;15000,"Upper Medium","High")))</f>
        <v>High</v>
      </c>
      <c r="AM1057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1058" spans="1:39" x14ac:dyDescent="0.35">
      <c r="A1058" s="1">
        <v>1057</v>
      </c>
      <c r="B1058">
        <v>28</v>
      </c>
      <c r="C1058" s="1" t="s">
        <v>33</v>
      </c>
      <c r="D1058" s="1" t="s">
        <v>41</v>
      </c>
      <c r="E1058">
        <v>1496</v>
      </c>
      <c r="F1058" s="1" t="s">
        <v>35</v>
      </c>
      <c r="G1058">
        <v>1</v>
      </c>
      <c r="H1058">
        <v>3</v>
      </c>
      <c r="I1058" s="1" t="s">
        <v>57</v>
      </c>
      <c r="J1058">
        <v>1486</v>
      </c>
      <c r="K1058">
        <v>1</v>
      </c>
      <c r="L1058" s="1" t="s">
        <v>43</v>
      </c>
      <c r="M1058">
        <v>92</v>
      </c>
      <c r="N1058">
        <v>3</v>
      </c>
      <c r="O1058">
        <v>1</v>
      </c>
      <c r="P1058" s="1" t="s">
        <v>54</v>
      </c>
      <c r="Q1058">
        <v>3</v>
      </c>
      <c r="R1058" s="1" t="s">
        <v>45</v>
      </c>
      <c r="S1058">
        <v>2909</v>
      </c>
      <c r="T1058">
        <v>15747</v>
      </c>
      <c r="U1058">
        <v>3</v>
      </c>
      <c r="V1058" s="1" t="s">
        <v>40</v>
      </c>
      <c r="W1058">
        <v>15</v>
      </c>
      <c r="X1058">
        <v>3</v>
      </c>
      <c r="Y1058">
        <v>4</v>
      </c>
      <c r="Z1058">
        <v>80</v>
      </c>
      <c r="AA1058">
        <v>1</v>
      </c>
      <c r="AB1058">
        <v>5</v>
      </c>
      <c r="AC1058">
        <v>3</v>
      </c>
      <c r="AD1058">
        <v>4</v>
      </c>
      <c r="AE1058">
        <v>3</v>
      </c>
      <c r="AF1058">
        <v>2</v>
      </c>
      <c r="AG1058">
        <v>1</v>
      </c>
      <c r="AH1058">
        <v>2</v>
      </c>
      <c r="AI1058">
        <f>IF(tbl_HRData[[#This Row],[Attrition]] = "Yes",1,0)</f>
        <v>1</v>
      </c>
      <c r="AJ1058">
        <f>IF(tbl_HRData[[#This Row],[Attrition]] = "No",1,0)</f>
        <v>0</v>
      </c>
      <c r="AK1058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058" s="1" t="str">
        <f>IF(tbl_HRData[[#This Row],[MonthlyIncome]]&lt;5000,"Low",
IF(tbl_HRData[[#This Row],[MonthlyIncome]]&lt;10000,"Medium",
IF(tbl_HRData[[#This Row],[MonthlyIncome]]&lt;15000,"Upper Medium","High")))</f>
        <v>Low</v>
      </c>
      <c r="AM1058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059" spans="1:39" x14ac:dyDescent="0.35">
      <c r="A1059" s="1">
        <v>1058</v>
      </c>
      <c r="B1059">
        <v>29</v>
      </c>
      <c r="C1059" s="1" t="s">
        <v>33</v>
      </c>
      <c r="D1059" s="1" t="s">
        <v>41</v>
      </c>
      <c r="E1059">
        <v>115</v>
      </c>
      <c r="F1059" s="1" t="s">
        <v>35</v>
      </c>
      <c r="G1059">
        <v>13</v>
      </c>
      <c r="H1059">
        <v>3</v>
      </c>
      <c r="I1059" s="1" t="s">
        <v>57</v>
      </c>
      <c r="J1059">
        <v>1487</v>
      </c>
      <c r="K1059">
        <v>1</v>
      </c>
      <c r="L1059" s="1" t="s">
        <v>37</v>
      </c>
      <c r="M1059">
        <v>51</v>
      </c>
      <c r="N1059">
        <v>3</v>
      </c>
      <c r="O1059">
        <v>2</v>
      </c>
      <c r="P1059" s="1" t="s">
        <v>38</v>
      </c>
      <c r="Q1059">
        <v>2</v>
      </c>
      <c r="R1059" s="1" t="s">
        <v>39</v>
      </c>
      <c r="S1059">
        <v>5765</v>
      </c>
      <c r="T1059">
        <v>17485</v>
      </c>
      <c r="U1059">
        <v>5</v>
      </c>
      <c r="V1059" s="1" t="s">
        <v>40</v>
      </c>
      <c r="W1059">
        <v>11</v>
      </c>
      <c r="X1059">
        <v>3</v>
      </c>
      <c r="Y1059">
        <v>1</v>
      </c>
      <c r="Z1059">
        <v>80</v>
      </c>
      <c r="AA1059">
        <v>0</v>
      </c>
      <c r="AB1059">
        <v>7</v>
      </c>
      <c r="AC1059">
        <v>4</v>
      </c>
      <c r="AD1059">
        <v>1</v>
      </c>
      <c r="AE1059">
        <v>5</v>
      </c>
      <c r="AF1059">
        <v>3</v>
      </c>
      <c r="AG1059">
        <v>0</v>
      </c>
      <c r="AH1059">
        <v>0</v>
      </c>
      <c r="AI1059">
        <f>IF(tbl_HRData[[#This Row],[Attrition]] = "Yes",1,0)</f>
        <v>1</v>
      </c>
      <c r="AJ1059">
        <f>IF(tbl_HRData[[#This Row],[Attrition]] = "No",1,0)</f>
        <v>0</v>
      </c>
      <c r="AK1059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059" s="1" t="str">
        <f>IF(tbl_HRData[[#This Row],[MonthlyIncome]]&lt;5000,"Low",
IF(tbl_HRData[[#This Row],[MonthlyIncome]]&lt;10000,"Medium",
IF(tbl_HRData[[#This Row],[MonthlyIncome]]&lt;15000,"Upper Medium","High")))</f>
        <v>Medium</v>
      </c>
      <c r="AM1059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060" spans="1:39" x14ac:dyDescent="0.35">
      <c r="A1060" s="1">
        <v>1059</v>
      </c>
      <c r="B1060">
        <v>34</v>
      </c>
      <c r="C1060" s="1" t="s">
        <v>33</v>
      </c>
      <c r="D1060" s="1" t="s">
        <v>34</v>
      </c>
      <c r="E1060">
        <v>790</v>
      </c>
      <c r="F1060" s="1" t="s">
        <v>35</v>
      </c>
      <c r="G1060">
        <v>24</v>
      </c>
      <c r="H1060">
        <v>4</v>
      </c>
      <c r="I1060" s="1" t="s">
        <v>48</v>
      </c>
      <c r="J1060">
        <v>1489</v>
      </c>
      <c r="K1060">
        <v>1</v>
      </c>
      <c r="L1060" s="1" t="s">
        <v>37</v>
      </c>
      <c r="M1060">
        <v>40</v>
      </c>
      <c r="N1060">
        <v>2</v>
      </c>
      <c r="O1060">
        <v>2</v>
      </c>
      <c r="P1060" s="1" t="s">
        <v>38</v>
      </c>
      <c r="Q1060">
        <v>2</v>
      </c>
      <c r="R1060" s="1" t="s">
        <v>39</v>
      </c>
      <c r="S1060">
        <v>4599</v>
      </c>
      <c r="T1060">
        <v>7815</v>
      </c>
      <c r="U1060">
        <v>0</v>
      </c>
      <c r="V1060" s="1" t="s">
        <v>33</v>
      </c>
      <c r="W1060">
        <v>23</v>
      </c>
      <c r="X1060">
        <v>4</v>
      </c>
      <c r="Y1060">
        <v>3</v>
      </c>
      <c r="Z1060">
        <v>80</v>
      </c>
      <c r="AA1060">
        <v>0</v>
      </c>
      <c r="AB1060">
        <v>16</v>
      </c>
      <c r="AC1060">
        <v>2</v>
      </c>
      <c r="AD1060">
        <v>4</v>
      </c>
      <c r="AE1060">
        <v>15</v>
      </c>
      <c r="AF1060">
        <v>9</v>
      </c>
      <c r="AG1060">
        <v>10</v>
      </c>
      <c r="AH1060">
        <v>10</v>
      </c>
      <c r="AI1060">
        <f>IF(tbl_HRData[[#This Row],[Attrition]] = "Yes",1,0)</f>
        <v>1</v>
      </c>
      <c r="AJ1060">
        <f>IF(tbl_HRData[[#This Row],[Attrition]] = "No",1,0)</f>
        <v>0</v>
      </c>
      <c r="AK1060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060" s="1" t="str">
        <f>IF(tbl_HRData[[#This Row],[MonthlyIncome]]&lt;5000,"Low",
IF(tbl_HRData[[#This Row],[MonthlyIncome]]&lt;10000,"Medium",
IF(tbl_HRData[[#This Row],[MonthlyIncome]]&lt;15000,"Upper Medium","High")))</f>
        <v>Low</v>
      </c>
      <c r="AM1060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1061" spans="1:39" x14ac:dyDescent="0.35">
      <c r="A1061" s="1">
        <v>1060</v>
      </c>
      <c r="B1061">
        <v>35</v>
      </c>
      <c r="C1061" s="1" t="s">
        <v>40</v>
      </c>
      <c r="D1061" s="1" t="s">
        <v>34</v>
      </c>
      <c r="E1061">
        <v>660</v>
      </c>
      <c r="F1061" s="1" t="s">
        <v>35</v>
      </c>
      <c r="G1061">
        <v>7</v>
      </c>
      <c r="H1061">
        <v>1</v>
      </c>
      <c r="I1061" s="1" t="s">
        <v>36</v>
      </c>
      <c r="J1061">
        <v>1492</v>
      </c>
      <c r="K1061">
        <v>4</v>
      </c>
      <c r="L1061" s="1" t="s">
        <v>43</v>
      </c>
      <c r="M1061">
        <v>76</v>
      </c>
      <c r="N1061">
        <v>3</v>
      </c>
      <c r="O1061">
        <v>1</v>
      </c>
      <c r="P1061" s="1" t="s">
        <v>54</v>
      </c>
      <c r="Q1061">
        <v>3</v>
      </c>
      <c r="R1061" s="1" t="s">
        <v>45</v>
      </c>
      <c r="S1061">
        <v>2404</v>
      </c>
      <c r="T1061">
        <v>16192</v>
      </c>
      <c r="U1061">
        <v>1</v>
      </c>
      <c r="V1061" s="1" t="s">
        <v>40</v>
      </c>
      <c r="W1061">
        <v>13</v>
      </c>
      <c r="X1061">
        <v>3</v>
      </c>
      <c r="Y1061">
        <v>1</v>
      </c>
      <c r="Z1061">
        <v>80</v>
      </c>
      <c r="AA1061">
        <v>1</v>
      </c>
      <c r="AB1061">
        <v>1</v>
      </c>
      <c r="AC1061">
        <v>3</v>
      </c>
      <c r="AD1061">
        <v>3</v>
      </c>
      <c r="AE1061">
        <v>1</v>
      </c>
      <c r="AF1061">
        <v>0</v>
      </c>
      <c r="AG1061">
        <v>0</v>
      </c>
      <c r="AH1061">
        <v>0</v>
      </c>
      <c r="AI1061">
        <f>IF(tbl_HRData[[#This Row],[Attrition]] = "Yes",1,0)</f>
        <v>0</v>
      </c>
      <c r="AJ1061">
        <f>IF(tbl_HRData[[#This Row],[Attrition]] = "No",1,0)</f>
        <v>1</v>
      </c>
      <c r="AK1061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061" s="1" t="str">
        <f>IF(tbl_HRData[[#This Row],[MonthlyIncome]]&lt;5000,"Low",
IF(tbl_HRData[[#This Row],[MonthlyIncome]]&lt;10000,"Medium",
IF(tbl_HRData[[#This Row],[MonthlyIncome]]&lt;15000,"Upper Medium","High")))</f>
        <v>Low</v>
      </c>
      <c r="AM1061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062" spans="1:39" x14ac:dyDescent="0.35">
      <c r="A1062" s="1">
        <v>1061</v>
      </c>
      <c r="B1062">
        <v>24</v>
      </c>
      <c r="C1062" s="1" t="s">
        <v>33</v>
      </c>
      <c r="D1062" s="1" t="s">
        <v>41</v>
      </c>
      <c r="E1062">
        <v>381</v>
      </c>
      <c r="F1062" s="1" t="s">
        <v>42</v>
      </c>
      <c r="G1062">
        <v>9</v>
      </c>
      <c r="H1062">
        <v>3</v>
      </c>
      <c r="I1062" s="1" t="s">
        <v>48</v>
      </c>
      <c r="J1062">
        <v>1494</v>
      </c>
      <c r="K1062">
        <v>2</v>
      </c>
      <c r="L1062" s="1" t="s">
        <v>43</v>
      </c>
      <c r="M1062">
        <v>89</v>
      </c>
      <c r="N1062">
        <v>3</v>
      </c>
      <c r="O1062">
        <v>1</v>
      </c>
      <c r="P1062" s="1" t="s">
        <v>47</v>
      </c>
      <c r="Q1062">
        <v>1</v>
      </c>
      <c r="R1062" s="1" t="s">
        <v>39</v>
      </c>
      <c r="S1062">
        <v>3172</v>
      </c>
      <c r="T1062">
        <v>16998</v>
      </c>
      <c r="U1062">
        <v>2</v>
      </c>
      <c r="V1062" s="1" t="s">
        <v>33</v>
      </c>
      <c r="W1062">
        <v>11</v>
      </c>
      <c r="X1062">
        <v>3</v>
      </c>
      <c r="Y1062">
        <v>3</v>
      </c>
      <c r="Z1062">
        <v>80</v>
      </c>
      <c r="AA1062">
        <v>0</v>
      </c>
      <c r="AB1062">
        <v>4</v>
      </c>
      <c r="AC1062">
        <v>2</v>
      </c>
      <c r="AD1062">
        <v>2</v>
      </c>
      <c r="AE1062">
        <v>0</v>
      </c>
      <c r="AF1062">
        <v>0</v>
      </c>
      <c r="AG1062">
        <v>0</v>
      </c>
      <c r="AH1062">
        <v>0</v>
      </c>
      <c r="AI1062">
        <f>IF(tbl_HRData[[#This Row],[Attrition]] = "Yes",1,0)</f>
        <v>1</v>
      </c>
      <c r="AJ1062">
        <f>IF(tbl_HRData[[#This Row],[Attrition]] = "No",1,0)</f>
        <v>0</v>
      </c>
      <c r="AK1062" t="str">
        <f>IF(tbl_HRData[[#This Row],[Age]] &lt; 25, "Under 25", IF(tbl_HRData[[#This Row],[Age]] &lt;= 34, "25-34", IF(tbl_HRData[[#This Row],[Age]] &lt;= 44, "35-44", IF(tbl_HRData[[#This Row],[Age]] &lt;= 54, "45-54", "55+"))))</f>
        <v>Under 25</v>
      </c>
      <c r="AL1062" s="1" t="str">
        <f>IF(tbl_HRData[[#This Row],[MonthlyIncome]]&lt;5000,"Low",
IF(tbl_HRData[[#This Row],[MonthlyIncome]]&lt;10000,"Medium",
IF(tbl_HRData[[#This Row],[MonthlyIncome]]&lt;15000,"Upper Medium","High")))</f>
        <v>Low</v>
      </c>
      <c r="AM1062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063" spans="1:39" x14ac:dyDescent="0.35">
      <c r="A1063" s="1">
        <v>1062</v>
      </c>
      <c r="B1063">
        <v>24</v>
      </c>
      <c r="C1063" s="1" t="s">
        <v>40</v>
      </c>
      <c r="D1063" s="1" t="s">
        <v>52</v>
      </c>
      <c r="E1063">
        <v>830</v>
      </c>
      <c r="F1063" s="1" t="s">
        <v>35</v>
      </c>
      <c r="G1063">
        <v>13</v>
      </c>
      <c r="H1063">
        <v>2</v>
      </c>
      <c r="I1063" s="1" t="s">
        <v>36</v>
      </c>
      <c r="J1063">
        <v>1495</v>
      </c>
      <c r="K1063">
        <v>4</v>
      </c>
      <c r="L1063" s="1" t="s">
        <v>37</v>
      </c>
      <c r="M1063">
        <v>78</v>
      </c>
      <c r="N1063">
        <v>3</v>
      </c>
      <c r="O1063">
        <v>1</v>
      </c>
      <c r="P1063" s="1" t="s">
        <v>54</v>
      </c>
      <c r="Q1063">
        <v>2</v>
      </c>
      <c r="R1063" s="1" t="s">
        <v>45</v>
      </c>
      <c r="S1063">
        <v>2033</v>
      </c>
      <c r="T1063">
        <v>7103</v>
      </c>
      <c r="U1063">
        <v>1</v>
      </c>
      <c r="V1063" s="1" t="s">
        <v>40</v>
      </c>
      <c r="W1063">
        <v>13</v>
      </c>
      <c r="X1063">
        <v>3</v>
      </c>
      <c r="Y1063">
        <v>3</v>
      </c>
      <c r="Z1063">
        <v>80</v>
      </c>
      <c r="AA1063">
        <v>1</v>
      </c>
      <c r="AB1063">
        <v>1</v>
      </c>
      <c r="AC1063">
        <v>2</v>
      </c>
      <c r="AD1063">
        <v>3</v>
      </c>
      <c r="AE1063">
        <v>1</v>
      </c>
      <c r="AF1063">
        <v>0</v>
      </c>
      <c r="AG1063">
        <v>0</v>
      </c>
      <c r="AH1063">
        <v>0</v>
      </c>
      <c r="AI1063">
        <f>IF(tbl_HRData[[#This Row],[Attrition]] = "Yes",1,0)</f>
        <v>0</v>
      </c>
      <c r="AJ1063">
        <f>IF(tbl_HRData[[#This Row],[Attrition]] = "No",1,0)</f>
        <v>1</v>
      </c>
      <c r="AK1063" t="str">
        <f>IF(tbl_HRData[[#This Row],[Age]] &lt; 25, "Under 25", IF(tbl_HRData[[#This Row],[Age]] &lt;= 34, "25-34", IF(tbl_HRData[[#This Row],[Age]] &lt;= 44, "35-44", IF(tbl_HRData[[#This Row],[Age]] &lt;= 54, "45-54", "55+"))))</f>
        <v>Under 25</v>
      </c>
      <c r="AL1063" s="1" t="str">
        <f>IF(tbl_HRData[[#This Row],[MonthlyIncome]]&lt;5000,"Low",
IF(tbl_HRData[[#This Row],[MonthlyIncome]]&lt;10000,"Medium",
IF(tbl_HRData[[#This Row],[MonthlyIncome]]&lt;15000,"Upper Medium","High")))</f>
        <v>Low</v>
      </c>
      <c r="AM1063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064" spans="1:39" x14ac:dyDescent="0.35">
      <c r="A1064" s="1">
        <v>1063</v>
      </c>
      <c r="B1064">
        <v>44</v>
      </c>
      <c r="C1064" s="1" t="s">
        <v>40</v>
      </c>
      <c r="D1064" s="1" t="s">
        <v>41</v>
      </c>
      <c r="E1064">
        <v>1193</v>
      </c>
      <c r="F1064" s="1" t="s">
        <v>42</v>
      </c>
      <c r="G1064">
        <v>2</v>
      </c>
      <c r="H1064">
        <v>1</v>
      </c>
      <c r="I1064" s="1" t="s">
        <v>48</v>
      </c>
      <c r="J1064">
        <v>1496</v>
      </c>
      <c r="K1064">
        <v>2</v>
      </c>
      <c r="L1064" s="1" t="s">
        <v>43</v>
      </c>
      <c r="M1064">
        <v>86</v>
      </c>
      <c r="N1064">
        <v>3</v>
      </c>
      <c r="O1064">
        <v>3</v>
      </c>
      <c r="P1064" s="1" t="s">
        <v>50</v>
      </c>
      <c r="Q1064">
        <v>3</v>
      </c>
      <c r="R1064" s="1" t="s">
        <v>39</v>
      </c>
      <c r="S1064">
        <v>10209</v>
      </c>
      <c r="T1064">
        <v>19719</v>
      </c>
      <c r="U1064">
        <v>5</v>
      </c>
      <c r="V1064" s="1" t="s">
        <v>33</v>
      </c>
      <c r="W1064">
        <v>18</v>
      </c>
      <c r="X1064">
        <v>3</v>
      </c>
      <c r="Y1064">
        <v>2</v>
      </c>
      <c r="Z1064">
        <v>80</v>
      </c>
      <c r="AA1064">
        <v>0</v>
      </c>
      <c r="AB1064">
        <v>16</v>
      </c>
      <c r="AC1064">
        <v>2</v>
      </c>
      <c r="AD1064">
        <v>2</v>
      </c>
      <c r="AE1064">
        <v>2</v>
      </c>
      <c r="AF1064">
        <v>2</v>
      </c>
      <c r="AG1064">
        <v>2</v>
      </c>
      <c r="AH1064">
        <v>2</v>
      </c>
      <c r="AI1064">
        <f>IF(tbl_HRData[[#This Row],[Attrition]] = "Yes",1,0)</f>
        <v>0</v>
      </c>
      <c r="AJ1064">
        <f>IF(tbl_HRData[[#This Row],[Attrition]] = "No",1,0)</f>
        <v>1</v>
      </c>
      <c r="AK1064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064" s="1" t="str">
        <f>IF(tbl_HRData[[#This Row],[MonthlyIncome]]&lt;5000,"Low",
IF(tbl_HRData[[#This Row],[MonthlyIncome]]&lt;10000,"Medium",
IF(tbl_HRData[[#This Row],[MonthlyIncome]]&lt;15000,"Upper Medium","High")))</f>
        <v>Upper Medium</v>
      </c>
      <c r="AM1064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065" spans="1:39" x14ac:dyDescent="0.35">
      <c r="A1065" s="1">
        <v>1064</v>
      </c>
      <c r="B1065">
        <v>29</v>
      </c>
      <c r="C1065" s="1" t="s">
        <v>40</v>
      </c>
      <c r="D1065" s="1" t="s">
        <v>34</v>
      </c>
      <c r="E1065">
        <v>1246</v>
      </c>
      <c r="F1065" s="1" t="s">
        <v>35</v>
      </c>
      <c r="G1065">
        <v>19</v>
      </c>
      <c r="H1065">
        <v>3</v>
      </c>
      <c r="I1065" s="1" t="s">
        <v>36</v>
      </c>
      <c r="J1065">
        <v>1497</v>
      </c>
      <c r="K1065">
        <v>3</v>
      </c>
      <c r="L1065" s="1" t="s">
        <v>43</v>
      </c>
      <c r="M1065">
        <v>77</v>
      </c>
      <c r="N1065">
        <v>2</v>
      </c>
      <c r="O1065">
        <v>2</v>
      </c>
      <c r="P1065" s="1" t="s">
        <v>38</v>
      </c>
      <c r="Q1065">
        <v>3</v>
      </c>
      <c r="R1065" s="1" t="s">
        <v>49</v>
      </c>
      <c r="S1065">
        <v>8620</v>
      </c>
      <c r="T1065">
        <v>23757</v>
      </c>
      <c r="U1065">
        <v>1</v>
      </c>
      <c r="V1065" s="1" t="s">
        <v>40</v>
      </c>
      <c r="W1065">
        <v>14</v>
      </c>
      <c r="X1065">
        <v>3</v>
      </c>
      <c r="Y1065">
        <v>3</v>
      </c>
      <c r="Z1065">
        <v>80</v>
      </c>
      <c r="AA1065">
        <v>2</v>
      </c>
      <c r="AB1065">
        <v>10</v>
      </c>
      <c r="AC1065">
        <v>3</v>
      </c>
      <c r="AD1065">
        <v>3</v>
      </c>
      <c r="AE1065">
        <v>10</v>
      </c>
      <c r="AF1065">
        <v>7</v>
      </c>
      <c r="AG1065">
        <v>0</v>
      </c>
      <c r="AH1065">
        <v>4</v>
      </c>
      <c r="AI1065">
        <f>IF(tbl_HRData[[#This Row],[Attrition]] = "Yes",1,0)</f>
        <v>0</v>
      </c>
      <c r="AJ1065">
        <f>IF(tbl_HRData[[#This Row],[Attrition]] = "No",1,0)</f>
        <v>1</v>
      </c>
      <c r="AK1065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065" s="1" t="str">
        <f>IF(tbl_HRData[[#This Row],[MonthlyIncome]]&lt;5000,"Low",
IF(tbl_HRData[[#This Row],[MonthlyIncome]]&lt;10000,"Medium",
IF(tbl_HRData[[#This Row],[MonthlyIncome]]&lt;15000,"Upper Medium","High")))</f>
        <v>Medium</v>
      </c>
      <c r="AM1065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066" spans="1:39" x14ac:dyDescent="0.35">
      <c r="A1066" s="1">
        <v>1065</v>
      </c>
      <c r="B1066">
        <v>30</v>
      </c>
      <c r="C1066" s="1" t="s">
        <v>40</v>
      </c>
      <c r="D1066" s="1" t="s">
        <v>34</v>
      </c>
      <c r="E1066">
        <v>330</v>
      </c>
      <c r="F1066" s="1" t="s">
        <v>58</v>
      </c>
      <c r="G1066">
        <v>1</v>
      </c>
      <c r="H1066">
        <v>3</v>
      </c>
      <c r="I1066" s="1" t="s">
        <v>36</v>
      </c>
      <c r="J1066">
        <v>1499</v>
      </c>
      <c r="K1066">
        <v>3</v>
      </c>
      <c r="L1066" s="1" t="s">
        <v>43</v>
      </c>
      <c r="M1066">
        <v>46</v>
      </c>
      <c r="N1066">
        <v>3</v>
      </c>
      <c r="O1066">
        <v>1</v>
      </c>
      <c r="P1066" s="1" t="s">
        <v>58</v>
      </c>
      <c r="Q1066">
        <v>3</v>
      </c>
      <c r="R1066" s="1" t="s">
        <v>49</v>
      </c>
      <c r="S1066">
        <v>2064</v>
      </c>
      <c r="T1066">
        <v>15428</v>
      </c>
      <c r="U1066">
        <v>0</v>
      </c>
      <c r="V1066" s="1" t="s">
        <v>40</v>
      </c>
      <c r="W1066">
        <v>21</v>
      </c>
      <c r="X1066">
        <v>4</v>
      </c>
      <c r="Y1066">
        <v>1</v>
      </c>
      <c r="Z1066">
        <v>80</v>
      </c>
      <c r="AA1066">
        <v>1</v>
      </c>
      <c r="AB1066">
        <v>6</v>
      </c>
      <c r="AC1066">
        <v>3</v>
      </c>
      <c r="AD1066">
        <v>4</v>
      </c>
      <c r="AE1066">
        <v>5</v>
      </c>
      <c r="AF1066">
        <v>3</v>
      </c>
      <c r="AG1066">
        <v>1</v>
      </c>
      <c r="AH1066">
        <v>3</v>
      </c>
      <c r="AI1066">
        <f>IF(tbl_HRData[[#This Row],[Attrition]] = "Yes",1,0)</f>
        <v>0</v>
      </c>
      <c r="AJ1066">
        <f>IF(tbl_HRData[[#This Row],[Attrition]] = "No",1,0)</f>
        <v>1</v>
      </c>
      <c r="AK1066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066" s="1" t="str">
        <f>IF(tbl_HRData[[#This Row],[MonthlyIncome]]&lt;5000,"Low",
IF(tbl_HRData[[#This Row],[MonthlyIncome]]&lt;10000,"Medium",
IF(tbl_HRData[[#This Row],[MonthlyIncome]]&lt;15000,"Upper Medium","High")))</f>
        <v>Low</v>
      </c>
      <c r="AM1066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067" spans="1:39" x14ac:dyDescent="0.35">
      <c r="A1067" s="1">
        <v>1066</v>
      </c>
      <c r="B1067">
        <v>55</v>
      </c>
      <c r="C1067" s="1" t="s">
        <v>40</v>
      </c>
      <c r="D1067" s="1" t="s">
        <v>34</v>
      </c>
      <c r="E1067">
        <v>1229</v>
      </c>
      <c r="F1067" s="1" t="s">
        <v>42</v>
      </c>
      <c r="G1067">
        <v>4</v>
      </c>
      <c r="H1067">
        <v>4</v>
      </c>
      <c r="I1067" s="1" t="s">
        <v>36</v>
      </c>
      <c r="J1067">
        <v>1501</v>
      </c>
      <c r="K1067">
        <v>4</v>
      </c>
      <c r="L1067" s="1" t="s">
        <v>43</v>
      </c>
      <c r="M1067">
        <v>30</v>
      </c>
      <c r="N1067">
        <v>3</v>
      </c>
      <c r="O1067">
        <v>2</v>
      </c>
      <c r="P1067" s="1" t="s">
        <v>51</v>
      </c>
      <c r="Q1067">
        <v>3</v>
      </c>
      <c r="R1067" s="1" t="s">
        <v>45</v>
      </c>
      <c r="S1067">
        <v>4035</v>
      </c>
      <c r="T1067">
        <v>16143</v>
      </c>
      <c r="U1067">
        <v>0</v>
      </c>
      <c r="V1067" s="1" t="s">
        <v>33</v>
      </c>
      <c r="W1067">
        <v>16</v>
      </c>
      <c r="X1067">
        <v>3</v>
      </c>
      <c r="Y1067">
        <v>2</v>
      </c>
      <c r="Z1067">
        <v>80</v>
      </c>
      <c r="AA1067">
        <v>0</v>
      </c>
      <c r="AB1067">
        <v>4</v>
      </c>
      <c r="AC1067">
        <v>2</v>
      </c>
      <c r="AD1067">
        <v>3</v>
      </c>
      <c r="AE1067">
        <v>3</v>
      </c>
      <c r="AF1067">
        <v>2</v>
      </c>
      <c r="AG1067">
        <v>1</v>
      </c>
      <c r="AH1067">
        <v>2</v>
      </c>
      <c r="AI1067">
        <f>IF(tbl_HRData[[#This Row],[Attrition]] = "Yes",1,0)</f>
        <v>0</v>
      </c>
      <c r="AJ1067">
        <f>IF(tbl_HRData[[#This Row],[Attrition]] = "No",1,0)</f>
        <v>1</v>
      </c>
      <c r="AK1067" t="str">
        <f>IF(tbl_HRData[[#This Row],[Age]] &lt; 25, "Under 25", IF(tbl_HRData[[#This Row],[Age]] &lt;= 34, "25-34", IF(tbl_HRData[[#This Row],[Age]] &lt;= 44, "35-44", IF(tbl_HRData[[#This Row],[Age]] &lt;= 54, "45-54", "55+"))))</f>
        <v>55+</v>
      </c>
      <c r="AL1067" s="1" t="str">
        <f>IF(tbl_HRData[[#This Row],[MonthlyIncome]]&lt;5000,"Low",
IF(tbl_HRData[[#This Row],[MonthlyIncome]]&lt;10000,"Medium",
IF(tbl_HRData[[#This Row],[MonthlyIncome]]&lt;15000,"Upper Medium","High")))</f>
        <v>Low</v>
      </c>
      <c r="AM1067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068" spans="1:39" x14ac:dyDescent="0.35">
      <c r="A1068" s="1">
        <v>1067</v>
      </c>
      <c r="B1068">
        <v>33</v>
      </c>
      <c r="C1068" s="1" t="s">
        <v>40</v>
      </c>
      <c r="D1068" s="1" t="s">
        <v>34</v>
      </c>
      <c r="E1068">
        <v>1099</v>
      </c>
      <c r="F1068" s="1" t="s">
        <v>42</v>
      </c>
      <c r="G1068">
        <v>4</v>
      </c>
      <c r="H1068">
        <v>4</v>
      </c>
      <c r="I1068" s="1" t="s">
        <v>48</v>
      </c>
      <c r="J1068">
        <v>1502</v>
      </c>
      <c r="K1068">
        <v>1</v>
      </c>
      <c r="L1068" s="1" t="s">
        <v>37</v>
      </c>
      <c r="M1068">
        <v>82</v>
      </c>
      <c r="N1068">
        <v>2</v>
      </c>
      <c r="O1068">
        <v>1</v>
      </c>
      <c r="P1068" s="1" t="s">
        <v>47</v>
      </c>
      <c r="Q1068">
        <v>2</v>
      </c>
      <c r="R1068" s="1" t="s">
        <v>45</v>
      </c>
      <c r="S1068">
        <v>3838</v>
      </c>
      <c r="T1068">
        <v>8192</v>
      </c>
      <c r="U1068">
        <v>8</v>
      </c>
      <c r="V1068" s="1" t="s">
        <v>40</v>
      </c>
      <c r="W1068">
        <v>11</v>
      </c>
      <c r="X1068">
        <v>3</v>
      </c>
      <c r="Y1068">
        <v>4</v>
      </c>
      <c r="Z1068">
        <v>80</v>
      </c>
      <c r="AA1068">
        <v>0</v>
      </c>
      <c r="AB1068">
        <v>8</v>
      </c>
      <c r="AC1068">
        <v>5</v>
      </c>
      <c r="AD1068">
        <v>3</v>
      </c>
      <c r="AE1068">
        <v>5</v>
      </c>
      <c r="AF1068">
        <v>4</v>
      </c>
      <c r="AG1068">
        <v>0</v>
      </c>
      <c r="AH1068">
        <v>2</v>
      </c>
      <c r="AI1068">
        <f>IF(tbl_HRData[[#This Row],[Attrition]] = "Yes",1,0)</f>
        <v>0</v>
      </c>
      <c r="AJ1068">
        <f>IF(tbl_HRData[[#This Row],[Attrition]] = "No",1,0)</f>
        <v>1</v>
      </c>
      <c r="AK1068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068" s="1" t="str">
        <f>IF(tbl_HRData[[#This Row],[MonthlyIncome]]&lt;5000,"Low",
IF(tbl_HRData[[#This Row],[MonthlyIncome]]&lt;10000,"Medium",
IF(tbl_HRData[[#This Row],[MonthlyIncome]]&lt;15000,"Upper Medium","High")))</f>
        <v>Low</v>
      </c>
      <c r="AM1068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069" spans="1:39" x14ac:dyDescent="0.35">
      <c r="A1069" s="1">
        <v>1068</v>
      </c>
      <c r="B1069">
        <v>47</v>
      </c>
      <c r="C1069" s="1" t="s">
        <v>40</v>
      </c>
      <c r="D1069" s="1" t="s">
        <v>34</v>
      </c>
      <c r="E1069">
        <v>571</v>
      </c>
      <c r="F1069" s="1" t="s">
        <v>35</v>
      </c>
      <c r="G1069">
        <v>14</v>
      </c>
      <c r="H1069">
        <v>3</v>
      </c>
      <c r="I1069" s="1" t="s">
        <v>48</v>
      </c>
      <c r="J1069">
        <v>1503</v>
      </c>
      <c r="K1069">
        <v>3</v>
      </c>
      <c r="L1069" s="1" t="s">
        <v>37</v>
      </c>
      <c r="M1069">
        <v>78</v>
      </c>
      <c r="N1069">
        <v>3</v>
      </c>
      <c r="O1069">
        <v>2</v>
      </c>
      <c r="P1069" s="1" t="s">
        <v>38</v>
      </c>
      <c r="Q1069">
        <v>3</v>
      </c>
      <c r="R1069" s="1" t="s">
        <v>45</v>
      </c>
      <c r="S1069">
        <v>4591</v>
      </c>
      <c r="T1069">
        <v>24200</v>
      </c>
      <c r="U1069">
        <v>3</v>
      </c>
      <c r="V1069" s="1" t="s">
        <v>33</v>
      </c>
      <c r="W1069">
        <v>17</v>
      </c>
      <c r="X1069">
        <v>3</v>
      </c>
      <c r="Y1069">
        <v>3</v>
      </c>
      <c r="Z1069">
        <v>80</v>
      </c>
      <c r="AA1069">
        <v>1</v>
      </c>
      <c r="AB1069">
        <v>11</v>
      </c>
      <c r="AC1069">
        <v>4</v>
      </c>
      <c r="AD1069">
        <v>2</v>
      </c>
      <c r="AE1069">
        <v>5</v>
      </c>
      <c r="AF1069">
        <v>4</v>
      </c>
      <c r="AG1069">
        <v>1</v>
      </c>
      <c r="AH1069">
        <v>2</v>
      </c>
      <c r="AI1069">
        <f>IF(tbl_HRData[[#This Row],[Attrition]] = "Yes",1,0)</f>
        <v>0</v>
      </c>
      <c r="AJ1069">
        <f>IF(tbl_HRData[[#This Row],[Attrition]] = "No",1,0)</f>
        <v>1</v>
      </c>
      <c r="AK1069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1069" s="1" t="str">
        <f>IF(tbl_HRData[[#This Row],[MonthlyIncome]]&lt;5000,"Low",
IF(tbl_HRData[[#This Row],[MonthlyIncome]]&lt;10000,"Medium",
IF(tbl_HRData[[#This Row],[MonthlyIncome]]&lt;15000,"Upper Medium","High")))</f>
        <v>Low</v>
      </c>
      <c r="AM1069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070" spans="1:39" x14ac:dyDescent="0.35">
      <c r="A1070" s="1">
        <v>1069</v>
      </c>
      <c r="B1070">
        <v>28</v>
      </c>
      <c r="C1070" s="1" t="s">
        <v>33</v>
      </c>
      <c r="D1070" s="1" t="s">
        <v>41</v>
      </c>
      <c r="E1070">
        <v>289</v>
      </c>
      <c r="F1070" s="1" t="s">
        <v>42</v>
      </c>
      <c r="G1070">
        <v>2</v>
      </c>
      <c r="H1070">
        <v>2</v>
      </c>
      <c r="I1070" s="1" t="s">
        <v>48</v>
      </c>
      <c r="J1070">
        <v>1504</v>
      </c>
      <c r="K1070">
        <v>3</v>
      </c>
      <c r="L1070" s="1" t="s">
        <v>43</v>
      </c>
      <c r="M1070">
        <v>38</v>
      </c>
      <c r="N1070">
        <v>2</v>
      </c>
      <c r="O1070">
        <v>1</v>
      </c>
      <c r="P1070" s="1" t="s">
        <v>47</v>
      </c>
      <c r="Q1070">
        <v>1</v>
      </c>
      <c r="R1070" s="1" t="s">
        <v>39</v>
      </c>
      <c r="S1070">
        <v>2561</v>
      </c>
      <c r="T1070">
        <v>5355</v>
      </c>
      <c r="U1070">
        <v>7</v>
      </c>
      <c r="V1070" s="1" t="s">
        <v>40</v>
      </c>
      <c r="W1070">
        <v>11</v>
      </c>
      <c r="X1070">
        <v>3</v>
      </c>
      <c r="Y1070">
        <v>3</v>
      </c>
      <c r="Z1070">
        <v>80</v>
      </c>
      <c r="AA1070">
        <v>0</v>
      </c>
      <c r="AB1070">
        <v>8</v>
      </c>
      <c r="AC1070">
        <v>2</v>
      </c>
      <c r="AD1070">
        <v>2</v>
      </c>
      <c r="AE1070">
        <v>0</v>
      </c>
      <c r="AF1070">
        <v>0</v>
      </c>
      <c r="AG1070">
        <v>0</v>
      </c>
      <c r="AH1070">
        <v>0</v>
      </c>
      <c r="AI1070">
        <f>IF(tbl_HRData[[#This Row],[Attrition]] = "Yes",1,0)</f>
        <v>1</v>
      </c>
      <c r="AJ1070">
        <f>IF(tbl_HRData[[#This Row],[Attrition]] = "No",1,0)</f>
        <v>0</v>
      </c>
      <c r="AK1070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070" s="1" t="str">
        <f>IF(tbl_HRData[[#This Row],[MonthlyIncome]]&lt;5000,"Low",
IF(tbl_HRData[[#This Row],[MonthlyIncome]]&lt;10000,"Medium",
IF(tbl_HRData[[#This Row],[MonthlyIncome]]&lt;15000,"Upper Medium","High")))</f>
        <v>Low</v>
      </c>
      <c r="AM1070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071" spans="1:39" x14ac:dyDescent="0.35">
      <c r="A1071" s="1">
        <v>1070</v>
      </c>
      <c r="B1071">
        <v>28</v>
      </c>
      <c r="C1071" s="1" t="s">
        <v>40</v>
      </c>
      <c r="D1071" s="1" t="s">
        <v>34</v>
      </c>
      <c r="E1071">
        <v>1423</v>
      </c>
      <c r="F1071" s="1" t="s">
        <v>42</v>
      </c>
      <c r="G1071">
        <v>1</v>
      </c>
      <c r="H1071">
        <v>3</v>
      </c>
      <c r="I1071" s="1" t="s">
        <v>36</v>
      </c>
      <c r="J1071">
        <v>1506</v>
      </c>
      <c r="K1071">
        <v>1</v>
      </c>
      <c r="L1071" s="1" t="s">
        <v>43</v>
      </c>
      <c r="M1071">
        <v>72</v>
      </c>
      <c r="N1071">
        <v>2</v>
      </c>
      <c r="O1071">
        <v>1</v>
      </c>
      <c r="P1071" s="1" t="s">
        <v>44</v>
      </c>
      <c r="Q1071">
        <v>3</v>
      </c>
      <c r="R1071" s="1" t="s">
        <v>49</v>
      </c>
      <c r="S1071">
        <v>1563</v>
      </c>
      <c r="T1071">
        <v>12530</v>
      </c>
      <c r="U1071">
        <v>1</v>
      </c>
      <c r="V1071" s="1" t="s">
        <v>40</v>
      </c>
      <c r="W1071">
        <v>14</v>
      </c>
      <c r="X1071">
        <v>3</v>
      </c>
      <c r="Y1071">
        <v>4</v>
      </c>
      <c r="Z1071">
        <v>80</v>
      </c>
      <c r="AA1071">
        <v>1</v>
      </c>
      <c r="AB1071">
        <v>1</v>
      </c>
      <c r="AC1071">
        <v>2</v>
      </c>
      <c r="AD1071">
        <v>1</v>
      </c>
      <c r="AE1071">
        <v>1</v>
      </c>
      <c r="AF1071">
        <v>0</v>
      </c>
      <c r="AG1071">
        <v>0</v>
      </c>
      <c r="AH1071">
        <v>0</v>
      </c>
      <c r="AI1071">
        <f>IF(tbl_HRData[[#This Row],[Attrition]] = "Yes",1,0)</f>
        <v>0</v>
      </c>
      <c r="AJ1071">
        <f>IF(tbl_HRData[[#This Row],[Attrition]] = "No",1,0)</f>
        <v>1</v>
      </c>
      <c r="AK1071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071" s="1" t="str">
        <f>IF(tbl_HRData[[#This Row],[MonthlyIncome]]&lt;5000,"Low",
IF(tbl_HRData[[#This Row],[MonthlyIncome]]&lt;10000,"Medium",
IF(tbl_HRData[[#This Row],[MonthlyIncome]]&lt;15000,"Upper Medium","High")))</f>
        <v>Low</v>
      </c>
      <c r="AM1071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072" spans="1:39" x14ac:dyDescent="0.35">
      <c r="A1072" s="1">
        <v>1071</v>
      </c>
      <c r="B1072">
        <v>28</v>
      </c>
      <c r="C1072" s="1" t="s">
        <v>40</v>
      </c>
      <c r="D1072" s="1" t="s">
        <v>41</v>
      </c>
      <c r="E1072">
        <v>467</v>
      </c>
      <c r="F1072" s="1" t="s">
        <v>35</v>
      </c>
      <c r="G1072">
        <v>7</v>
      </c>
      <c r="H1072">
        <v>3</v>
      </c>
      <c r="I1072" s="1" t="s">
        <v>36</v>
      </c>
      <c r="J1072">
        <v>1507</v>
      </c>
      <c r="K1072">
        <v>3</v>
      </c>
      <c r="L1072" s="1" t="s">
        <v>43</v>
      </c>
      <c r="M1072">
        <v>55</v>
      </c>
      <c r="N1072">
        <v>3</v>
      </c>
      <c r="O1072">
        <v>2</v>
      </c>
      <c r="P1072" s="1" t="s">
        <v>38</v>
      </c>
      <c r="Q1072">
        <v>1</v>
      </c>
      <c r="R1072" s="1" t="s">
        <v>39</v>
      </c>
      <c r="S1072">
        <v>4898</v>
      </c>
      <c r="T1072">
        <v>11827</v>
      </c>
      <c r="U1072">
        <v>0</v>
      </c>
      <c r="V1072" s="1" t="s">
        <v>40</v>
      </c>
      <c r="W1072">
        <v>14</v>
      </c>
      <c r="X1072">
        <v>3</v>
      </c>
      <c r="Y1072">
        <v>4</v>
      </c>
      <c r="Z1072">
        <v>80</v>
      </c>
      <c r="AA1072">
        <v>0</v>
      </c>
      <c r="AB1072">
        <v>5</v>
      </c>
      <c r="AC1072">
        <v>5</v>
      </c>
      <c r="AD1072">
        <v>3</v>
      </c>
      <c r="AE1072">
        <v>4</v>
      </c>
      <c r="AF1072">
        <v>2</v>
      </c>
      <c r="AG1072">
        <v>1</v>
      </c>
      <c r="AH1072">
        <v>3</v>
      </c>
      <c r="AI1072">
        <f>IF(tbl_HRData[[#This Row],[Attrition]] = "Yes",1,0)</f>
        <v>0</v>
      </c>
      <c r="AJ1072">
        <f>IF(tbl_HRData[[#This Row],[Attrition]] = "No",1,0)</f>
        <v>1</v>
      </c>
      <c r="AK1072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072" s="1" t="str">
        <f>IF(tbl_HRData[[#This Row],[MonthlyIncome]]&lt;5000,"Low",
IF(tbl_HRData[[#This Row],[MonthlyIncome]]&lt;10000,"Medium",
IF(tbl_HRData[[#This Row],[MonthlyIncome]]&lt;15000,"Upper Medium","High")))</f>
        <v>Low</v>
      </c>
      <c r="AM1072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073" spans="1:39" x14ac:dyDescent="0.35">
      <c r="A1073" s="1">
        <v>1072</v>
      </c>
      <c r="B1073">
        <v>49</v>
      </c>
      <c r="C1073" s="1" t="s">
        <v>40</v>
      </c>
      <c r="D1073" s="1" t="s">
        <v>34</v>
      </c>
      <c r="E1073">
        <v>271</v>
      </c>
      <c r="F1073" s="1" t="s">
        <v>42</v>
      </c>
      <c r="G1073">
        <v>3</v>
      </c>
      <c r="H1073">
        <v>2</v>
      </c>
      <c r="I1073" s="1" t="s">
        <v>48</v>
      </c>
      <c r="J1073">
        <v>1509</v>
      </c>
      <c r="K1073">
        <v>3</v>
      </c>
      <c r="L1073" s="1" t="s">
        <v>37</v>
      </c>
      <c r="M1073">
        <v>43</v>
      </c>
      <c r="N1073">
        <v>2</v>
      </c>
      <c r="O1073">
        <v>2</v>
      </c>
      <c r="P1073" s="1" t="s">
        <v>47</v>
      </c>
      <c r="Q1073">
        <v>1</v>
      </c>
      <c r="R1073" s="1" t="s">
        <v>45</v>
      </c>
      <c r="S1073">
        <v>4789</v>
      </c>
      <c r="T1073">
        <v>23070</v>
      </c>
      <c r="U1073">
        <v>4</v>
      </c>
      <c r="V1073" s="1" t="s">
        <v>40</v>
      </c>
      <c r="W1073">
        <v>25</v>
      </c>
      <c r="X1073">
        <v>4</v>
      </c>
      <c r="Y1073">
        <v>1</v>
      </c>
      <c r="Z1073">
        <v>80</v>
      </c>
      <c r="AA1073">
        <v>1</v>
      </c>
      <c r="AB1073">
        <v>10</v>
      </c>
      <c r="AC1073">
        <v>3</v>
      </c>
      <c r="AD1073">
        <v>3</v>
      </c>
      <c r="AE1073">
        <v>3</v>
      </c>
      <c r="AF1073">
        <v>2</v>
      </c>
      <c r="AG1073">
        <v>1</v>
      </c>
      <c r="AH1073">
        <v>2</v>
      </c>
      <c r="AI1073">
        <f>IF(tbl_HRData[[#This Row],[Attrition]] = "Yes",1,0)</f>
        <v>0</v>
      </c>
      <c r="AJ1073">
        <f>IF(tbl_HRData[[#This Row],[Attrition]] = "No",1,0)</f>
        <v>1</v>
      </c>
      <c r="AK1073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1073" s="1" t="str">
        <f>IF(tbl_HRData[[#This Row],[MonthlyIncome]]&lt;5000,"Low",
IF(tbl_HRData[[#This Row],[MonthlyIncome]]&lt;10000,"Medium",
IF(tbl_HRData[[#This Row],[MonthlyIncome]]&lt;15000,"Upper Medium","High")))</f>
        <v>Low</v>
      </c>
      <c r="AM1073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074" spans="1:39" x14ac:dyDescent="0.35">
      <c r="A1074" s="1">
        <v>1073</v>
      </c>
      <c r="B1074">
        <v>29</v>
      </c>
      <c r="C1074" s="1" t="s">
        <v>40</v>
      </c>
      <c r="D1074" s="1" t="s">
        <v>41</v>
      </c>
      <c r="E1074">
        <v>410</v>
      </c>
      <c r="F1074" s="1" t="s">
        <v>42</v>
      </c>
      <c r="G1074">
        <v>2</v>
      </c>
      <c r="H1074">
        <v>1</v>
      </c>
      <c r="I1074" s="1" t="s">
        <v>36</v>
      </c>
      <c r="J1074">
        <v>1513</v>
      </c>
      <c r="K1074">
        <v>4</v>
      </c>
      <c r="L1074" s="1" t="s">
        <v>37</v>
      </c>
      <c r="M1074">
        <v>97</v>
      </c>
      <c r="N1074">
        <v>3</v>
      </c>
      <c r="O1074">
        <v>1</v>
      </c>
      <c r="P1074" s="1" t="s">
        <v>47</v>
      </c>
      <c r="Q1074">
        <v>2</v>
      </c>
      <c r="R1074" s="1" t="s">
        <v>45</v>
      </c>
      <c r="S1074">
        <v>3180</v>
      </c>
      <c r="T1074">
        <v>4668</v>
      </c>
      <c r="U1074">
        <v>0</v>
      </c>
      <c r="V1074" s="1" t="s">
        <v>40</v>
      </c>
      <c r="W1074">
        <v>13</v>
      </c>
      <c r="X1074">
        <v>3</v>
      </c>
      <c r="Y1074">
        <v>3</v>
      </c>
      <c r="Z1074">
        <v>80</v>
      </c>
      <c r="AA1074">
        <v>3</v>
      </c>
      <c r="AB1074">
        <v>4</v>
      </c>
      <c r="AC1074">
        <v>3</v>
      </c>
      <c r="AD1074">
        <v>3</v>
      </c>
      <c r="AE1074">
        <v>3</v>
      </c>
      <c r="AF1074">
        <v>2</v>
      </c>
      <c r="AG1074">
        <v>0</v>
      </c>
      <c r="AH1074">
        <v>2</v>
      </c>
      <c r="AI1074">
        <f>IF(tbl_HRData[[#This Row],[Attrition]] = "Yes",1,0)</f>
        <v>0</v>
      </c>
      <c r="AJ1074">
        <f>IF(tbl_HRData[[#This Row],[Attrition]] = "No",1,0)</f>
        <v>1</v>
      </c>
      <c r="AK1074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074" s="1" t="str">
        <f>IF(tbl_HRData[[#This Row],[MonthlyIncome]]&lt;5000,"Low",
IF(tbl_HRData[[#This Row],[MonthlyIncome]]&lt;10000,"Medium",
IF(tbl_HRData[[#This Row],[MonthlyIncome]]&lt;15000,"Upper Medium","High")))</f>
        <v>Low</v>
      </c>
      <c r="AM1074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075" spans="1:39" x14ac:dyDescent="0.35">
      <c r="A1075" s="1">
        <v>1074</v>
      </c>
      <c r="B1075">
        <v>28</v>
      </c>
      <c r="C1075" s="1" t="s">
        <v>40</v>
      </c>
      <c r="D1075" s="1" t="s">
        <v>34</v>
      </c>
      <c r="E1075">
        <v>1083</v>
      </c>
      <c r="F1075" s="1" t="s">
        <v>42</v>
      </c>
      <c r="G1075">
        <v>29</v>
      </c>
      <c r="H1075">
        <v>1</v>
      </c>
      <c r="I1075" s="1" t="s">
        <v>36</v>
      </c>
      <c r="J1075">
        <v>1514</v>
      </c>
      <c r="K1075">
        <v>3</v>
      </c>
      <c r="L1075" s="1" t="s">
        <v>43</v>
      </c>
      <c r="M1075">
        <v>96</v>
      </c>
      <c r="N1075">
        <v>1</v>
      </c>
      <c r="O1075">
        <v>2</v>
      </c>
      <c r="P1075" s="1" t="s">
        <v>50</v>
      </c>
      <c r="Q1075">
        <v>2</v>
      </c>
      <c r="R1075" s="1" t="s">
        <v>45</v>
      </c>
      <c r="S1075">
        <v>6549</v>
      </c>
      <c r="T1075">
        <v>3173</v>
      </c>
      <c r="U1075">
        <v>1</v>
      </c>
      <c r="V1075" s="1" t="s">
        <v>40</v>
      </c>
      <c r="W1075">
        <v>14</v>
      </c>
      <c r="X1075">
        <v>3</v>
      </c>
      <c r="Y1075">
        <v>2</v>
      </c>
      <c r="Z1075">
        <v>80</v>
      </c>
      <c r="AA1075">
        <v>2</v>
      </c>
      <c r="AB1075">
        <v>8</v>
      </c>
      <c r="AC1075">
        <v>2</v>
      </c>
      <c r="AD1075">
        <v>2</v>
      </c>
      <c r="AE1075">
        <v>8</v>
      </c>
      <c r="AF1075">
        <v>6</v>
      </c>
      <c r="AG1075">
        <v>1</v>
      </c>
      <c r="AH1075">
        <v>7</v>
      </c>
      <c r="AI1075">
        <f>IF(tbl_HRData[[#This Row],[Attrition]] = "Yes",1,0)</f>
        <v>0</v>
      </c>
      <c r="AJ1075">
        <f>IF(tbl_HRData[[#This Row],[Attrition]] = "No",1,0)</f>
        <v>1</v>
      </c>
      <c r="AK1075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075" s="1" t="str">
        <f>IF(tbl_HRData[[#This Row],[MonthlyIncome]]&lt;5000,"Low",
IF(tbl_HRData[[#This Row],[MonthlyIncome]]&lt;10000,"Medium",
IF(tbl_HRData[[#This Row],[MonthlyIncome]]&lt;15000,"Upper Medium","High")))</f>
        <v>Medium</v>
      </c>
      <c r="AM1075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076" spans="1:39" x14ac:dyDescent="0.35">
      <c r="A1076" s="1">
        <v>1075</v>
      </c>
      <c r="B1076">
        <v>33</v>
      </c>
      <c r="C1076" s="1" t="s">
        <v>40</v>
      </c>
      <c r="D1076" s="1" t="s">
        <v>34</v>
      </c>
      <c r="E1076">
        <v>516</v>
      </c>
      <c r="F1076" s="1" t="s">
        <v>42</v>
      </c>
      <c r="G1076">
        <v>8</v>
      </c>
      <c r="H1076">
        <v>5</v>
      </c>
      <c r="I1076" s="1" t="s">
        <v>36</v>
      </c>
      <c r="J1076">
        <v>1515</v>
      </c>
      <c r="K1076">
        <v>4</v>
      </c>
      <c r="L1076" s="1" t="s">
        <v>43</v>
      </c>
      <c r="M1076">
        <v>69</v>
      </c>
      <c r="N1076">
        <v>3</v>
      </c>
      <c r="O1076">
        <v>2</v>
      </c>
      <c r="P1076" s="1" t="s">
        <v>51</v>
      </c>
      <c r="Q1076">
        <v>3</v>
      </c>
      <c r="R1076" s="1" t="s">
        <v>39</v>
      </c>
      <c r="S1076">
        <v>6388</v>
      </c>
      <c r="T1076">
        <v>22049</v>
      </c>
      <c r="U1076">
        <v>2</v>
      </c>
      <c r="V1076" s="1" t="s">
        <v>33</v>
      </c>
      <c r="W1076">
        <v>17</v>
      </c>
      <c r="X1076">
        <v>3</v>
      </c>
      <c r="Y1076">
        <v>1</v>
      </c>
      <c r="Z1076">
        <v>80</v>
      </c>
      <c r="AA1076">
        <v>0</v>
      </c>
      <c r="AB1076">
        <v>14</v>
      </c>
      <c r="AC1076">
        <v>6</v>
      </c>
      <c r="AD1076">
        <v>3</v>
      </c>
      <c r="AE1076">
        <v>0</v>
      </c>
      <c r="AF1076">
        <v>0</v>
      </c>
      <c r="AG1076">
        <v>0</v>
      </c>
      <c r="AH1076">
        <v>0</v>
      </c>
      <c r="AI1076">
        <f>IF(tbl_HRData[[#This Row],[Attrition]] = "Yes",1,0)</f>
        <v>0</v>
      </c>
      <c r="AJ1076">
        <f>IF(tbl_HRData[[#This Row],[Attrition]] = "No",1,0)</f>
        <v>1</v>
      </c>
      <c r="AK1076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076" s="1" t="str">
        <f>IF(tbl_HRData[[#This Row],[MonthlyIncome]]&lt;5000,"Low",
IF(tbl_HRData[[#This Row],[MonthlyIncome]]&lt;10000,"Medium",
IF(tbl_HRData[[#This Row],[MonthlyIncome]]&lt;15000,"Upper Medium","High")))</f>
        <v>Medium</v>
      </c>
      <c r="AM1076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077" spans="1:39" x14ac:dyDescent="0.35">
      <c r="A1077" s="1">
        <v>1076</v>
      </c>
      <c r="B1077">
        <v>32</v>
      </c>
      <c r="C1077" s="1" t="s">
        <v>40</v>
      </c>
      <c r="D1077" s="1" t="s">
        <v>34</v>
      </c>
      <c r="E1077">
        <v>495</v>
      </c>
      <c r="F1077" s="1" t="s">
        <v>42</v>
      </c>
      <c r="G1077">
        <v>10</v>
      </c>
      <c r="H1077">
        <v>3</v>
      </c>
      <c r="I1077" s="1" t="s">
        <v>48</v>
      </c>
      <c r="J1077">
        <v>1516</v>
      </c>
      <c r="K1077">
        <v>3</v>
      </c>
      <c r="L1077" s="1" t="s">
        <v>43</v>
      </c>
      <c r="M1077">
        <v>64</v>
      </c>
      <c r="N1077">
        <v>3</v>
      </c>
      <c r="O1077">
        <v>3</v>
      </c>
      <c r="P1077" s="1" t="s">
        <v>53</v>
      </c>
      <c r="Q1077">
        <v>4</v>
      </c>
      <c r="R1077" s="1" t="s">
        <v>39</v>
      </c>
      <c r="S1077">
        <v>11244</v>
      </c>
      <c r="T1077">
        <v>21072</v>
      </c>
      <c r="U1077">
        <v>2</v>
      </c>
      <c r="V1077" s="1" t="s">
        <v>40</v>
      </c>
      <c r="W1077">
        <v>25</v>
      </c>
      <c r="X1077">
        <v>4</v>
      </c>
      <c r="Y1077">
        <v>2</v>
      </c>
      <c r="Z1077">
        <v>80</v>
      </c>
      <c r="AA1077">
        <v>0</v>
      </c>
      <c r="AB1077">
        <v>10</v>
      </c>
      <c r="AC1077">
        <v>5</v>
      </c>
      <c r="AD1077">
        <v>4</v>
      </c>
      <c r="AE1077">
        <v>5</v>
      </c>
      <c r="AF1077">
        <v>2</v>
      </c>
      <c r="AG1077">
        <v>0</v>
      </c>
      <c r="AH1077">
        <v>0</v>
      </c>
      <c r="AI1077">
        <f>IF(tbl_HRData[[#This Row],[Attrition]] = "Yes",1,0)</f>
        <v>0</v>
      </c>
      <c r="AJ1077">
        <f>IF(tbl_HRData[[#This Row],[Attrition]] = "No",1,0)</f>
        <v>1</v>
      </c>
      <c r="AK1077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077" s="1" t="str">
        <f>IF(tbl_HRData[[#This Row],[MonthlyIncome]]&lt;5000,"Low",
IF(tbl_HRData[[#This Row],[MonthlyIncome]]&lt;10000,"Medium",
IF(tbl_HRData[[#This Row],[MonthlyIncome]]&lt;15000,"Upper Medium","High")))</f>
        <v>Upper Medium</v>
      </c>
      <c r="AM1077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078" spans="1:39" x14ac:dyDescent="0.35">
      <c r="A1078" s="1">
        <v>1077</v>
      </c>
      <c r="B1078">
        <v>54</v>
      </c>
      <c r="C1078" s="1" t="s">
        <v>40</v>
      </c>
      <c r="D1078" s="1" t="s">
        <v>41</v>
      </c>
      <c r="E1078">
        <v>1050</v>
      </c>
      <c r="F1078" s="1" t="s">
        <v>42</v>
      </c>
      <c r="G1078">
        <v>11</v>
      </c>
      <c r="H1078">
        <v>4</v>
      </c>
      <c r="I1078" s="1" t="s">
        <v>48</v>
      </c>
      <c r="J1078">
        <v>1520</v>
      </c>
      <c r="K1078">
        <v>2</v>
      </c>
      <c r="L1078" s="1" t="s">
        <v>37</v>
      </c>
      <c r="M1078">
        <v>87</v>
      </c>
      <c r="N1078">
        <v>3</v>
      </c>
      <c r="O1078">
        <v>4</v>
      </c>
      <c r="P1078" s="1" t="s">
        <v>53</v>
      </c>
      <c r="Q1078">
        <v>4</v>
      </c>
      <c r="R1078" s="1" t="s">
        <v>49</v>
      </c>
      <c r="S1078">
        <v>16032</v>
      </c>
      <c r="T1078">
        <v>24456</v>
      </c>
      <c r="U1078">
        <v>3</v>
      </c>
      <c r="V1078" s="1" t="s">
        <v>40</v>
      </c>
      <c r="W1078">
        <v>20</v>
      </c>
      <c r="X1078">
        <v>4</v>
      </c>
      <c r="Y1078">
        <v>1</v>
      </c>
      <c r="Z1078">
        <v>80</v>
      </c>
      <c r="AA1078">
        <v>1</v>
      </c>
      <c r="AB1078">
        <v>26</v>
      </c>
      <c r="AC1078">
        <v>2</v>
      </c>
      <c r="AD1078">
        <v>3</v>
      </c>
      <c r="AE1078">
        <v>14</v>
      </c>
      <c r="AF1078">
        <v>9</v>
      </c>
      <c r="AG1078">
        <v>1</v>
      </c>
      <c r="AH1078">
        <v>12</v>
      </c>
      <c r="AI1078">
        <f>IF(tbl_HRData[[#This Row],[Attrition]] = "Yes",1,0)</f>
        <v>0</v>
      </c>
      <c r="AJ1078">
        <f>IF(tbl_HRData[[#This Row],[Attrition]] = "No",1,0)</f>
        <v>1</v>
      </c>
      <c r="AK1078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1078" s="1" t="str">
        <f>IF(tbl_HRData[[#This Row],[MonthlyIncome]]&lt;5000,"Low",
IF(tbl_HRData[[#This Row],[MonthlyIncome]]&lt;10000,"Medium",
IF(tbl_HRData[[#This Row],[MonthlyIncome]]&lt;15000,"Upper Medium","High")))</f>
        <v>High</v>
      </c>
      <c r="AM1078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1079" spans="1:39" x14ac:dyDescent="0.35">
      <c r="A1079" s="1">
        <v>1078</v>
      </c>
      <c r="B1079">
        <v>29</v>
      </c>
      <c r="C1079" s="1" t="s">
        <v>33</v>
      </c>
      <c r="D1079" s="1" t="s">
        <v>34</v>
      </c>
      <c r="E1079">
        <v>224</v>
      </c>
      <c r="F1079" s="1" t="s">
        <v>42</v>
      </c>
      <c r="G1079">
        <v>1</v>
      </c>
      <c r="H1079">
        <v>4</v>
      </c>
      <c r="I1079" s="1" t="s">
        <v>57</v>
      </c>
      <c r="J1079">
        <v>1522</v>
      </c>
      <c r="K1079">
        <v>1</v>
      </c>
      <c r="L1079" s="1" t="s">
        <v>43</v>
      </c>
      <c r="M1079">
        <v>100</v>
      </c>
      <c r="N1079">
        <v>2</v>
      </c>
      <c r="O1079">
        <v>1</v>
      </c>
      <c r="P1079" s="1" t="s">
        <v>44</v>
      </c>
      <c r="Q1079">
        <v>1</v>
      </c>
      <c r="R1079" s="1" t="s">
        <v>39</v>
      </c>
      <c r="S1079">
        <v>2362</v>
      </c>
      <c r="T1079">
        <v>7568</v>
      </c>
      <c r="U1079">
        <v>6</v>
      </c>
      <c r="V1079" s="1" t="s">
        <v>40</v>
      </c>
      <c r="W1079">
        <v>13</v>
      </c>
      <c r="X1079">
        <v>3</v>
      </c>
      <c r="Y1079">
        <v>3</v>
      </c>
      <c r="Z1079">
        <v>80</v>
      </c>
      <c r="AA1079">
        <v>0</v>
      </c>
      <c r="AB1079">
        <v>11</v>
      </c>
      <c r="AC1079">
        <v>2</v>
      </c>
      <c r="AD1079">
        <v>1</v>
      </c>
      <c r="AE1079">
        <v>9</v>
      </c>
      <c r="AF1079">
        <v>7</v>
      </c>
      <c r="AG1079">
        <v>0</v>
      </c>
      <c r="AH1079">
        <v>7</v>
      </c>
      <c r="AI1079">
        <f>IF(tbl_HRData[[#This Row],[Attrition]] = "Yes",1,0)</f>
        <v>1</v>
      </c>
      <c r="AJ1079">
        <f>IF(tbl_HRData[[#This Row],[Attrition]] = "No",1,0)</f>
        <v>0</v>
      </c>
      <c r="AK1079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079" s="1" t="str">
        <f>IF(tbl_HRData[[#This Row],[MonthlyIncome]]&lt;5000,"Low",
IF(tbl_HRData[[#This Row],[MonthlyIncome]]&lt;10000,"Medium",
IF(tbl_HRData[[#This Row],[MonthlyIncome]]&lt;15000,"Upper Medium","High")))</f>
        <v>Low</v>
      </c>
      <c r="AM1079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080" spans="1:39" x14ac:dyDescent="0.35">
      <c r="A1080" s="1">
        <v>1079</v>
      </c>
      <c r="B1080">
        <v>44</v>
      </c>
      <c r="C1080" s="1" t="s">
        <v>40</v>
      </c>
      <c r="D1080" s="1" t="s">
        <v>34</v>
      </c>
      <c r="E1080">
        <v>136</v>
      </c>
      <c r="F1080" s="1" t="s">
        <v>42</v>
      </c>
      <c r="G1080">
        <v>28</v>
      </c>
      <c r="H1080">
        <v>3</v>
      </c>
      <c r="I1080" s="1" t="s">
        <v>36</v>
      </c>
      <c r="J1080">
        <v>1523</v>
      </c>
      <c r="K1080">
        <v>4</v>
      </c>
      <c r="L1080" s="1" t="s">
        <v>43</v>
      </c>
      <c r="M1080">
        <v>32</v>
      </c>
      <c r="N1080">
        <v>3</v>
      </c>
      <c r="O1080">
        <v>4</v>
      </c>
      <c r="P1080" s="1" t="s">
        <v>55</v>
      </c>
      <c r="Q1080">
        <v>1</v>
      </c>
      <c r="R1080" s="1" t="s">
        <v>45</v>
      </c>
      <c r="S1080">
        <v>16328</v>
      </c>
      <c r="T1080">
        <v>22074</v>
      </c>
      <c r="U1080">
        <v>3</v>
      </c>
      <c r="V1080" s="1" t="s">
        <v>40</v>
      </c>
      <c r="W1080">
        <v>13</v>
      </c>
      <c r="X1080">
        <v>3</v>
      </c>
      <c r="Y1080">
        <v>3</v>
      </c>
      <c r="Z1080">
        <v>80</v>
      </c>
      <c r="AA1080">
        <v>1</v>
      </c>
      <c r="AB1080">
        <v>24</v>
      </c>
      <c r="AC1080">
        <v>1</v>
      </c>
      <c r="AD1080">
        <v>4</v>
      </c>
      <c r="AE1080">
        <v>20</v>
      </c>
      <c r="AF1080">
        <v>6</v>
      </c>
      <c r="AG1080">
        <v>14</v>
      </c>
      <c r="AH1080">
        <v>17</v>
      </c>
      <c r="AI1080">
        <f>IF(tbl_HRData[[#This Row],[Attrition]] = "Yes",1,0)</f>
        <v>0</v>
      </c>
      <c r="AJ1080">
        <f>IF(tbl_HRData[[#This Row],[Attrition]] = "No",1,0)</f>
        <v>1</v>
      </c>
      <c r="AK1080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080" s="1" t="str">
        <f>IF(tbl_HRData[[#This Row],[MonthlyIncome]]&lt;5000,"Low",
IF(tbl_HRData[[#This Row],[MonthlyIncome]]&lt;10000,"Medium",
IF(tbl_HRData[[#This Row],[MonthlyIncome]]&lt;15000,"Upper Medium","High")))</f>
        <v>High</v>
      </c>
      <c r="AM1080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1081" spans="1:39" x14ac:dyDescent="0.35">
      <c r="A1081" s="1">
        <v>1080</v>
      </c>
      <c r="B1081">
        <v>39</v>
      </c>
      <c r="C1081" s="1" t="s">
        <v>40</v>
      </c>
      <c r="D1081" s="1" t="s">
        <v>34</v>
      </c>
      <c r="E1081">
        <v>1089</v>
      </c>
      <c r="F1081" s="1" t="s">
        <v>42</v>
      </c>
      <c r="G1081">
        <v>6</v>
      </c>
      <c r="H1081">
        <v>3</v>
      </c>
      <c r="I1081" s="1" t="s">
        <v>36</v>
      </c>
      <c r="J1081">
        <v>1525</v>
      </c>
      <c r="K1081">
        <v>2</v>
      </c>
      <c r="L1081" s="1" t="s">
        <v>37</v>
      </c>
      <c r="M1081">
        <v>32</v>
      </c>
      <c r="N1081">
        <v>3</v>
      </c>
      <c r="O1081">
        <v>3</v>
      </c>
      <c r="P1081" s="1" t="s">
        <v>50</v>
      </c>
      <c r="Q1081">
        <v>2</v>
      </c>
      <c r="R1081" s="1" t="s">
        <v>39</v>
      </c>
      <c r="S1081">
        <v>8376</v>
      </c>
      <c r="T1081">
        <v>9150</v>
      </c>
      <c r="U1081">
        <v>4</v>
      </c>
      <c r="V1081" s="1" t="s">
        <v>40</v>
      </c>
      <c r="W1081">
        <v>18</v>
      </c>
      <c r="X1081">
        <v>3</v>
      </c>
      <c r="Y1081">
        <v>4</v>
      </c>
      <c r="Z1081">
        <v>80</v>
      </c>
      <c r="AA1081">
        <v>0</v>
      </c>
      <c r="AB1081">
        <v>9</v>
      </c>
      <c r="AC1081">
        <v>3</v>
      </c>
      <c r="AD1081">
        <v>3</v>
      </c>
      <c r="AE1081">
        <v>2</v>
      </c>
      <c r="AF1081">
        <v>0</v>
      </c>
      <c r="AG1081">
        <v>2</v>
      </c>
      <c r="AH1081">
        <v>2</v>
      </c>
      <c r="AI1081">
        <f>IF(tbl_HRData[[#This Row],[Attrition]] = "Yes",1,0)</f>
        <v>0</v>
      </c>
      <c r="AJ1081">
        <f>IF(tbl_HRData[[#This Row],[Attrition]] = "No",1,0)</f>
        <v>1</v>
      </c>
      <c r="AK1081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081" s="1" t="str">
        <f>IF(tbl_HRData[[#This Row],[MonthlyIncome]]&lt;5000,"Low",
IF(tbl_HRData[[#This Row],[MonthlyIncome]]&lt;10000,"Medium",
IF(tbl_HRData[[#This Row],[MonthlyIncome]]&lt;15000,"Upper Medium","High")))</f>
        <v>Medium</v>
      </c>
      <c r="AM1081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082" spans="1:39" x14ac:dyDescent="0.35">
      <c r="A1082" s="1">
        <v>1081</v>
      </c>
      <c r="B1082">
        <v>46</v>
      </c>
      <c r="C1082" s="1" t="s">
        <v>40</v>
      </c>
      <c r="D1082" s="1" t="s">
        <v>34</v>
      </c>
      <c r="E1082">
        <v>228</v>
      </c>
      <c r="F1082" s="1" t="s">
        <v>35</v>
      </c>
      <c r="G1082">
        <v>3</v>
      </c>
      <c r="H1082">
        <v>3</v>
      </c>
      <c r="I1082" s="1" t="s">
        <v>36</v>
      </c>
      <c r="J1082">
        <v>1527</v>
      </c>
      <c r="K1082">
        <v>3</v>
      </c>
      <c r="L1082" s="1" t="s">
        <v>37</v>
      </c>
      <c r="M1082">
        <v>51</v>
      </c>
      <c r="N1082">
        <v>3</v>
      </c>
      <c r="O1082">
        <v>4</v>
      </c>
      <c r="P1082" s="1" t="s">
        <v>53</v>
      </c>
      <c r="Q1082">
        <v>2</v>
      </c>
      <c r="R1082" s="1" t="s">
        <v>45</v>
      </c>
      <c r="S1082">
        <v>16606</v>
      </c>
      <c r="T1082">
        <v>11380</v>
      </c>
      <c r="U1082">
        <v>8</v>
      </c>
      <c r="V1082" s="1" t="s">
        <v>40</v>
      </c>
      <c r="W1082">
        <v>12</v>
      </c>
      <c r="X1082">
        <v>3</v>
      </c>
      <c r="Y1082">
        <v>4</v>
      </c>
      <c r="Z1082">
        <v>80</v>
      </c>
      <c r="AA1082">
        <v>1</v>
      </c>
      <c r="AB1082">
        <v>23</v>
      </c>
      <c r="AC1082">
        <v>2</v>
      </c>
      <c r="AD1082">
        <v>4</v>
      </c>
      <c r="AE1082">
        <v>13</v>
      </c>
      <c r="AF1082">
        <v>12</v>
      </c>
      <c r="AG1082">
        <v>5</v>
      </c>
      <c r="AH1082">
        <v>1</v>
      </c>
      <c r="AI1082">
        <f>IF(tbl_HRData[[#This Row],[Attrition]] = "Yes",1,0)</f>
        <v>0</v>
      </c>
      <c r="AJ1082">
        <f>IF(tbl_HRData[[#This Row],[Attrition]] = "No",1,0)</f>
        <v>1</v>
      </c>
      <c r="AK1082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1082" s="1" t="str">
        <f>IF(tbl_HRData[[#This Row],[MonthlyIncome]]&lt;5000,"Low",
IF(tbl_HRData[[#This Row],[MonthlyIncome]]&lt;10000,"Medium",
IF(tbl_HRData[[#This Row],[MonthlyIncome]]&lt;15000,"Upper Medium","High")))</f>
        <v>High</v>
      </c>
      <c r="AM1082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1083" spans="1:39" x14ac:dyDescent="0.35">
      <c r="A1083" s="1">
        <v>1082</v>
      </c>
      <c r="B1083">
        <v>35</v>
      </c>
      <c r="C1083" s="1" t="s">
        <v>40</v>
      </c>
      <c r="D1083" s="1" t="s">
        <v>34</v>
      </c>
      <c r="E1083">
        <v>1029</v>
      </c>
      <c r="F1083" s="1" t="s">
        <v>42</v>
      </c>
      <c r="G1083">
        <v>16</v>
      </c>
      <c r="H1083">
        <v>3</v>
      </c>
      <c r="I1083" s="1" t="s">
        <v>36</v>
      </c>
      <c r="J1083">
        <v>1529</v>
      </c>
      <c r="K1083">
        <v>4</v>
      </c>
      <c r="L1083" s="1" t="s">
        <v>37</v>
      </c>
      <c r="M1083">
        <v>91</v>
      </c>
      <c r="N1083">
        <v>2</v>
      </c>
      <c r="O1083">
        <v>3</v>
      </c>
      <c r="P1083" s="1" t="s">
        <v>51</v>
      </c>
      <c r="Q1083">
        <v>2</v>
      </c>
      <c r="R1083" s="1" t="s">
        <v>39</v>
      </c>
      <c r="S1083">
        <v>8606</v>
      </c>
      <c r="T1083">
        <v>21195</v>
      </c>
      <c r="U1083">
        <v>1</v>
      </c>
      <c r="V1083" s="1" t="s">
        <v>40</v>
      </c>
      <c r="W1083">
        <v>19</v>
      </c>
      <c r="X1083">
        <v>3</v>
      </c>
      <c r="Y1083">
        <v>4</v>
      </c>
      <c r="Z1083">
        <v>80</v>
      </c>
      <c r="AA1083">
        <v>0</v>
      </c>
      <c r="AB1083">
        <v>11</v>
      </c>
      <c r="AC1083">
        <v>3</v>
      </c>
      <c r="AD1083">
        <v>1</v>
      </c>
      <c r="AE1083">
        <v>11</v>
      </c>
      <c r="AF1083">
        <v>8</v>
      </c>
      <c r="AG1083">
        <v>3</v>
      </c>
      <c r="AH1083">
        <v>3</v>
      </c>
      <c r="AI1083">
        <f>IF(tbl_HRData[[#This Row],[Attrition]] = "Yes",1,0)</f>
        <v>0</v>
      </c>
      <c r="AJ1083">
        <f>IF(tbl_HRData[[#This Row],[Attrition]] = "No",1,0)</f>
        <v>1</v>
      </c>
      <c r="AK1083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083" s="1" t="str">
        <f>IF(tbl_HRData[[#This Row],[MonthlyIncome]]&lt;5000,"Low",
IF(tbl_HRData[[#This Row],[MonthlyIncome]]&lt;10000,"Medium",
IF(tbl_HRData[[#This Row],[MonthlyIncome]]&lt;15000,"Upper Medium","High")))</f>
        <v>Medium</v>
      </c>
      <c r="AM1083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1084" spans="1:39" x14ac:dyDescent="0.35">
      <c r="A1084" s="1">
        <v>1083</v>
      </c>
      <c r="B1084">
        <v>23</v>
      </c>
      <c r="C1084" s="1" t="s">
        <v>40</v>
      </c>
      <c r="D1084" s="1" t="s">
        <v>34</v>
      </c>
      <c r="E1084">
        <v>507</v>
      </c>
      <c r="F1084" s="1" t="s">
        <v>42</v>
      </c>
      <c r="G1084">
        <v>20</v>
      </c>
      <c r="H1084">
        <v>1</v>
      </c>
      <c r="I1084" s="1" t="s">
        <v>36</v>
      </c>
      <c r="J1084">
        <v>1533</v>
      </c>
      <c r="K1084">
        <v>1</v>
      </c>
      <c r="L1084" s="1" t="s">
        <v>43</v>
      </c>
      <c r="M1084">
        <v>97</v>
      </c>
      <c r="N1084">
        <v>3</v>
      </c>
      <c r="O1084">
        <v>2</v>
      </c>
      <c r="P1084" s="1" t="s">
        <v>47</v>
      </c>
      <c r="Q1084">
        <v>3</v>
      </c>
      <c r="R1084" s="1" t="s">
        <v>39</v>
      </c>
      <c r="S1084">
        <v>2272</v>
      </c>
      <c r="T1084">
        <v>24812</v>
      </c>
      <c r="U1084">
        <v>0</v>
      </c>
      <c r="V1084" s="1" t="s">
        <v>40</v>
      </c>
      <c r="W1084">
        <v>14</v>
      </c>
      <c r="X1084">
        <v>3</v>
      </c>
      <c r="Y1084">
        <v>2</v>
      </c>
      <c r="Z1084">
        <v>80</v>
      </c>
      <c r="AA1084">
        <v>0</v>
      </c>
      <c r="AB1084">
        <v>5</v>
      </c>
      <c r="AC1084">
        <v>2</v>
      </c>
      <c r="AD1084">
        <v>3</v>
      </c>
      <c r="AE1084">
        <v>4</v>
      </c>
      <c r="AF1084">
        <v>3</v>
      </c>
      <c r="AG1084">
        <v>1</v>
      </c>
      <c r="AH1084">
        <v>2</v>
      </c>
      <c r="AI1084">
        <f>IF(tbl_HRData[[#This Row],[Attrition]] = "Yes",1,0)</f>
        <v>0</v>
      </c>
      <c r="AJ1084">
        <f>IF(tbl_HRData[[#This Row],[Attrition]] = "No",1,0)</f>
        <v>1</v>
      </c>
      <c r="AK1084" t="str">
        <f>IF(tbl_HRData[[#This Row],[Age]] &lt; 25, "Under 25", IF(tbl_HRData[[#This Row],[Age]] &lt;= 34, "25-34", IF(tbl_HRData[[#This Row],[Age]] &lt;= 44, "35-44", IF(tbl_HRData[[#This Row],[Age]] &lt;= 54, "45-54", "55+"))))</f>
        <v>Under 25</v>
      </c>
      <c r="AL1084" s="1" t="str">
        <f>IF(tbl_HRData[[#This Row],[MonthlyIncome]]&lt;5000,"Low",
IF(tbl_HRData[[#This Row],[MonthlyIncome]]&lt;10000,"Medium",
IF(tbl_HRData[[#This Row],[MonthlyIncome]]&lt;15000,"Upper Medium","High")))</f>
        <v>Low</v>
      </c>
      <c r="AM1084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085" spans="1:39" x14ac:dyDescent="0.35">
      <c r="A1085" s="1">
        <v>1084</v>
      </c>
      <c r="B1085">
        <v>40</v>
      </c>
      <c r="C1085" s="1" t="s">
        <v>33</v>
      </c>
      <c r="D1085" s="1" t="s">
        <v>34</v>
      </c>
      <c r="E1085">
        <v>676</v>
      </c>
      <c r="F1085" s="1" t="s">
        <v>42</v>
      </c>
      <c r="G1085">
        <v>9</v>
      </c>
      <c r="H1085">
        <v>4</v>
      </c>
      <c r="I1085" s="1" t="s">
        <v>36</v>
      </c>
      <c r="J1085">
        <v>1534</v>
      </c>
      <c r="K1085">
        <v>4</v>
      </c>
      <c r="L1085" s="1" t="s">
        <v>43</v>
      </c>
      <c r="M1085">
        <v>86</v>
      </c>
      <c r="N1085">
        <v>3</v>
      </c>
      <c r="O1085">
        <v>1</v>
      </c>
      <c r="P1085" s="1" t="s">
        <v>47</v>
      </c>
      <c r="Q1085">
        <v>1</v>
      </c>
      <c r="R1085" s="1" t="s">
        <v>39</v>
      </c>
      <c r="S1085">
        <v>2018</v>
      </c>
      <c r="T1085">
        <v>21831</v>
      </c>
      <c r="U1085">
        <v>3</v>
      </c>
      <c r="V1085" s="1" t="s">
        <v>40</v>
      </c>
      <c r="W1085">
        <v>14</v>
      </c>
      <c r="X1085">
        <v>3</v>
      </c>
      <c r="Y1085">
        <v>2</v>
      </c>
      <c r="Z1085">
        <v>80</v>
      </c>
      <c r="AA1085">
        <v>0</v>
      </c>
      <c r="AB1085">
        <v>15</v>
      </c>
      <c r="AC1085">
        <v>3</v>
      </c>
      <c r="AD1085">
        <v>1</v>
      </c>
      <c r="AE1085">
        <v>5</v>
      </c>
      <c r="AF1085">
        <v>4</v>
      </c>
      <c r="AG1085">
        <v>1</v>
      </c>
      <c r="AH1085">
        <v>0</v>
      </c>
      <c r="AI1085">
        <f>IF(tbl_HRData[[#This Row],[Attrition]] = "Yes",1,0)</f>
        <v>1</v>
      </c>
      <c r="AJ1085">
        <f>IF(tbl_HRData[[#This Row],[Attrition]] = "No",1,0)</f>
        <v>0</v>
      </c>
      <c r="AK1085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085" s="1" t="str">
        <f>IF(tbl_HRData[[#This Row],[MonthlyIncome]]&lt;5000,"Low",
IF(tbl_HRData[[#This Row],[MonthlyIncome]]&lt;10000,"Medium",
IF(tbl_HRData[[#This Row],[MonthlyIncome]]&lt;15000,"Upper Medium","High")))</f>
        <v>Low</v>
      </c>
      <c r="AM1085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086" spans="1:39" x14ac:dyDescent="0.35">
      <c r="A1086" s="1">
        <v>1085</v>
      </c>
      <c r="B1086">
        <v>34</v>
      </c>
      <c r="C1086" s="1" t="s">
        <v>40</v>
      </c>
      <c r="D1086" s="1" t="s">
        <v>34</v>
      </c>
      <c r="E1086">
        <v>971</v>
      </c>
      <c r="F1086" s="1" t="s">
        <v>35</v>
      </c>
      <c r="G1086">
        <v>1</v>
      </c>
      <c r="H1086">
        <v>3</v>
      </c>
      <c r="I1086" s="1" t="s">
        <v>57</v>
      </c>
      <c r="J1086">
        <v>1535</v>
      </c>
      <c r="K1086">
        <v>4</v>
      </c>
      <c r="L1086" s="1" t="s">
        <v>43</v>
      </c>
      <c r="M1086">
        <v>64</v>
      </c>
      <c r="N1086">
        <v>2</v>
      </c>
      <c r="O1086">
        <v>3</v>
      </c>
      <c r="P1086" s="1" t="s">
        <v>38</v>
      </c>
      <c r="Q1086">
        <v>3</v>
      </c>
      <c r="R1086" s="1" t="s">
        <v>45</v>
      </c>
      <c r="S1086">
        <v>7083</v>
      </c>
      <c r="T1086">
        <v>12288</v>
      </c>
      <c r="U1086">
        <v>1</v>
      </c>
      <c r="V1086" s="1" t="s">
        <v>33</v>
      </c>
      <c r="W1086">
        <v>14</v>
      </c>
      <c r="X1086">
        <v>3</v>
      </c>
      <c r="Y1086">
        <v>4</v>
      </c>
      <c r="Z1086">
        <v>80</v>
      </c>
      <c r="AA1086">
        <v>0</v>
      </c>
      <c r="AB1086">
        <v>10</v>
      </c>
      <c r="AC1086">
        <v>3</v>
      </c>
      <c r="AD1086">
        <v>3</v>
      </c>
      <c r="AE1086">
        <v>10</v>
      </c>
      <c r="AF1086">
        <v>9</v>
      </c>
      <c r="AG1086">
        <v>8</v>
      </c>
      <c r="AH1086">
        <v>6</v>
      </c>
      <c r="AI1086">
        <f>IF(tbl_HRData[[#This Row],[Attrition]] = "Yes",1,0)</f>
        <v>0</v>
      </c>
      <c r="AJ1086">
        <f>IF(tbl_HRData[[#This Row],[Attrition]] = "No",1,0)</f>
        <v>1</v>
      </c>
      <c r="AK1086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086" s="1" t="str">
        <f>IF(tbl_HRData[[#This Row],[MonthlyIncome]]&lt;5000,"Low",
IF(tbl_HRData[[#This Row],[MonthlyIncome]]&lt;10000,"Medium",
IF(tbl_HRData[[#This Row],[MonthlyIncome]]&lt;15000,"Upper Medium","High")))</f>
        <v>Medium</v>
      </c>
      <c r="AM1086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087" spans="1:39" x14ac:dyDescent="0.35">
      <c r="A1087" s="1">
        <v>1086</v>
      </c>
      <c r="B1087">
        <v>31</v>
      </c>
      <c r="C1087" s="1" t="s">
        <v>33</v>
      </c>
      <c r="D1087" s="1" t="s">
        <v>41</v>
      </c>
      <c r="E1087">
        <v>561</v>
      </c>
      <c r="F1087" s="1" t="s">
        <v>42</v>
      </c>
      <c r="G1087">
        <v>3</v>
      </c>
      <c r="H1087">
        <v>3</v>
      </c>
      <c r="I1087" s="1" t="s">
        <v>36</v>
      </c>
      <c r="J1087">
        <v>1537</v>
      </c>
      <c r="K1087">
        <v>4</v>
      </c>
      <c r="L1087" s="1" t="s">
        <v>37</v>
      </c>
      <c r="M1087">
        <v>33</v>
      </c>
      <c r="N1087">
        <v>3</v>
      </c>
      <c r="O1087">
        <v>1</v>
      </c>
      <c r="P1087" s="1" t="s">
        <v>44</v>
      </c>
      <c r="Q1087">
        <v>3</v>
      </c>
      <c r="R1087" s="1" t="s">
        <v>39</v>
      </c>
      <c r="S1087">
        <v>4084</v>
      </c>
      <c r="T1087">
        <v>4156</v>
      </c>
      <c r="U1087">
        <v>1</v>
      </c>
      <c r="V1087" s="1" t="s">
        <v>40</v>
      </c>
      <c r="W1087">
        <v>12</v>
      </c>
      <c r="X1087">
        <v>3</v>
      </c>
      <c r="Y1087">
        <v>1</v>
      </c>
      <c r="Z1087">
        <v>80</v>
      </c>
      <c r="AA1087">
        <v>0</v>
      </c>
      <c r="AB1087">
        <v>7</v>
      </c>
      <c r="AC1087">
        <v>2</v>
      </c>
      <c r="AD1087">
        <v>1</v>
      </c>
      <c r="AE1087">
        <v>7</v>
      </c>
      <c r="AF1087">
        <v>2</v>
      </c>
      <c r="AG1087">
        <v>7</v>
      </c>
      <c r="AH1087">
        <v>7</v>
      </c>
      <c r="AI1087">
        <f>IF(tbl_HRData[[#This Row],[Attrition]] = "Yes",1,0)</f>
        <v>1</v>
      </c>
      <c r="AJ1087">
        <f>IF(tbl_HRData[[#This Row],[Attrition]] = "No",1,0)</f>
        <v>0</v>
      </c>
      <c r="AK1087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087" s="1" t="str">
        <f>IF(tbl_HRData[[#This Row],[MonthlyIncome]]&lt;5000,"Low",
IF(tbl_HRData[[#This Row],[MonthlyIncome]]&lt;10000,"Medium",
IF(tbl_HRData[[#This Row],[MonthlyIncome]]&lt;15000,"Upper Medium","High")))</f>
        <v>Low</v>
      </c>
      <c r="AM1087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088" spans="1:39" x14ac:dyDescent="0.35">
      <c r="A1088" s="1">
        <v>1087</v>
      </c>
      <c r="B1088">
        <v>50</v>
      </c>
      <c r="C1088" s="1" t="s">
        <v>40</v>
      </c>
      <c r="D1088" s="1" t="s">
        <v>41</v>
      </c>
      <c r="E1088">
        <v>333</v>
      </c>
      <c r="F1088" s="1" t="s">
        <v>42</v>
      </c>
      <c r="G1088">
        <v>22</v>
      </c>
      <c r="H1088">
        <v>5</v>
      </c>
      <c r="I1088" s="1" t="s">
        <v>48</v>
      </c>
      <c r="J1088">
        <v>1539</v>
      </c>
      <c r="K1088">
        <v>3</v>
      </c>
      <c r="L1088" s="1" t="s">
        <v>43</v>
      </c>
      <c r="M1088">
        <v>88</v>
      </c>
      <c r="N1088">
        <v>1</v>
      </c>
      <c r="O1088">
        <v>4</v>
      </c>
      <c r="P1088" s="1" t="s">
        <v>55</v>
      </c>
      <c r="Q1088">
        <v>4</v>
      </c>
      <c r="R1088" s="1" t="s">
        <v>39</v>
      </c>
      <c r="S1088">
        <v>14411</v>
      </c>
      <c r="T1088">
        <v>24450</v>
      </c>
      <c r="U1088">
        <v>1</v>
      </c>
      <c r="V1088" s="1" t="s">
        <v>33</v>
      </c>
      <c r="W1088">
        <v>13</v>
      </c>
      <c r="X1088">
        <v>3</v>
      </c>
      <c r="Y1088">
        <v>4</v>
      </c>
      <c r="Z1088">
        <v>80</v>
      </c>
      <c r="AA1088">
        <v>0</v>
      </c>
      <c r="AB1088">
        <v>32</v>
      </c>
      <c r="AC1088">
        <v>2</v>
      </c>
      <c r="AD1088">
        <v>3</v>
      </c>
      <c r="AE1088">
        <v>32</v>
      </c>
      <c r="AF1088">
        <v>6</v>
      </c>
      <c r="AG1088">
        <v>13</v>
      </c>
      <c r="AH1088">
        <v>9</v>
      </c>
      <c r="AI1088">
        <f>IF(tbl_HRData[[#This Row],[Attrition]] = "Yes",1,0)</f>
        <v>0</v>
      </c>
      <c r="AJ1088">
        <f>IF(tbl_HRData[[#This Row],[Attrition]] = "No",1,0)</f>
        <v>1</v>
      </c>
      <c r="AK1088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1088" s="1" t="str">
        <f>IF(tbl_HRData[[#This Row],[MonthlyIncome]]&lt;5000,"Low",
IF(tbl_HRData[[#This Row],[MonthlyIncome]]&lt;10000,"Medium",
IF(tbl_HRData[[#This Row],[MonthlyIncome]]&lt;15000,"Upper Medium","High")))</f>
        <v>Upper Medium</v>
      </c>
      <c r="AM1088" s="1" t="str">
        <f>IF(tbl_HRData[[#This Row],[YearsAtCompany]]&lt;=5,"0-5 Years",
IF(tbl_HRData[[#This Row],[YearsAtCompany]]&lt;=10,"6-10 Years",
IF(tbl_HRData[[#This Row],[YearsAtCompany]]&lt;=20,"11-20 Years","21+ Years")))</f>
        <v>21+ Years</v>
      </c>
    </row>
    <row r="1089" spans="1:39" x14ac:dyDescent="0.35">
      <c r="A1089" s="1">
        <v>1088</v>
      </c>
      <c r="B1089">
        <v>34</v>
      </c>
      <c r="C1089" s="1" t="s">
        <v>40</v>
      </c>
      <c r="D1089" s="1" t="s">
        <v>34</v>
      </c>
      <c r="E1089">
        <v>1440</v>
      </c>
      <c r="F1089" s="1" t="s">
        <v>35</v>
      </c>
      <c r="G1089">
        <v>7</v>
      </c>
      <c r="H1089">
        <v>2</v>
      </c>
      <c r="I1089" s="1" t="s">
        <v>57</v>
      </c>
      <c r="J1089">
        <v>1541</v>
      </c>
      <c r="K1089">
        <v>2</v>
      </c>
      <c r="L1089" s="1" t="s">
        <v>43</v>
      </c>
      <c r="M1089">
        <v>55</v>
      </c>
      <c r="N1089">
        <v>3</v>
      </c>
      <c r="O1089">
        <v>1</v>
      </c>
      <c r="P1089" s="1" t="s">
        <v>54</v>
      </c>
      <c r="Q1089">
        <v>3</v>
      </c>
      <c r="R1089" s="1" t="s">
        <v>45</v>
      </c>
      <c r="S1089">
        <v>2308</v>
      </c>
      <c r="T1089">
        <v>4944</v>
      </c>
      <c r="U1089">
        <v>0</v>
      </c>
      <c r="V1089" s="1" t="s">
        <v>33</v>
      </c>
      <c r="W1089">
        <v>25</v>
      </c>
      <c r="X1089">
        <v>4</v>
      </c>
      <c r="Y1089">
        <v>2</v>
      </c>
      <c r="Z1089">
        <v>80</v>
      </c>
      <c r="AA1089">
        <v>1</v>
      </c>
      <c r="AB1089">
        <v>12</v>
      </c>
      <c r="AC1089">
        <v>4</v>
      </c>
      <c r="AD1089">
        <v>3</v>
      </c>
      <c r="AE1089">
        <v>11</v>
      </c>
      <c r="AF1089">
        <v>10</v>
      </c>
      <c r="AG1089">
        <v>5</v>
      </c>
      <c r="AH1089">
        <v>7</v>
      </c>
      <c r="AI1089">
        <f>IF(tbl_HRData[[#This Row],[Attrition]] = "Yes",1,0)</f>
        <v>0</v>
      </c>
      <c r="AJ1089">
        <f>IF(tbl_HRData[[#This Row],[Attrition]] = "No",1,0)</f>
        <v>1</v>
      </c>
      <c r="AK1089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089" s="1" t="str">
        <f>IF(tbl_HRData[[#This Row],[MonthlyIncome]]&lt;5000,"Low",
IF(tbl_HRData[[#This Row],[MonthlyIncome]]&lt;10000,"Medium",
IF(tbl_HRData[[#This Row],[MonthlyIncome]]&lt;15000,"Upper Medium","High")))</f>
        <v>Low</v>
      </c>
      <c r="AM1089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1090" spans="1:39" x14ac:dyDescent="0.35">
      <c r="A1090" s="1">
        <v>1089</v>
      </c>
      <c r="B1090">
        <v>42</v>
      </c>
      <c r="C1090" s="1" t="s">
        <v>40</v>
      </c>
      <c r="D1090" s="1" t="s">
        <v>34</v>
      </c>
      <c r="E1090">
        <v>1210</v>
      </c>
      <c r="F1090" s="1" t="s">
        <v>42</v>
      </c>
      <c r="G1090">
        <v>2</v>
      </c>
      <c r="H1090">
        <v>3</v>
      </c>
      <c r="I1090" s="1" t="s">
        <v>48</v>
      </c>
      <c r="J1090">
        <v>1542</v>
      </c>
      <c r="K1090">
        <v>3</v>
      </c>
      <c r="L1090" s="1" t="s">
        <v>43</v>
      </c>
      <c r="M1090">
        <v>68</v>
      </c>
      <c r="N1090">
        <v>2</v>
      </c>
      <c r="O1090">
        <v>1</v>
      </c>
      <c r="P1090" s="1" t="s">
        <v>47</v>
      </c>
      <c r="Q1090">
        <v>2</v>
      </c>
      <c r="R1090" s="1" t="s">
        <v>45</v>
      </c>
      <c r="S1090">
        <v>4841</v>
      </c>
      <c r="T1090">
        <v>24052</v>
      </c>
      <c r="U1090">
        <v>4</v>
      </c>
      <c r="V1090" s="1" t="s">
        <v>40</v>
      </c>
      <c r="W1090">
        <v>14</v>
      </c>
      <c r="X1090">
        <v>3</v>
      </c>
      <c r="Y1090">
        <v>2</v>
      </c>
      <c r="Z1090">
        <v>80</v>
      </c>
      <c r="AA1090">
        <v>1</v>
      </c>
      <c r="AB1090">
        <v>4</v>
      </c>
      <c r="AC1090">
        <v>3</v>
      </c>
      <c r="AD1090">
        <v>3</v>
      </c>
      <c r="AE1090">
        <v>1</v>
      </c>
      <c r="AF1090">
        <v>0</v>
      </c>
      <c r="AG1090">
        <v>0</v>
      </c>
      <c r="AH1090">
        <v>0</v>
      </c>
      <c r="AI1090">
        <f>IF(tbl_HRData[[#This Row],[Attrition]] = "Yes",1,0)</f>
        <v>0</v>
      </c>
      <c r="AJ1090">
        <f>IF(tbl_HRData[[#This Row],[Attrition]] = "No",1,0)</f>
        <v>1</v>
      </c>
      <c r="AK1090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090" s="1" t="str">
        <f>IF(tbl_HRData[[#This Row],[MonthlyIncome]]&lt;5000,"Low",
IF(tbl_HRData[[#This Row],[MonthlyIncome]]&lt;10000,"Medium",
IF(tbl_HRData[[#This Row],[MonthlyIncome]]&lt;15000,"Upper Medium","High")))</f>
        <v>Low</v>
      </c>
      <c r="AM1090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091" spans="1:39" x14ac:dyDescent="0.35">
      <c r="A1091" s="1">
        <v>1090</v>
      </c>
      <c r="B1091">
        <v>37</v>
      </c>
      <c r="C1091" s="1" t="s">
        <v>40</v>
      </c>
      <c r="D1091" s="1" t="s">
        <v>34</v>
      </c>
      <c r="E1091">
        <v>674</v>
      </c>
      <c r="F1091" s="1" t="s">
        <v>42</v>
      </c>
      <c r="G1091">
        <v>13</v>
      </c>
      <c r="H1091">
        <v>3</v>
      </c>
      <c r="I1091" s="1" t="s">
        <v>48</v>
      </c>
      <c r="J1091">
        <v>1543</v>
      </c>
      <c r="K1091">
        <v>1</v>
      </c>
      <c r="L1091" s="1" t="s">
        <v>43</v>
      </c>
      <c r="M1091">
        <v>47</v>
      </c>
      <c r="N1091">
        <v>3</v>
      </c>
      <c r="O1091">
        <v>2</v>
      </c>
      <c r="P1091" s="1" t="s">
        <v>44</v>
      </c>
      <c r="Q1091">
        <v>4</v>
      </c>
      <c r="R1091" s="1" t="s">
        <v>45</v>
      </c>
      <c r="S1091">
        <v>4285</v>
      </c>
      <c r="T1091">
        <v>3031</v>
      </c>
      <c r="U1091">
        <v>1</v>
      </c>
      <c r="V1091" s="1" t="s">
        <v>40</v>
      </c>
      <c r="W1091">
        <v>17</v>
      </c>
      <c r="X1091">
        <v>3</v>
      </c>
      <c r="Y1091">
        <v>1</v>
      </c>
      <c r="Z1091">
        <v>80</v>
      </c>
      <c r="AA1091">
        <v>0</v>
      </c>
      <c r="AB1091">
        <v>10</v>
      </c>
      <c r="AC1091">
        <v>2</v>
      </c>
      <c r="AD1091">
        <v>3</v>
      </c>
      <c r="AE1091">
        <v>10</v>
      </c>
      <c r="AF1091">
        <v>8</v>
      </c>
      <c r="AG1091">
        <v>3</v>
      </c>
      <c r="AH1091">
        <v>7</v>
      </c>
      <c r="AI1091">
        <f>IF(tbl_HRData[[#This Row],[Attrition]] = "Yes",1,0)</f>
        <v>0</v>
      </c>
      <c r="AJ1091">
        <f>IF(tbl_HRData[[#This Row],[Attrition]] = "No",1,0)</f>
        <v>1</v>
      </c>
      <c r="AK1091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091" s="1" t="str">
        <f>IF(tbl_HRData[[#This Row],[MonthlyIncome]]&lt;5000,"Low",
IF(tbl_HRData[[#This Row],[MonthlyIncome]]&lt;10000,"Medium",
IF(tbl_HRData[[#This Row],[MonthlyIncome]]&lt;15000,"Upper Medium","High")))</f>
        <v>Low</v>
      </c>
      <c r="AM1091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092" spans="1:39" x14ac:dyDescent="0.35">
      <c r="A1092" s="1">
        <v>1091</v>
      </c>
      <c r="B1092">
        <v>29</v>
      </c>
      <c r="C1092" s="1" t="s">
        <v>40</v>
      </c>
      <c r="D1092" s="1" t="s">
        <v>34</v>
      </c>
      <c r="E1092">
        <v>441</v>
      </c>
      <c r="F1092" s="1" t="s">
        <v>42</v>
      </c>
      <c r="G1092">
        <v>8</v>
      </c>
      <c r="H1092">
        <v>1</v>
      </c>
      <c r="I1092" s="1" t="s">
        <v>46</v>
      </c>
      <c r="J1092">
        <v>1544</v>
      </c>
      <c r="K1092">
        <v>3</v>
      </c>
      <c r="L1092" s="1" t="s">
        <v>37</v>
      </c>
      <c r="M1092">
        <v>39</v>
      </c>
      <c r="N1092">
        <v>1</v>
      </c>
      <c r="O1092">
        <v>2</v>
      </c>
      <c r="P1092" s="1" t="s">
        <v>51</v>
      </c>
      <c r="Q1092">
        <v>1</v>
      </c>
      <c r="R1092" s="1" t="s">
        <v>45</v>
      </c>
      <c r="S1092">
        <v>9715</v>
      </c>
      <c r="T1092">
        <v>7288</v>
      </c>
      <c r="U1092">
        <v>3</v>
      </c>
      <c r="V1092" s="1" t="s">
        <v>40</v>
      </c>
      <c r="W1092">
        <v>13</v>
      </c>
      <c r="X1092">
        <v>3</v>
      </c>
      <c r="Y1092">
        <v>3</v>
      </c>
      <c r="Z1092">
        <v>80</v>
      </c>
      <c r="AA1092">
        <v>1</v>
      </c>
      <c r="AB1092">
        <v>9</v>
      </c>
      <c r="AC1092">
        <v>3</v>
      </c>
      <c r="AD1092">
        <v>3</v>
      </c>
      <c r="AE1092">
        <v>7</v>
      </c>
      <c r="AF1092">
        <v>7</v>
      </c>
      <c r="AG1092">
        <v>0</v>
      </c>
      <c r="AH1092">
        <v>7</v>
      </c>
      <c r="AI1092">
        <f>IF(tbl_HRData[[#This Row],[Attrition]] = "Yes",1,0)</f>
        <v>0</v>
      </c>
      <c r="AJ1092">
        <f>IF(tbl_HRData[[#This Row],[Attrition]] = "No",1,0)</f>
        <v>1</v>
      </c>
      <c r="AK1092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092" s="1" t="str">
        <f>IF(tbl_HRData[[#This Row],[MonthlyIncome]]&lt;5000,"Low",
IF(tbl_HRData[[#This Row],[MonthlyIncome]]&lt;10000,"Medium",
IF(tbl_HRData[[#This Row],[MonthlyIncome]]&lt;15000,"Upper Medium","High")))</f>
        <v>Medium</v>
      </c>
      <c r="AM1092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093" spans="1:39" x14ac:dyDescent="0.35">
      <c r="A1093" s="1">
        <v>1092</v>
      </c>
      <c r="B1093">
        <v>33</v>
      </c>
      <c r="C1093" s="1" t="s">
        <v>40</v>
      </c>
      <c r="D1093" s="1" t="s">
        <v>34</v>
      </c>
      <c r="E1093">
        <v>575</v>
      </c>
      <c r="F1093" s="1" t="s">
        <v>42</v>
      </c>
      <c r="G1093">
        <v>25</v>
      </c>
      <c r="H1093">
        <v>3</v>
      </c>
      <c r="I1093" s="1" t="s">
        <v>36</v>
      </c>
      <c r="J1093">
        <v>1545</v>
      </c>
      <c r="K1093">
        <v>4</v>
      </c>
      <c r="L1093" s="1" t="s">
        <v>43</v>
      </c>
      <c r="M1093">
        <v>44</v>
      </c>
      <c r="N1093">
        <v>2</v>
      </c>
      <c r="O1093">
        <v>2</v>
      </c>
      <c r="P1093" s="1" t="s">
        <v>50</v>
      </c>
      <c r="Q1093">
        <v>2</v>
      </c>
      <c r="R1093" s="1" t="s">
        <v>39</v>
      </c>
      <c r="S1093">
        <v>4320</v>
      </c>
      <c r="T1093">
        <v>24152</v>
      </c>
      <c r="U1093">
        <v>1</v>
      </c>
      <c r="V1093" s="1" t="s">
        <v>40</v>
      </c>
      <c r="W1093">
        <v>13</v>
      </c>
      <c r="X1093">
        <v>3</v>
      </c>
      <c r="Y1093">
        <v>4</v>
      </c>
      <c r="Z1093">
        <v>80</v>
      </c>
      <c r="AA1093">
        <v>0</v>
      </c>
      <c r="AB1093">
        <v>5</v>
      </c>
      <c r="AC1093">
        <v>2</v>
      </c>
      <c r="AD1093">
        <v>3</v>
      </c>
      <c r="AE1093">
        <v>5</v>
      </c>
      <c r="AF1093">
        <v>3</v>
      </c>
      <c r="AG1093">
        <v>0</v>
      </c>
      <c r="AH1093">
        <v>2</v>
      </c>
      <c r="AI1093">
        <f>IF(tbl_HRData[[#This Row],[Attrition]] = "Yes",1,0)</f>
        <v>0</v>
      </c>
      <c r="AJ1093">
        <f>IF(tbl_HRData[[#This Row],[Attrition]] = "No",1,0)</f>
        <v>1</v>
      </c>
      <c r="AK1093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093" s="1" t="str">
        <f>IF(tbl_HRData[[#This Row],[MonthlyIncome]]&lt;5000,"Low",
IF(tbl_HRData[[#This Row],[MonthlyIncome]]&lt;10000,"Medium",
IF(tbl_HRData[[#This Row],[MonthlyIncome]]&lt;15000,"Upper Medium","High")))</f>
        <v>Low</v>
      </c>
      <c r="AM1093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094" spans="1:39" x14ac:dyDescent="0.35">
      <c r="A1094" s="1">
        <v>1093</v>
      </c>
      <c r="B1094">
        <v>45</v>
      </c>
      <c r="C1094" s="1" t="s">
        <v>40</v>
      </c>
      <c r="D1094" s="1" t="s">
        <v>34</v>
      </c>
      <c r="E1094">
        <v>950</v>
      </c>
      <c r="F1094" s="1" t="s">
        <v>42</v>
      </c>
      <c r="G1094">
        <v>28</v>
      </c>
      <c r="H1094">
        <v>3</v>
      </c>
      <c r="I1094" s="1" t="s">
        <v>57</v>
      </c>
      <c r="J1094">
        <v>1546</v>
      </c>
      <c r="K1094">
        <v>4</v>
      </c>
      <c r="L1094" s="1" t="s">
        <v>43</v>
      </c>
      <c r="M1094">
        <v>97</v>
      </c>
      <c r="N1094">
        <v>3</v>
      </c>
      <c r="O1094">
        <v>1</v>
      </c>
      <c r="P1094" s="1" t="s">
        <v>44</v>
      </c>
      <c r="Q1094">
        <v>4</v>
      </c>
      <c r="R1094" s="1" t="s">
        <v>45</v>
      </c>
      <c r="S1094">
        <v>2132</v>
      </c>
      <c r="T1094">
        <v>4585</v>
      </c>
      <c r="U1094">
        <v>4</v>
      </c>
      <c r="V1094" s="1" t="s">
        <v>40</v>
      </c>
      <c r="W1094">
        <v>20</v>
      </c>
      <c r="X1094">
        <v>4</v>
      </c>
      <c r="Y1094">
        <v>4</v>
      </c>
      <c r="Z1094">
        <v>80</v>
      </c>
      <c r="AA1094">
        <v>1</v>
      </c>
      <c r="AB1094">
        <v>8</v>
      </c>
      <c r="AC1094">
        <v>3</v>
      </c>
      <c r="AD1094">
        <v>3</v>
      </c>
      <c r="AE1094">
        <v>5</v>
      </c>
      <c r="AF1094">
        <v>4</v>
      </c>
      <c r="AG1094">
        <v>0</v>
      </c>
      <c r="AH1094">
        <v>3</v>
      </c>
      <c r="AI1094">
        <f>IF(tbl_HRData[[#This Row],[Attrition]] = "Yes",1,0)</f>
        <v>0</v>
      </c>
      <c r="AJ1094">
        <f>IF(tbl_HRData[[#This Row],[Attrition]] = "No",1,0)</f>
        <v>1</v>
      </c>
      <c r="AK1094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1094" s="1" t="str">
        <f>IF(tbl_HRData[[#This Row],[MonthlyIncome]]&lt;5000,"Low",
IF(tbl_HRData[[#This Row],[MonthlyIncome]]&lt;10000,"Medium",
IF(tbl_HRData[[#This Row],[MonthlyIncome]]&lt;15000,"Upper Medium","High")))</f>
        <v>Low</v>
      </c>
      <c r="AM1094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095" spans="1:39" x14ac:dyDescent="0.35">
      <c r="A1095" s="1">
        <v>1094</v>
      </c>
      <c r="B1095">
        <v>42</v>
      </c>
      <c r="C1095" s="1" t="s">
        <v>40</v>
      </c>
      <c r="D1095" s="1" t="s">
        <v>41</v>
      </c>
      <c r="E1095">
        <v>288</v>
      </c>
      <c r="F1095" s="1" t="s">
        <v>42</v>
      </c>
      <c r="G1095">
        <v>2</v>
      </c>
      <c r="H1095">
        <v>3</v>
      </c>
      <c r="I1095" s="1" t="s">
        <v>36</v>
      </c>
      <c r="J1095">
        <v>1547</v>
      </c>
      <c r="K1095">
        <v>4</v>
      </c>
      <c r="L1095" s="1" t="s">
        <v>43</v>
      </c>
      <c r="M1095">
        <v>40</v>
      </c>
      <c r="N1095">
        <v>3</v>
      </c>
      <c r="O1095">
        <v>3</v>
      </c>
      <c r="P1095" s="1" t="s">
        <v>51</v>
      </c>
      <c r="Q1095">
        <v>4</v>
      </c>
      <c r="R1095" s="1" t="s">
        <v>45</v>
      </c>
      <c r="S1095">
        <v>10124</v>
      </c>
      <c r="T1095">
        <v>18611</v>
      </c>
      <c r="U1095">
        <v>2</v>
      </c>
      <c r="V1095" s="1" t="s">
        <v>33</v>
      </c>
      <c r="W1095">
        <v>14</v>
      </c>
      <c r="X1095">
        <v>3</v>
      </c>
      <c r="Y1095">
        <v>3</v>
      </c>
      <c r="Z1095">
        <v>80</v>
      </c>
      <c r="AA1095">
        <v>1</v>
      </c>
      <c r="AB1095">
        <v>24</v>
      </c>
      <c r="AC1095">
        <v>3</v>
      </c>
      <c r="AD1095">
        <v>1</v>
      </c>
      <c r="AE1095">
        <v>20</v>
      </c>
      <c r="AF1095">
        <v>8</v>
      </c>
      <c r="AG1095">
        <v>13</v>
      </c>
      <c r="AH1095">
        <v>9</v>
      </c>
      <c r="AI1095">
        <f>IF(tbl_HRData[[#This Row],[Attrition]] = "Yes",1,0)</f>
        <v>0</v>
      </c>
      <c r="AJ1095">
        <f>IF(tbl_HRData[[#This Row],[Attrition]] = "No",1,0)</f>
        <v>1</v>
      </c>
      <c r="AK1095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095" s="1" t="str">
        <f>IF(tbl_HRData[[#This Row],[MonthlyIncome]]&lt;5000,"Low",
IF(tbl_HRData[[#This Row],[MonthlyIncome]]&lt;10000,"Medium",
IF(tbl_HRData[[#This Row],[MonthlyIncome]]&lt;15000,"Upper Medium","High")))</f>
        <v>Upper Medium</v>
      </c>
      <c r="AM1095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1096" spans="1:39" x14ac:dyDescent="0.35">
      <c r="A1096" s="1">
        <v>1095</v>
      </c>
      <c r="B1096">
        <v>40</v>
      </c>
      <c r="C1096" s="1" t="s">
        <v>40</v>
      </c>
      <c r="D1096" s="1" t="s">
        <v>34</v>
      </c>
      <c r="E1096">
        <v>1342</v>
      </c>
      <c r="F1096" s="1" t="s">
        <v>35</v>
      </c>
      <c r="G1096">
        <v>9</v>
      </c>
      <c r="H1096">
        <v>2</v>
      </c>
      <c r="I1096" s="1" t="s">
        <v>48</v>
      </c>
      <c r="J1096">
        <v>1548</v>
      </c>
      <c r="K1096">
        <v>1</v>
      </c>
      <c r="L1096" s="1" t="s">
        <v>43</v>
      </c>
      <c r="M1096">
        <v>47</v>
      </c>
      <c r="N1096">
        <v>3</v>
      </c>
      <c r="O1096">
        <v>2</v>
      </c>
      <c r="P1096" s="1" t="s">
        <v>38</v>
      </c>
      <c r="Q1096">
        <v>1</v>
      </c>
      <c r="R1096" s="1" t="s">
        <v>45</v>
      </c>
      <c r="S1096">
        <v>5473</v>
      </c>
      <c r="T1096">
        <v>19345</v>
      </c>
      <c r="U1096">
        <v>0</v>
      </c>
      <c r="V1096" s="1" t="s">
        <v>40</v>
      </c>
      <c r="W1096">
        <v>12</v>
      </c>
      <c r="X1096">
        <v>3</v>
      </c>
      <c r="Y1096">
        <v>4</v>
      </c>
      <c r="Z1096">
        <v>80</v>
      </c>
      <c r="AA1096">
        <v>0</v>
      </c>
      <c r="AB1096">
        <v>9</v>
      </c>
      <c r="AC1096">
        <v>5</v>
      </c>
      <c r="AD1096">
        <v>4</v>
      </c>
      <c r="AE1096">
        <v>8</v>
      </c>
      <c r="AF1096">
        <v>4</v>
      </c>
      <c r="AG1096">
        <v>7</v>
      </c>
      <c r="AH1096">
        <v>1</v>
      </c>
      <c r="AI1096">
        <f>IF(tbl_HRData[[#This Row],[Attrition]] = "Yes",1,0)</f>
        <v>0</v>
      </c>
      <c r="AJ1096">
        <f>IF(tbl_HRData[[#This Row],[Attrition]] = "No",1,0)</f>
        <v>1</v>
      </c>
      <c r="AK1096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096" s="1" t="str">
        <f>IF(tbl_HRData[[#This Row],[MonthlyIncome]]&lt;5000,"Low",
IF(tbl_HRData[[#This Row],[MonthlyIncome]]&lt;10000,"Medium",
IF(tbl_HRData[[#This Row],[MonthlyIncome]]&lt;15000,"Upper Medium","High")))</f>
        <v>Medium</v>
      </c>
      <c r="AM1096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097" spans="1:39" x14ac:dyDescent="0.35">
      <c r="A1097" s="1">
        <v>1096</v>
      </c>
      <c r="B1097">
        <v>33</v>
      </c>
      <c r="C1097" s="1" t="s">
        <v>40</v>
      </c>
      <c r="D1097" s="1" t="s">
        <v>34</v>
      </c>
      <c r="E1097">
        <v>589</v>
      </c>
      <c r="F1097" s="1" t="s">
        <v>42</v>
      </c>
      <c r="G1097">
        <v>28</v>
      </c>
      <c r="H1097">
        <v>4</v>
      </c>
      <c r="I1097" s="1" t="s">
        <v>36</v>
      </c>
      <c r="J1097">
        <v>1549</v>
      </c>
      <c r="K1097">
        <v>2</v>
      </c>
      <c r="L1097" s="1" t="s">
        <v>43</v>
      </c>
      <c r="M1097">
        <v>79</v>
      </c>
      <c r="N1097">
        <v>3</v>
      </c>
      <c r="O1097">
        <v>2</v>
      </c>
      <c r="P1097" s="1" t="s">
        <v>47</v>
      </c>
      <c r="Q1097">
        <v>3</v>
      </c>
      <c r="R1097" s="1" t="s">
        <v>45</v>
      </c>
      <c r="S1097">
        <v>5207</v>
      </c>
      <c r="T1097">
        <v>22949</v>
      </c>
      <c r="U1097">
        <v>1</v>
      </c>
      <c r="V1097" s="1" t="s">
        <v>33</v>
      </c>
      <c r="W1097">
        <v>12</v>
      </c>
      <c r="X1097">
        <v>3</v>
      </c>
      <c r="Y1097">
        <v>2</v>
      </c>
      <c r="Z1097">
        <v>80</v>
      </c>
      <c r="AA1097">
        <v>1</v>
      </c>
      <c r="AB1097">
        <v>15</v>
      </c>
      <c r="AC1097">
        <v>3</v>
      </c>
      <c r="AD1097">
        <v>3</v>
      </c>
      <c r="AE1097">
        <v>15</v>
      </c>
      <c r="AF1097">
        <v>14</v>
      </c>
      <c r="AG1097">
        <v>5</v>
      </c>
      <c r="AH1097">
        <v>7</v>
      </c>
      <c r="AI1097">
        <f>IF(tbl_HRData[[#This Row],[Attrition]] = "Yes",1,0)</f>
        <v>0</v>
      </c>
      <c r="AJ1097">
        <f>IF(tbl_HRData[[#This Row],[Attrition]] = "No",1,0)</f>
        <v>1</v>
      </c>
      <c r="AK1097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097" s="1" t="str">
        <f>IF(tbl_HRData[[#This Row],[MonthlyIncome]]&lt;5000,"Low",
IF(tbl_HRData[[#This Row],[MonthlyIncome]]&lt;10000,"Medium",
IF(tbl_HRData[[#This Row],[MonthlyIncome]]&lt;15000,"Upper Medium","High")))</f>
        <v>Medium</v>
      </c>
      <c r="AM1097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1098" spans="1:39" x14ac:dyDescent="0.35">
      <c r="A1098" s="1">
        <v>1097</v>
      </c>
      <c r="B1098">
        <v>40</v>
      </c>
      <c r="C1098" s="1" t="s">
        <v>40</v>
      </c>
      <c r="D1098" s="1" t="s">
        <v>34</v>
      </c>
      <c r="E1098">
        <v>898</v>
      </c>
      <c r="F1098" s="1" t="s">
        <v>58</v>
      </c>
      <c r="G1098">
        <v>6</v>
      </c>
      <c r="H1098">
        <v>2</v>
      </c>
      <c r="I1098" s="1" t="s">
        <v>48</v>
      </c>
      <c r="J1098">
        <v>1550</v>
      </c>
      <c r="K1098">
        <v>3</v>
      </c>
      <c r="L1098" s="1" t="s">
        <v>43</v>
      </c>
      <c r="M1098">
        <v>38</v>
      </c>
      <c r="N1098">
        <v>3</v>
      </c>
      <c r="O1098">
        <v>4</v>
      </c>
      <c r="P1098" s="1" t="s">
        <v>53</v>
      </c>
      <c r="Q1098">
        <v>4</v>
      </c>
      <c r="R1098" s="1" t="s">
        <v>39</v>
      </c>
      <c r="S1098">
        <v>16437</v>
      </c>
      <c r="T1098">
        <v>17381</v>
      </c>
      <c r="U1098">
        <v>1</v>
      </c>
      <c r="V1098" s="1" t="s">
        <v>33</v>
      </c>
      <c r="W1098">
        <v>21</v>
      </c>
      <c r="X1098">
        <v>4</v>
      </c>
      <c r="Y1098">
        <v>4</v>
      </c>
      <c r="Z1098">
        <v>80</v>
      </c>
      <c r="AA1098">
        <v>0</v>
      </c>
      <c r="AB1098">
        <v>21</v>
      </c>
      <c r="AC1098">
        <v>2</v>
      </c>
      <c r="AD1098">
        <v>3</v>
      </c>
      <c r="AE1098">
        <v>21</v>
      </c>
      <c r="AF1098">
        <v>7</v>
      </c>
      <c r="AG1098">
        <v>7</v>
      </c>
      <c r="AH1098">
        <v>7</v>
      </c>
      <c r="AI1098">
        <f>IF(tbl_HRData[[#This Row],[Attrition]] = "Yes",1,0)</f>
        <v>0</v>
      </c>
      <c r="AJ1098">
        <f>IF(tbl_HRData[[#This Row],[Attrition]] = "No",1,0)</f>
        <v>1</v>
      </c>
      <c r="AK1098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098" s="1" t="str">
        <f>IF(tbl_HRData[[#This Row],[MonthlyIncome]]&lt;5000,"Low",
IF(tbl_HRData[[#This Row],[MonthlyIncome]]&lt;10000,"Medium",
IF(tbl_HRData[[#This Row],[MonthlyIncome]]&lt;15000,"Upper Medium","High")))</f>
        <v>High</v>
      </c>
      <c r="AM1098" s="1" t="str">
        <f>IF(tbl_HRData[[#This Row],[YearsAtCompany]]&lt;=5,"0-5 Years",
IF(tbl_HRData[[#This Row],[YearsAtCompany]]&lt;=10,"6-10 Years",
IF(tbl_HRData[[#This Row],[YearsAtCompany]]&lt;=20,"11-20 Years","21+ Years")))</f>
        <v>21+ Years</v>
      </c>
    </row>
    <row r="1099" spans="1:39" x14ac:dyDescent="0.35">
      <c r="A1099" s="1">
        <v>1098</v>
      </c>
      <c r="B1099">
        <v>24</v>
      </c>
      <c r="C1099" s="1" t="s">
        <v>40</v>
      </c>
      <c r="D1099" s="1" t="s">
        <v>34</v>
      </c>
      <c r="E1099">
        <v>350</v>
      </c>
      <c r="F1099" s="1" t="s">
        <v>42</v>
      </c>
      <c r="G1099">
        <v>21</v>
      </c>
      <c r="H1099">
        <v>2</v>
      </c>
      <c r="I1099" s="1" t="s">
        <v>57</v>
      </c>
      <c r="J1099">
        <v>1551</v>
      </c>
      <c r="K1099">
        <v>3</v>
      </c>
      <c r="L1099" s="1" t="s">
        <v>43</v>
      </c>
      <c r="M1099">
        <v>57</v>
      </c>
      <c r="N1099">
        <v>2</v>
      </c>
      <c r="O1099">
        <v>1</v>
      </c>
      <c r="P1099" s="1" t="s">
        <v>47</v>
      </c>
      <c r="Q1099">
        <v>1</v>
      </c>
      <c r="R1099" s="1" t="s">
        <v>49</v>
      </c>
      <c r="S1099">
        <v>2296</v>
      </c>
      <c r="T1099">
        <v>10036</v>
      </c>
      <c r="U1099">
        <v>0</v>
      </c>
      <c r="V1099" s="1" t="s">
        <v>40</v>
      </c>
      <c r="W1099">
        <v>14</v>
      </c>
      <c r="X1099">
        <v>3</v>
      </c>
      <c r="Y1099">
        <v>2</v>
      </c>
      <c r="Z1099">
        <v>80</v>
      </c>
      <c r="AA1099">
        <v>3</v>
      </c>
      <c r="AB1099">
        <v>2</v>
      </c>
      <c r="AC1099">
        <v>3</v>
      </c>
      <c r="AD1099">
        <v>3</v>
      </c>
      <c r="AE1099">
        <v>1</v>
      </c>
      <c r="AF1099">
        <v>1</v>
      </c>
      <c r="AG1099">
        <v>0</v>
      </c>
      <c r="AH1099">
        <v>0</v>
      </c>
      <c r="AI1099">
        <f>IF(tbl_HRData[[#This Row],[Attrition]] = "Yes",1,0)</f>
        <v>0</v>
      </c>
      <c r="AJ1099">
        <f>IF(tbl_HRData[[#This Row],[Attrition]] = "No",1,0)</f>
        <v>1</v>
      </c>
      <c r="AK1099" t="str">
        <f>IF(tbl_HRData[[#This Row],[Age]] &lt; 25, "Under 25", IF(tbl_HRData[[#This Row],[Age]] &lt;= 34, "25-34", IF(tbl_HRData[[#This Row],[Age]] &lt;= 44, "35-44", IF(tbl_HRData[[#This Row],[Age]] &lt;= 54, "45-54", "55+"))))</f>
        <v>Under 25</v>
      </c>
      <c r="AL1099" s="1" t="str">
        <f>IF(tbl_HRData[[#This Row],[MonthlyIncome]]&lt;5000,"Low",
IF(tbl_HRData[[#This Row],[MonthlyIncome]]&lt;10000,"Medium",
IF(tbl_HRData[[#This Row],[MonthlyIncome]]&lt;15000,"Upper Medium","High")))</f>
        <v>Low</v>
      </c>
      <c r="AM1099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100" spans="1:39" x14ac:dyDescent="0.35">
      <c r="A1100" s="1">
        <v>1099</v>
      </c>
      <c r="B1100">
        <v>40</v>
      </c>
      <c r="C1100" s="1" t="s">
        <v>40</v>
      </c>
      <c r="D1100" s="1" t="s">
        <v>52</v>
      </c>
      <c r="E1100">
        <v>1142</v>
      </c>
      <c r="F1100" s="1" t="s">
        <v>42</v>
      </c>
      <c r="G1100">
        <v>8</v>
      </c>
      <c r="H1100">
        <v>2</v>
      </c>
      <c r="I1100" s="1" t="s">
        <v>36</v>
      </c>
      <c r="J1100">
        <v>1552</v>
      </c>
      <c r="K1100">
        <v>4</v>
      </c>
      <c r="L1100" s="1" t="s">
        <v>43</v>
      </c>
      <c r="M1100">
        <v>72</v>
      </c>
      <c r="N1100">
        <v>3</v>
      </c>
      <c r="O1100">
        <v>2</v>
      </c>
      <c r="P1100" s="1" t="s">
        <v>51</v>
      </c>
      <c r="Q1100">
        <v>4</v>
      </c>
      <c r="R1100" s="1" t="s">
        <v>49</v>
      </c>
      <c r="S1100">
        <v>4069</v>
      </c>
      <c r="T1100">
        <v>8841</v>
      </c>
      <c r="U1100">
        <v>3</v>
      </c>
      <c r="V1100" s="1" t="s">
        <v>33</v>
      </c>
      <c r="W1100">
        <v>18</v>
      </c>
      <c r="X1100">
        <v>3</v>
      </c>
      <c r="Y1100">
        <v>3</v>
      </c>
      <c r="Z1100">
        <v>80</v>
      </c>
      <c r="AA1100">
        <v>0</v>
      </c>
      <c r="AB1100">
        <v>8</v>
      </c>
      <c r="AC1100">
        <v>2</v>
      </c>
      <c r="AD1100">
        <v>3</v>
      </c>
      <c r="AE1100">
        <v>2</v>
      </c>
      <c r="AF1100">
        <v>2</v>
      </c>
      <c r="AG1100">
        <v>2</v>
      </c>
      <c r="AH1100">
        <v>2</v>
      </c>
      <c r="AI1100">
        <f>IF(tbl_HRData[[#This Row],[Attrition]] = "Yes",1,0)</f>
        <v>0</v>
      </c>
      <c r="AJ1100">
        <f>IF(tbl_HRData[[#This Row],[Attrition]] = "No",1,0)</f>
        <v>1</v>
      </c>
      <c r="AK1100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100" s="1" t="str">
        <f>IF(tbl_HRData[[#This Row],[MonthlyIncome]]&lt;5000,"Low",
IF(tbl_HRData[[#This Row],[MonthlyIncome]]&lt;10000,"Medium",
IF(tbl_HRData[[#This Row],[MonthlyIncome]]&lt;15000,"Upper Medium","High")))</f>
        <v>Low</v>
      </c>
      <c r="AM1100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101" spans="1:39" x14ac:dyDescent="0.35">
      <c r="A1101" s="1">
        <v>1100</v>
      </c>
      <c r="B1101">
        <v>45</v>
      </c>
      <c r="C1101" s="1" t="s">
        <v>40</v>
      </c>
      <c r="D1101" s="1" t="s">
        <v>34</v>
      </c>
      <c r="E1101">
        <v>538</v>
      </c>
      <c r="F1101" s="1" t="s">
        <v>42</v>
      </c>
      <c r="G1101">
        <v>1</v>
      </c>
      <c r="H1101">
        <v>4</v>
      </c>
      <c r="I1101" s="1" t="s">
        <v>57</v>
      </c>
      <c r="J1101">
        <v>1553</v>
      </c>
      <c r="K1101">
        <v>1</v>
      </c>
      <c r="L1101" s="1" t="s">
        <v>43</v>
      </c>
      <c r="M1101">
        <v>66</v>
      </c>
      <c r="N1101">
        <v>3</v>
      </c>
      <c r="O1101">
        <v>3</v>
      </c>
      <c r="P1101" s="1" t="s">
        <v>51</v>
      </c>
      <c r="Q1101">
        <v>2</v>
      </c>
      <c r="R1101" s="1" t="s">
        <v>49</v>
      </c>
      <c r="S1101">
        <v>7441</v>
      </c>
      <c r="T1101">
        <v>20933</v>
      </c>
      <c r="U1101">
        <v>1</v>
      </c>
      <c r="V1101" s="1" t="s">
        <v>40</v>
      </c>
      <c r="W1101">
        <v>12</v>
      </c>
      <c r="X1101">
        <v>3</v>
      </c>
      <c r="Y1101">
        <v>1</v>
      </c>
      <c r="Z1101">
        <v>80</v>
      </c>
      <c r="AA1101">
        <v>3</v>
      </c>
      <c r="AB1101">
        <v>10</v>
      </c>
      <c r="AC1101">
        <v>4</v>
      </c>
      <c r="AD1101">
        <v>3</v>
      </c>
      <c r="AE1101">
        <v>10</v>
      </c>
      <c r="AF1101">
        <v>8</v>
      </c>
      <c r="AG1101">
        <v>7</v>
      </c>
      <c r="AH1101">
        <v>7</v>
      </c>
      <c r="AI1101">
        <f>IF(tbl_HRData[[#This Row],[Attrition]] = "Yes",1,0)</f>
        <v>0</v>
      </c>
      <c r="AJ1101">
        <f>IF(tbl_HRData[[#This Row],[Attrition]] = "No",1,0)</f>
        <v>1</v>
      </c>
      <c r="AK1101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1101" s="1" t="str">
        <f>IF(tbl_HRData[[#This Row],[MonthlyIncome]]&lt;5000,"Low",
IF(tbl_HRData[[#This Row],[MonthlyIncome]]&lt;10000,"Medium",
IF(tbl_HRData[[#This Row],[MonthlyIncome]]&lt;15000,"Upper Medium","High")))</f>
        <v>Medium</v>
      </c>
      <c r="AM1101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102" spans="1:39" x14ac:dyDescent="0.35">
      <c r="A1102" s="1">
        <v>1101</v>
      </c>
      <c r="B1102">
        <v>35</v>
      </c>
      <c r="C1102" s="1" t="s">
        <v>40</v>
      </c>
      <c r="D1102" s="1" t="s">
        <v>34</v>
      </c>
      <c r="E1102">
        <v>1402</v>
      </c>
      <c r="F1102" s="1" t="s">
        <v>35</v>
      </c>
      <c r="G1102">
        <v>28</v>
      </c>
      <c r="H1102">
        <v>4</v>
      </c>
      <c r="I1102" s="1" t="s">
        <v>36</v>
      </c>
      <c r="J1102">
        <v>1554</v>
      </c>
      <c r="K1102">
        <v>2</v>
      </c>
      <c r="L1102" s="1" t="s">
        <v>37</v>
      </c>
      <c r="M1102">
        <v>98</v>
      </c>
      <c r="N1102">
        <v>2</v>
      </c>
      <c r="O1102">
        <v>1</v>
      </c>
      <c r="P1102" s="1" t="s">
        <v>54</v>
      </c>
      <c r="Q1102">
        <v>3</v>
      </c>
      <c r="R1102" s="1" t="s">
        <v>45</v>
      </c>
      <c r="S1102">
        <v>2430</v>
      </c>
      <c r="T1102">
        <v>26204</v>
      </c>
      <c r="U1102">
        <v>0</v>
      </c>
      <c r="V1102" s="1" t="s">
        <v>40</v>
      </c>
      <c r="W1102">
        <v>23</v>
      </c>
      <c r="X1102">
        <v>4</v>
      </c>
      <c r="Y1102">
        <v>1</v>
      </c>
      <c r="Z1102">
        <v>80</v>
      </c>
      <c r="AA1102">
        <v>2</v>
      </c>
      <c r="AB1102">
        <v>6</v>
      </c>
      <c r="AC1102">
        <v>5</v>
      </c>
      <c r="AD1102">
        <v>3</v>
      </c>
      <c r="AE1102">
        <v>5</v>
      </c>
      <c r="AF1102">
        <v>3</v>
      </c>
      <c r="AG1102">
        <v>4</v>
      </c>
      <c r="AH1102">
        <v>2</v>
      </c>
      <c r="AI1102">
        <f>IF(tbl_HRData[[#This Row],[Attrition]] = "Yes",1,0)</f>
        <v>0</v>
      </c>
      <c r="AJ1102">
        <f>IF(tbl_HRData[[#This Row],[Attrition]] = "No",1,0)</f>
        <v>1</v>
      </c>
      <c r="AK1102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102" s="1" t="str">
        <f>IF(tbl_HRData[[#This Row],[MonthlyIncome]]&lt;5000,"Low",
IF(tbl_HRData[[#This Row],[MonthlyIncome]]&lt;10000,"Medium",
IF(tbl_HRData[[#This Row],[MonthlyIncome]]&lt;15000,"Upper Medium","High")))</f>
        <v>Low</v>
      </c>
      <c r="AM1102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103" spans="1:39" x14ac:dyDescent="0.35">
      <c r="A1103" s="1">
        <v>1102</v>
      </c>
      <c r="B1103">
        <v>32</v>
      </c>
      <c r="C1103" s="1" t="s">
        <v>40</v>
      </c>
      <c r="D1103" s="1" t="s">
        <v>34</v>
      </c>
      <c r="E1103">
        <v>824</v>
      </c>
      <c r="F1103" s="1" t="s">
        <v>42</v>
      </c>
      <c r="G1103">
        <v>5</v>
      </c>
      <c r="H1103">
        <v>2</v>
      </c>
      <c r="I1103" s="1" t="s">
        <v>36</v>
      </c>
      <c r="J1103">
        <v>1555</v>
      </c>
      <c r="K1103">
        <v>4</v>
      </c>
      <c r="L1103" s="1" t="s">
        <v>37</v>
      </c>
      <c r="M1103">
        <v>67</v>
      </c>
      <c r="N1103">
        <v>2</v>
      </c>
      <c r="O1103">
        <v>2</v>
      </c>
      <c r="P1103" s="1" t="s">
        <v>44</v>
      </c>
      <c r="Q1103">
        <v>2</v>
      </c>
      <c r="R1103" s="1" t="s">
        <v>45</v>
      </c>
      <c r="S1103">
        <v>5878</v>
      </c>
      <c r="T1103">
        <v>15624</v>
      </c>
      <c r="U1103">
        <v>3</v>
      </c>
      <c r="V1103" s="1" t="s">
        <v>40</v>
      </c>
      <c r="W1103">
        <v>12</v>
      </c>
      <c r="X1103">
        <v>3</v>
      </c>
      <c r="Y1103">
        <v>1</v>
      </c>
      <c r="Z1103">
        <v>80</v>
      </c>
      <c r="AA1103">
        <v>1</v>
      </c>
      <c r="AB1103">
        <v>12</v>
      </c>
      <c r="AC1103">
        <v>2</v>
      </c>
      <c r="AD1103">
        <v>3</v>
      </c>
      <c r="AE1103">
        <v>7</v>
      </c>
      <c r="AF1103">
        <v>1</v>
      </c>
      <c r="AG1103">
        <v>2</v>
      </c>
      <c r="AH1103">
        <v>5</v>
      </c>
      <c r="AI1103">
        <f>IF(tbl_HRData[[#This Row],[Attrition]] = "Yes",1,0)</f>
        <v>0</v>
      </c>
      <c r="AJ1103">
        <f>IF(tbl_HRData[[#This Row],[Attrition]] = "No",1,0)</f>
        <v>1</v>
      </c>
      <c r="AK1103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103" s="1" t="str">
        <f>IF(tbl_HRData[[#This Row],[MonthlyIncome]]&lt;5000,"Low",
IF(tbl_HRData[[#This Row],[MonthlyIncome]]&lt;10000,"Medium",
IF(tbl_HRData[[#This Row],[MonthlyIncome]]&lt;15000,"Upper Medium","High")))</f>
        <v>Medium</v>
      </c>
      <c r="AM1103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104" spans="1:39" x14ac:dyDescent="0.35">
      <c r="A1104" s="1">
        <v>1103</v>
      </c>
      <c r="B1104">
        <v>36</v>
      </c>
      <c r="C1104" s="1" t="s">
        <v>40</v>
      </c>
      <c r="D1104" s="1" t="s">
        <v>34</v>
      </c>
      <c r="E1104">
        <v>1157</v>
      </c>
      <c r="F1104" s="1" t="s">
        <v>35</v>
      </c>
      <c r="G1104">
        <v>2</v>
      </c>
      <c r="H1104">
        <v>4</v>
      </c>
      <c r="I1104" s="1" t="s">
        <v>36</v>
      </c>
      <c r="J1104">
        <v>1556</v>
      </c>
      <c r="K1104">
        <v>3</v>
      </c>
      <c r="L1104" s="1" t="s">
        <v>43</v>
      </c>
      <c r="M1104">
        <v>70</v>
      </c>
      <c r="N1104">
        <v>3</v>
      </c>
      <c r="O1104">
        <v>1</v>
      </c>
      <c r="P1104" s="1" t="s">
        <v>54</v>
      </c>
      <c r="Q1104">
        <v>4</v>
      </c>
      <c r="R1104" s="1" t="s">
        <v>39</v>
      </c>
      <c r="S1104">
        <v>2644</v>
      </c>
      <c r="T1104">
        <v>17001</v>
      </c>
      <c r="U1104">
        <v>3</v>
      </c>
      <c r="V1104" s="1" t="s">
        <v>33</v>
      </c>
      <c r="W1104">
        <v>21</v>
      </c>
      <c r="X1104">
        <v>4</v>
      </c>
      <c r="Y1104">
        <v>4</v>
      </c>
      <c r="Z1104">
        <v>80</v>
      </c>
      <c r="AA1104">
        <v>0</v>
      </c>
      <c r="AB1104">
        <v>7</v>
      </c>
      <c r="AC1104">
        <v>3</v>
      </c>
      <c r="AD1104">
        <v>2</v>
      </c>
      <c r="AE1104">
        <v>3</v>
      </c>
      <c r="AF1104">
        <v>2</v>
      </c>
      <c r="AG1104">
        <v>1</v>
      </c>
      <c r="AH1104">
        <v>2</v>
      </c>
      <c r="AI1104">
        <f>IF(tbl_HRData[[#This Row],[Attrition]] = "Yes",1,0)</f>
        <v>0</v>
      </c>
      <c r="AJ1104">
        <f>IF(tbl_HRData[[#This Row],[Attrition]] = "No",1,0)</f>
        <v>1</v>
      </c>
      <c r="AK1104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104" s="1" t="str">
        <f>IF(tbl_HRData[[#This Row],[MonthlyIncome]]&lt;5000,"Low",
IF(tbl_HRData[[#This Row],[MonthlyIncome]]&lt;10000,"Medium",
IF(tbl_HRData[[#This Row],[MonthlyIncome]]&lt;15000,"Upper Medium","High")))</f>
        <v>Low</v>
      </c>
      <c r="AM1104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105" spans="1:39" x14ac:dyDescent="0.35">
      <c r="A1105" s="1">
        <v>1104</v>
      </c>
      <c r="B1105">
        <v>48</v>
      </c>
      <c r="C1105" s="1" t="s">
        <v>40</v>
      </c>
      <c r="D1105" s="1" t="s">
        <v>34</v>
      </c>
      <c r="E1105">
        <v>492</v>
      </c>
      <c r="F1105" s="1" t="s">
        <v>35</v>
      </c>
      <c r="G1105">
        <v>16</v>
      </c>
      <c r="H1105">
        <v>4</v>
      </c>
      <c r="I1105" s="1" t="s">
        <v>36</v>
      </c>
      <c r="J1105">
        <v>1557</v>
      </c>
      <c r="K1105">
        <v>3</v>
      </c>
      <c r="L1105" s="1" t="s">
        <v>37</v>
      </c>
      <c r="M1105">
        <v>96</v>
      </c>
      <c r="N1105">
        <v>3</v>
      </c>
      <c r="O1105">
        <v>2</v>
      </c>
      <c r="P1105" s="1" t="s">
        <v>38</v>
      </c>
      <c r="Q1105">
        <v>3</v>
      </c>
      <c r="R1105" s="1" t="s">
        <v>49</v>
      </c>
      <c r="S1105">
        <v>6439</v>
      </c>
      <c r="T1105">
        <v>13693</v>
      </c>
      <c r="U1105">
        <v>8</v>
      </c>
      <c r="V1105" s="1" t="s">
        <v>40</v>
      </c>
      <c r="W1105">
        <v>14</v>
      </c>
      <c r="X1105">
        <v>3</v>
      </c>
      <c r="Y1105">
        <v>3</v>
      </c>
      <c r="Z1105">
        <v>80</v>
      </c>
      <c r="AA1105">
        <v>1</v>
      </c>
      <c r="AB1105">
        <v>18</v>
      </c>
      <c r="AC1105">
        <v>2</v>
      </c>
      <c r="AD1105">
        <v>3</v>
      </c>
      <c r="AE1105">
        <v>8</v>
      </c>
      <c r="AF1105">
        <v>7</v>
      </c>
      <c r="AG1105">
        <v>7</v>
      </c>
      <c r="AH1105">
        <v>7</v>
      </c>
      <c r="AI1105">
        <f>IF(tbl_HRData[[#This Row],[Attrition]] = "Yes",1,0)</f>
        <v>0</v>
      </c>
      <c r="AJ1105">
        <f>IF(tbl_HRData[[#This Row],[Attrition]] = "No",1,0)</f>
        <v>1</v>
      </c>
      <c r="AK1105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1105" s="1" t="str">
        <f>IF(tbl_HRData[[#This Row],[MonthlyIncome]]&lt;5000,"Low",
IF(tbl_HRData[[#This Row],[MonthlyIncome]]&lt;10000,"Medium",
IF(tbl_HRData[[#This Row],[MonthlyIncome]]&lt;15000,"Upper Medium","High")))</f>
        <v>Medium</v>
      </c>
      <c r="AM1105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106" spans="1:39" x14ac:dyDescent="0.35">
      <c r="A1106" s="1">
        <v>1105</v>
      </c>
      <c r="B1106">
        <v>29</v>
      </c>
      <c r="C1106" s="1" t="s">
        <v>40</v>
      </c>
      <c r="D1106" s="1" t="s">
        <v>34</v>
      </c>
      <c r="E1106">
        <v>598</v>
      </c>
      <c r="F1106" s="1" t="s">
        <v>42</v>
      </c>
      <c r="G1106">
        <v>9</v>
      </c>
      <c r="H1106">
        <v>3</v>
      </c>
      <c r="I1106" s="1" t="s">
        <v>36</v>
      </c>
      <c r="J1106">
        <v>1558</v>
      </c>
      <c r="K1106">
        <v>3</v>
      </c>
      <c r="L1106" s="1" t="s">
        <v>43</v>
      </c>
      <c r="M1106">
        <v>91</v>
      </c>
      <c r="N1106">
        <v>4</v>
      </c>
      <c r="O1106">
        <v>1</v>
      </c>
      <c r="P1106" s="1" t="s">
        <v>44</v>
      </c>
      <c r="Q1106">
        <v>3</v>
      </c>
      <c r="R1106" s="1" t="s">
        <v>45</v>
      </c>
      <c r="S1106">
        <v>2451</v>
      </c>
      <c r="T1106">
        <v>22376</v>
      </c>
      <c r="U1106">
        <v>6</v>
      </c>
      <c r="V1106" s="1" t="s">
        <v>40</v>
      </c>
      <c r="W1106">
        <v>18</v>
      </c>
      <c r="X1106">
        <v>3</v>
      </c>
      <c r="Y1106">
        <v>1</v>
      </c>
      <c r="Z1106">
        <v>80</v>
      </c>
      <c r="AA1106">
        <v>2</v>
      </c>
      <c r="AB1106">
        <v>5</v>
      </c>
      <c r="AC1106">
        <v>2</v>
      </c>
      <c r="AD1106">
        <v>2</v>
      </c>
      <c r="AE1106">
        <v>1</v>
      </c>
      <c r="AF1106">
        <v>0</v>
      </c>
      <c r="AG1106">
        <v>0</v>
      </c>
      <c r="AH1106">
        <v>0</v>
      </c>
      <c r="AI1106">
        <f>IF(tbl_HRData[[#This Row],[Attrition]] = "Yes",1,0)</f>
        <v>0</v>
      </c>
      <c r="AJ1106">
        <f>IF(tbl_HRData[[#This Row],[Attrition]] = "No",1,0)</f>
        <v>1</v>
      </c>
      <c r="AK1106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106" s="1" t="str">
        <f>IF(tbl_HRData[[#This Row],[MonthlyIncome]]&lt;5000,"Low",
IF(tbl_HRData[[#This Row],[MonthlyIncome]]&lt;10000,"Medium",
IF(tbl_HRData[[#This Row],[MonthlyIncome]]&lt;15000,"Upper Medium","High")))</f>
        <v>Low</v>
      </c>
      <c r="AM1106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107" spans="1:39" x14ac:dyDescent="0.35">
      <c r="A1107" s="1">
        <v>1106</v>
      </c>
      <c r="B1107">
        <v>33</v>
      </c>
      <c r="C1107" s="1" t="s">
        <v>40</v>
      </c>
      <c r="D1107" s="1" t="s">
        <v>34</v>
      </c>
      <c r="E1107">
        <v>1242</v>
      </c>
      <c r="F1107" s="1" t="s">
        <v>35</v>
      </c>
      <c r="G1107">
        <v>8</v>
      </c>
      <c r="H1107">
        <v>4</v>
      </c>
      <c r="I1107" s="1" t="s">
        <v>36</v>
      </c>
      <c r="J1107">
        <v>1560</v>
      </c>
      <c r="K1107">
        <v>1</v>
      </c>
      <c r="L1107" s="1" t="s">
        <v>43</v>
      </c>
      <c r="M1107">
        <v>46</v>
      </c>
      <c r="N1107">
        <v>3</v>
      </c>
      <c r="O1107">
        <v>2</v>
      </c>
      <c r="P1107" s="1" t="s">
        <v>38</v>
      </c>
      <c r="Q1107">
        <v>1</v>
      </c>
      <c r="R1107" s="1" t="s">
        <v>45</v>
      </c>
      <c r="S1107">
        <v>6392</v>
      </c>
      <c r="T1107">
        <v>10589</v>
      </c>
      <c r="U1107">
        <v>2</v>
      </c>
      <c r="V1107" s="1" t="s">
        <v>40</v>
      </c>
      <c r="W1107">
        <v>13</v>
      </c>
      <c r="X1107">
        <v>3</v>
      </c>
      <c r="Y1107">
        <v>4</v>
      </c>
      <c r="Z1107">
        <v>80</v>
      </c>
      <c r="AA1107">
        <v>1</v>
      </c>
      <c r="AB1107">
        <v>8</v>
      </c>
      <c r="AC1107">
        <v>6</v>
      </c>
      <c r="AD1107">
        <v>1</v>
      </c>
      <c r="AE1107">
        <v>2</v>
      </c>
      <c r="AF1107">
        <v>2</v>
      </c>
      <c r="AG1107">
        <v>2</v>
      </c>
      <c r="AH1107">
        <v>2</v>
      </c>
      <c r="AI1107">
        <f>IF(tbl_HRData[[#This Row],[Attrition]] = "Yes",1,0)</f>
        <v>0</v>
      </c>
      <c r="AJ1107">
        <f>IF(tbl_HRData[[#This Row],[Attrition]] = "No",1,0)</f>
        <v>1</v>
      </c>
      <c r="AK1107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107" s="1" t="str">
        <f>IF(tbl_HRData[[#This Row],[MonthlyIncome]]&lt;5000,"Low",
IF(tbl_HRData[[#This Row],[MonthlyIncome]]&lt;10000,"Medium",
IF(tbl_HRData[[#This Row],[MonthlyIncome]]&lt;15000,"Upper Medium","High")))</f>
        <v>Medium</v>
      </c>
      <c r="AM1107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108" spans="1:39" x14ac:dyDescent="0.35">
      <c r="A1108" s="1">
        <v>1107</v>
      </c>
      <c r="B1108">
        <v>30</v>
      </c>
      <c r="C1108" s="1" t="s">
        <v>33</v>
      </c>
      <c r="D1108" s="1" t="s">
        <v>34</v>
      </c>
      <c r="E1108">
        <v>740</v>
      </c>
      <c r="F1108" s="1" t="s">
        <v>35</v>
      </c>
      <c r="G1108">
        <v>1</v>
      </c>
      <c r="H1108">
        <v>3</v>
      </c>
      <c r="I1108" s="1" t="s">
        <v>36</v>
      </c>
      <c r="J1108">
        <v>1562</v>
      </c>
      <c r="K1108">
        <v>2</v>
      </c>
      <c r="L1108" s="1" t="s">
        <v>43</v>
      </c>
      <c r="M1108">
        <v>64</v>
      </c>
      <c r="N1108">
        <v>2</v>
      </c>
      <c r="O1108">
        <v>2</v>
      </c>
      <c r="P1108" s="1" t="s">
        <v>38</v>
      </c>
      <c r="Q1108">
        <v>1</v>
      </c>
      <c r="R1108" s="1" t="s">
        <v>45</v>
      </c>
      <c r="S1108">
        <v>9714</v>
      </c>
      <c r="T1108">
        <v>5323</v>
      </c>
      <c r="U1108">
        <v>1</v>
      </c>
      <c r="V1108" s="1" t="s">
        <v>40</v>
      </c>
      <c r="W1108">
        <v>11</v>
      </c>
      <c r="X1108">
        <v>3</v>
      </c>
      <c r="Y1108">
        <v>4</v>
      </c>
      <c r="Z1108">
        <v>80</v>
      </c>
      <c r="AA1108">
        <v>1</v>
      </c>
      <c r="AB1108">
        <v>10</v>
      </c>
      <c r="AC1108">
        <v>4</v>
      </c>
      <c r="AD1108">
        <v>3</v>
      </c>
      <c r="AE1108">
        <v>10</v>
      </c>
      <c r="AF1108">
        <v>8</v>
      </c>
      <c r="AG1108">
        <v>6</v>
      </c>
      <c r="AH1108">
        <v>7</v>
      </c>
      <c r="AI1108">
        <f>IF(tbl_HRData[[#This Row],[Attrition]] = "Yes",1,0)</f>
        <v>1</v>
      </c>
      <c r="AJ1108">
        <f>IF(tbl_HRData[[#This Row],[Attrition]] = "No",1,0)</f>
        <v>0</v>
      </c>
      <c r="AK1108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108" s="1" t="str">
        <f>IF(tbl_HRData[[#This Row],[MonthlyIncome]]&lt;5000,"Low",
IF(tbl_HRData[[#This Row],[MonthlyIncome]]&lt;10000,"Medium",
IF(tbl_HRData[[#This Row],[MonthlyIncome]]&lt;15000,"Upper Medium","High")))</f>
        <v>Medium</v>
      </c>
      <c r="AM1108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109" spans="1:39" x14ac:dyDescent="0.35">
      <c r="A1109" s="1">
        <v>1108</v>
      </c>
      <c r="B1109">
        <v>38</v>
      </c>
      <c r="C1109" s="1" t="s">
        <v>40</v>
      </c>
      <c r="D1109" s="1" t="s">
        <v>41</v>
      </c>
      <c r="E1109">
        <v>888</v>
      </c>
      <c r="F1109" s="1" t="s">
        <v>58</v>
      </c>
      <c r="G1109">
        <v>10</v>
      </c>
      <c r="H1109">
        <v>4</v>
      </c>
      <c r="I1109" s="1" t="s">
        <v>58</v>
      </c>
      <c r="J1109">
        <v>1563</v>
      </c>
      <c r="K1109">
        <v>3</v>
      </c>
      <c r="L1109" s="1" t="s">
        <v>43</v>
      </c>
      <c r="M1109">
        <v>71</v>
      </c>
      <c r="N1109">
        <v>3</v>
      </c>
      <c r="O1109">
        <v>2</v>
      </c>
      <c r="P1109" s="1" t="s">
        <v>58</v>
      </c>
      <c r="Q1109">
        <v>3</v>
      </c>
      <c r="R1109" s="1" t="s">
        <v>45</v>
      </c>
      <c r="S1109">
        <v>6077</v>
      </c>
      <c r="T1109">
        <v>14814</v>
      </c>
      <c r="U1109">
        <v>3</v>
      </c>
      <c r="V1109" s="1" t="s">
        <v>40</v>
      </c>
      <c r="W1109">
        <v>11</v>
      </c>
      <c r="X1109">
        <v>3</v>
      </c>
      <c r="Y1109">
        <v>3</v>
      </c>
      <c r="Z1109">
        <v>80</v>
      </c>
      <c r="AA1109">
        <v>0</v>
      </c>
      <c r="AB1109">
        <v>10</v>
      </c>
      <c r="AC1109">
        <v>2</v>
      </c>
      <c r="AD1109">
        <v>3</v>
      </c>
      <c r="AE1109">
        <v>6</v>
      </c>
      <c r="AF1109">
        <v>3</v>
      </c>
      <c r="AG1109">
        <v>1</v>
      </c>
      <c r="AH1109">
        <v>2</v>
      </c>
      <c r="AI1109">
        <f>IF(tbl_HRData[[#This Row],[Attrition]] = "Yes",1,0)</f>
        <v>0</v>
      </c>
      <c r="AJ1109">
        <f>IF(tbl_HRData[[#This Row],[Attrition]] = "No",1,0)</f>
        <v>1</v>
      </c>
      <c r="AK1109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109" s="1" t="str">
        <f>IF(tbl_HRData[[#This Row],[MonthlyIncome]]&lt;5000,"Low",
IF(tbl_HRData[[#This Row],[MonthlyIncome]]&lt;10000,"Medium",
IF(tbl_HRData[[#This Row],[MonthlyIncome]]&lt;15000,"Upper Medium","High")))</f>
        <v>Medium</v>
      </c>
      <c r="AM1109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110" spans="1:39" x14ac:dyDescent="0.35">
      <c r="A1110" s="1">
        <v>1109</v>
      </c>
      <c r="B1110">
        <v>35</v>
      </c>
      <c r="C1110" s="1" t="s">
        <v>40</v>
      </c>
      <c r="D1110" s="1" t="s">
        <v>34</v>
      </c>
      <c r="E1110">
        <v>992</v>
      </c>
      <c r="F1110" s="1" t="s">
        <v>42</v>
      </c>
      <c r="G1110">
        <v>1</v>
      </c>
      <c r="H1110">
        <v>3</v>
      </c>
      <c r="I1110" s="1" t="s">
        <v>48</v>
      </c>
      <c r="J1110">
        <v>1564</v>
      </c>
      <c r="K1110">
        <v>4</v>
      </c>
      <c r="L1110" s="1" t="s">
        <v>43</v>
      </c>
      <c r="M1110">
        <v>68</v>
      </c>
      <c r="N1110">
        <v>2</v>
      </c>
      <c r="O1110">
        <v>1</v>
      </c>
      <c r="P1110" s="1" t="s">
        <v>47</v>
      </c>
      <c r="Q1110">
        <v>1</v>
      </c>
      <c r="R1110" s="1" t="s">
        <v>39</v>
      </c>
      <c r="S1110">
        <v>2450</v>
      </c>
      <c r="T1110">
        <v>21731</v>
      </c>
      <c r="U1110">
        <v>1</v>
      </c>
      <c r="V1110" s="1" t="s">
        <v>40</v>
      </c>
      <c r="W1110">
        <v>19</v>
      </c>
      <c r="X1110">
        <v>3</v>
      </c>
      <c r="Y1110">
        <v>2</v>
      </c>
      <c r="Z1110">
        <v>80</v>
      </c>
      <c r="AA1110">
        <v>0</v>
      </c>
      <c r="AB1110">
        <v>3</v>
      </c>
      <c r="AC1110">
        <v>3</v>
      </c>
      <c r="AD1110">
        <v>3</v>
      </c>
      <c r="AE1110">
        <v>3</v>
      </c>
      <c r="AF1110">
        <v>0</v>
      </c>
      <c r="AG1110">
        <v>1</v>
      </c>
      <c r="AH1110">
        <v>2</v>
      </c>
      <c r="AI1110">
        <f>IF(tbl_HRData[[#This Row],[Attrition]] = "Yes",1,0)</f>
        <v>0</v>
      </c>
      <c r="AJ1110">
        <f>IF(tbl_HRData[[#This Row],[Attrition]] = "No",1,0)</f>
        <v>1</v>
      </c>
      <c r="AK1110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110" s="1" t="str">
        <f>IF(tbl_HRData[[#This Row],[MonthlyIncome]]&lt;5000,"Low",
IF(tbl_HRData[[#This Row],[MonthlyIncome]]&lt;10000,"Medium",
IF(tbl_HRData[[#This Row],[MonthlyIncome]]&lt;15000,"Upper Medium","High")))</f>
        <v>Low</v>
      </c>
      <c r="AM1110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111" spans="1:39" x14ac:dyDescent="0.35">
      <c r="A1111" s="1">
        <v>1110</v>
      </c>
      <c r="B1111">
        <v>30</v>
      </c>
      <c r="C1111" s="1" t="s">
        <v>40</v>
      </c>
      <c r="D1111" s="1" t="s">
        <v>34</v>
      </c>
      <c r="E1111">
        <v>1288</v>
      </c>
      <c r="F1111" s="1" t="s">
        <v>35</v>
      </c>
      <c r="G1111">
        <v>29</v>
      </c>
      <c r="H1111">
        <v>4</v>
      </c>
      <c r="I1111" s="1" t="s">
        <v>57</v>
      </c>
      <c r="J1111">
        <v>1568</v>
      </c>
      <c r="K1111">
        <v>3</v>
      </c>
      <c r="L1111" s="1" t="s">
        <v>43</v>
      </c>
      <c r="M1111">
        <v>33</v>
      </c>
      <c r="N1111">
        <v>3</v>
      </c>
      <c r="O1111">
        <v>3</v>
      </c>
      <c r="P1111" s="1" t="s">
        <v>38</v>
      </c>
      <c r="Q1111">
        <v>2</v>
      </c>
      <c r="R1111" s="1" t="s">
        <v>45</v>
      </c>
      <c r="S1111">
        <v>9250</v>
      </c>
      <c r="T1111">
        <v>17799</v>
      </c>
      <c r="U1111">
        <v>3</v>
      </c>
      <c r="V1111" s="1" t="s">
        <v>40</v>
      </c>
      <c r="W1111">
        <v>12</v>
      </c>
      <c r="X1111">
        <v>3</v>
      </c>
      <c r="Y1111">
        <v>2</v>
      </c>
      <c r="Z1111">
        <v>80</v>
      </c>
      <c r="AA1111">
        <v>1</v>
      </c>
      <c r="AB1111">
        <v>9</v>
      </c>
      <c r="AC1111">
        <v>3</v>
      </c>
      <c r="AD1111">
        <v>3</v>
      </c>
      <c r="AE1111">
        <v>4</v>
      </c>
      <c r="AF1111">
        <v>2</v>
      </c>
      <c r="AG1111">
        <v>1</v>
      </c>
      <c r="AH1111">
        <v>3</v>
      </c>
      <c r="AI1111">
        <f>IF(tbl_HRData[[#This Row],[Attrition]] = "Yes",1,0)</f>
        <v>0</v>
      </c>
      <c r="AJ1111">
        <f>IF(tbl_HRData[[#This Row],[Attrition]] = "No",1,0)</f>
        <v>1</v>
      </c>
      <c r="AK1111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111" s="1" t="str">
        <f>IF(tbl_HRData[[#This Row],[MonthlyIncome]]&lt;5000,"Low",
IF(tbl_HRData[[#This Row],[MonthlyIncome]]&lt;10000,"Medium",
IF(tbl_HRData[[#This Row],[MonthlyIncome]]&lt;15000,"Upper Medium","High")))</f>
        <v>Medium</v>
      </c>
      <c r="AM1111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112" spans="1:39" x14ac:dyDescent="0.35">
      <c r="A1112" s="1">
        <v>1111</v>
      </c>
      <c r="B1112">
        <v>35</v>
      </c>
      <c r="C1112" s="1" t="s">
        <v>33</v>
      </c>
      <c r="D1112" s="1" t="s">
        <v>34</v>
      </c>
      <c r="E1112">
        <v>104</v>
      </c>
      <c r="F1112" s="1" t="s">
        <v>42</v>
      </c>
      <c r="G1112">
        <v>2</v>
      </c>
      <c r="H1112">
        <v>3</v>
      </c>
      <c r="I1112" s="1" t="s">
        <v>36</v>
      </c>
      <c r="J1112">
        <v>1569</v>
      </c>
      <c r="K1112">
        <v>1</v>
      </c>
      <c r="L1112" s="1" t="s">
        <v>37</v>
      </c>
      <c r="M1112">
        <v>69</v>
      </c>
      <c r="N1112">
        <v>3</v>
      </c>
      <c r="O1112">
        <v>1</v>
      </c>
      <c r="P1112" s="1" t="s">
        <v>47</v>
      </c>
      <c r="Q1112">
        <v>1</v>
      </c>
      <c r="R1112" s="1" t="s">
        <v>49</v>
      </c>
      <c r="S1112">
        <v>2074</v>
      </c>
      <c r="T1112">
        <v>26619</v>
      </c>
      <c r="U1112">
        <v>1</v>
      </c>
      <c r="V1112" s="1" t="s">
        <v>33</v>
      </c>
      <c r="W1112">
        <v>12</v>
      </c>
      <c r="X1112">
        <v>3</v>
      </c>
      <c r="Y1112">
        <v>4</v>
      </c>
      <c r="Z1112">
        <v>80</v>
      </c>
      <c r="AA1112">
        <v>1</v>
      </c>
      <c r="AB1112">
        <v>1</v>
      </c>
      <c r="AC1112">
        <v>2</v>
      </c>
      <c r="AD1112">
        <v>3</v>
      </c>
      <c r="AE1112">
        <v>1</v>
      </c>
      <c r="AF1112">
        <v>0</v>
      </c>
      <c r="AG1112">
        <v>0</v>
      </c>
      <c r="AH1112">
        <v>0</v>
      </c>
      <c r="AI1112">
        <f>IF(tbl_HRData[[#This Row],[Attrition]] = "Yes",1,0)</f>
        <v>1</v>
      </c>
      <c r="AJ1112">
        <f>IF(tbl_HRData[[#This Row],[Attrition]] = "No",1,0)</f>
        <v>0</v>
      </c>
      <c r="AK1112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112" s="1" t="str">
        <f>IF(tbl_HRData[[#This Row],[MonthlyIncome]]&lt;5000,"Low",
IF(tbl_HRData[[#This Row],[MonthlyIncome]]&lt;10000,"Medium",
IF(tbl_HRData[[#This Row],[MonthlyIncome]]&lt;15000,"Upper Medium","High")))</f>
        <v>Low</v>
      </c>
      <c r="AM1112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113" spans="1:39" x14ac:dyDescent="0.35">
      <c r="A1113" s="1">
        <v>1112</v>
      </c>
      <c r="B1113">
        <v>53</v>
      </c>
      <c r="C1113" s="1" t="s">
        <v>33</v>
      </c>
      <c r="D1113" s="1" t="s">
        <v>34</v>
      </c>
      <c r="E1113">
        <v>607</v>
      </c>
      <c r="F1113" s="1" t="s">
        <v>42</v>
      </c>
      <c r="G1113">
        <v>2</v>
      </c>
      <c r="H1113">
        <v>5</v>
      </c>
      <c r="I1113" s="1" t="s">
        <v>57</v>
      </c>
      <c r="J1113">
        <v>1572</v>
      </c>
      <c r="K1113">
        <v>3</v>
      </c>
      <c r="L1113" s="1" t="s">
        <v>37</v>
      </c>
      <c r="M1113">
        <v>78</v>
      </c>
      <c r="N1113">
        <v>2</v>
      </c>
      <c r="O1113">
        <v>3</v>
      </c>
      <c r="P1113" s="1" t="s">
        <v>50</v>
      </c>
      <c r="Q1113">
        <v>4</v>
      </c>
      <c r="R1113" s="1" t="s">
        <v>45</v>
      </c>
      <c r="S1113">
        <v>10169</v>
      </c>
      <c r="T1113">
        <v>14618</v>
      </c>
      <c r="U1113">
        <v>0</v>
      </c>
      <c r="V1113" s="1" t="s">
        <v>40</v>
      </c>
      <c r="W1113">
        <v>16</v>
      </c>
      <c r="X1113">
        <v>3</v>
      </c>
      <c r="Y1113">
        <v>2</v>
      </c>
      <c r="Z1113">
        <v>80</v>
      </c>
      <c r="AA1113">
        <v>1</v>
      </c>
      <c r="AB1113">
        <v>34</v>
      </c>
      <c r="AC1113">
        <v>4</v>
      </c>
      <c r="AD1113">
        <v>3</v>
      </c>
      <c r="AE1113">
        <v>33</v>
      </c>
      <c r="AF1113">
        <v>7</v>
      </c>
      <c r="AG1113">
        <v>1</v>
      </c>
      <c r="AH1113">
        <v>9</v>
      </c>
      <c r="AI1113">
        <f>IF(tbl_HRData[[#This Row],[Attrition]] = "Yes",1,0)</f>
        <v>1</v>
      </c>
      <c r="AJ1113">
        <f>IF(tbl_HRData[[#This Row],[Attrition]] = "No",1,0)</f>
        <v>0</v>
      </c>
      <c r="AK1113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1113" s="1" t="str">
        <f>IF(tbl_HRData[[#This Row],[MonthlyIncome]]&lt;5000,"Low",
IF(tbl_HRData[[#This Row],[MonthlyIncome]]&lt;10000,"Medium",
IF(tbl_HRData[[#This Row],[MonthlyIncome]]&lt;15000,"Upper Medium","High")))</f>
        <v>Upper Medium</v>
      </c>
      <c r="AM1113" s="1" t="str">
        <f>IF(tbl_HRData[[#This Row],[YearsAtCompany]]&lt;=5,"0-5 Years",
IF(tbl_HRData[[#This Row],[YearsAtCompany]]&lt;=10,"6-10 Years",
IF(tbl_HRData[[#This Row],[YearsAtCompany]]&lt;=20,"11-20 Years","21+ Years")))</f>
        <v>21+ Years</v>
      </c>
    </row>
    <row r="1114" spans="1:39" x14ac:dyDescent="0.35">
      <c r="A1114" s="1">
        <v>1113</v>
      </c>
      <c r="B1114">
        <v>38</v>
      </c>
      <c r="C1114" s="1" t="s">
        <v>33</v>
      </c>
      <c r="D1114" s="1" t="s">
        <v>34</v>
      </c>
      <c r="E1114">
        <v>903</v>
      </c>
      <c r="F1114" s="1" t="s">
        <v>42</v>
      </c>
      <c r="G1114">
        <v>2</v>
      </c>
      <c r="H1114">
        <v>3</v>
      </c>
      <c r="I1114" s="1" t="s">
        <v>48</v>
      </c>
      <c r="J1114">
        <v>1573</v>
      </c>
      <c r="K1114">
        <v>3</v>
      </c>
      <c r="L1114" s="1" t="s">
        <v>43</v>
      </c>
      <c r="M1114">
        <v>81</v>
      </c>
      <c r="N1114">
        <v>3</v>
      </c>
      <c r="O1114">
        <v>2</v>
      </c>
      <c r="P1114" s="1" t="s">
        <v>50</v>
      </c>
      <c r="Q1114">
        <v>2</v>
      </c>
      <c r="R1114" s="1" t="s">
        <v>45</v>
      </c>
      <c r="S1114">
        <v>4855</v>
      </c>
      <c r="T1114">
        <v>7653</v>
      </c>
      <c r="U1114">
        <v>4</v>
      </c>
      <c r="V1114" s="1" t="s">
        <v>40</v>
      </c>
      <c r="W1114">
        <v>11</v>
      </c>
      <c r="X1114">
        <v>3</v>
      </c>
      <c r="Y1114">
        <v>1</v>
      </c>
      <c r="Z1114">
        <v>80</v>
      </c>
      <c r="AA1114">
        <v>2</v>
      </c>
      <c r="AB1114">
        <v>7</v>
      </c>
      <c r="AC1114">
        <v>2</v>
      </c>
      <c r="AD1114">
        <v>3</v>
      </c>
      <c r="AE1114">
        <v>5</v>
      </c>
      <c r="AF1114">
        <v>2</v>
      </c>
      <c r="AG1114">
        <v>1</v>
      </c>
      <c r="AH1114">
        <v>4</v>
      </c>
      <c r="AI1114">
        <f>IF(tbl_HRData[[#This Row],[Attrition]] = "Yes",1,0)</f>
        <v>1</v>
      </c>
      <c r="AJ1114">
        <f>IF(tbl_HRData[[#This Row],[Attrition]] = "No",1,0)</f>
        <v>0</v>
      </c>
      <c r="AK1114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114" s="1" t="str">
        <f>IF(tbl_HRData[[#This Row],[MonthlyIncome]]&lt;5000,"Low",
IF(tbl_HRData[[#This Row],[MonthlyIncome]]&lt;10000,"Medium",
IF(tbl_HRData[[#This Row],[MonthlyIncome]]&lt;15000,"Upper Medium","High")))</f>
        <v>Low</v>
      </c>
      <c r="AM1114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115" spans="1:39" x14ac:dyDescent="0.35">
      <c r="A1115" s="1">
        <v>1114</v>
      </c>
      <c r="B1115">
        <v>32</v>
      </c>
      <c r="C1115" s="1" t="s">
        <v>40</v>
      </c>
      <c r="D1115" s="1" t="s">
        <v>52</v>
      </c>
      <c r="E1115">
        <v>1200</v>
      </c>
      <c r="F1115" s="1" t="s">
        <v>42</v>
      </c>
      <c r="G1115">
        <v>1</v>
      </c>
      <c r="H1115">
        <v>4</v>
      </c>
      <c r="I1115" s="1" t="s">
        <v>57</v>
      </c>
      <c r="J1115">
        <v>1574</v>
      </c>
      <c r="K1115">
        <v>4</v>
      </c>
      <c r="L1115" s="1" t="s">
        <v>43</v>
      </c>
      <c r="M1115">
        <v>62</v>
      </c>
      <c r="N1115">
        <v>3</v>
      </c>
      <c r="O1115">
        <v>2</v>
      </c>
      <c r="P1115" s="1" t="s">
        <v>44</v>
      </c>
      <c r="Q1115">
        <v>1</v>
      </c>
      <c r="R1115" s="1" t="s">
        <v>45</v>
      </c>
      <c r="S1115">
        <v>4087</v>
      </c>
      <c r="T1115">
        <v>25174</v>
      </c>
      <c r="U1115">
        <v>4</v>
      </c>
      <c r="V1115" s="1" t="s">
        <v>40</v>
      </c>
      <c r="W1115">
        <v>14</v>
      </c>
      <c r="X1115">
        <v>3</v>
      </c>
      <c r="Y1115">
        <v>2</v>
      </c>
      <c r="Z1115">
        <v>80</v>
      </c>
      <c r="AA1115">
        <v>1</v>
      </c>
      <c r="AB1115">
        <v>9</v>
      </c>
      <c r="AC1115">
        <v>3</v>
      </c>
      <c r="AD1115">
        <v>2</v>
      </c>
      <c r="AE1115">
        <v>6</v>
      </c>
      <c r="AF1115">
        <v>5</v>
      </c>
      <c r="AG1115">
        <v>1</v>
      </c>
      <c r="AH1115">
        <v>2</v>
      </c>
      <c r="AI1115">
        <f>IF(tbl_HRData[[#This Row],[Attrition]] = "Yes",1,0)</f>
        <v>0</v>
      </c>
      <c r="AJ1115">
        <f>IF(tbl_HRData[[#This Row],[Attrition]] = "No",1,0)</f>
        <v>1</v>
      </c>
      <c r="AK1115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115" s="1" t="str">
        <f>IF(tbl_HRData[[#This Row],[MonthlyIncome]]&lt;5000,"Low",
IF(tbl_HRData[[#This Row],[MonthlyIncome]]&lt;10000,"Medium",
IF(tbl_HRData[[#This Row],[MonthlyIncome]]&lt;15000,"Upper Medium","High")))</f>
        <v>Low</v>
      </c>
      <c r="AM1115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116" spans="1:39" x14ac:dyDescent="0.35">
      <c r="A1116" s="1">
        <v>1115</v>
      </c>
      <c r="B1116">
        <v>48</v>
      </c>
      <c r="C1116" s="1" t="s">
        <v>40</v>
      </c>
      <c r="D1116" s="1" t="s">
        <v>34</v>
      </c>
      <c r="E1116">
        <v>1108</v>
      </c>
      <c r="F1116" s="1" t="s">
        <v>42</v>
      </c>
      <c r="G1116">
        <v>15</v>
      </c>
      <c r="H1116">
        <v>4</v>
      </c>
      <c r="I1116" s="1" t="s">
        <v>46</v>
      </c>
      <c r="J1116">
        <v>1576</v>
      </c>
      <c r="K1116">
        <v>3</v>
      </c>
      <c r="L1116" s="1" t="s">
        <v>37</v>
      </c>
      <c r="M1116">
        <v>65</v>
      </c>
      <c r="N1116">
        <v>3</v>
      </c>
      <c r="O1116">
        <v>1</v>
      </c>
      <c r="P1116" s="1" t="s">
        <v>44</v>
      </c>
      <c r="Q1116">
        <v>1</v>
      </c>
      <c r="R1116" s="1" t="s">
        <v>45</v>
      </c>
      <c r="S1116">
        <v>2367</v>
      </c>
      <c r="T1116">
        <v>16530</v>
      </c>
      <c r="U1116">
        <v>8</v>
      </c>
      <c r="V1116" s="1" t="s">
        <v>40</v>
      </c>
      <c r="W1116">
        <v>12</v>
      </c>
      <c r="X1116">
        <v>3</v>
      </c>
      <c r="Y1116">
        <v>4</v>
      </c>
      <c r="Z1116">
        <v>80</v>
      </c>
      <c r="AA1116">
        <v>1</v>
      </c>
      <c r="AB1116">
        <v>10</v>
      </c>
      <c r="AC1116">
        <v>3</v>
      </c>
      <c r="AD1116">
        <v>2</v>
      </c>
      <c r="AE1116">
        <v>8</v>
      </c>
      <c r="AF1116">
        <v>2</v>
      </c>
      <c r="AG1116">
        <v>7</v>
      </c>
      <c r="AH1116">
        <v>6</v>
      </c>
      <c r="AI1116">
        <f>IF(tbl_HRData[[#This Row],[Attrition]] = "Yes",1,0)</f>
        <v>0</v>
      </c>
      <c r="AJ1116">
        <f>IF(tbl_HRData[[#This Row],[Attrition]] = "No",1,0)</f>
        <v>1</v>
      </c>
      <c r="AK1116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1116" s="1" t="str">
        <f>IF(tbl_HRData[[#This Row],[MonthlyIncome]]&lt;5000,"Low",
IF(tbl_HRData[[#This Row],[MonthlyIncome]]&lt;10000,"Medium",
IF(tbl_HRData[[#This Row],[MonthlyIncome]]&lt;15000,"Upper Medium","High")))</f>
        <v>Low</v>
      </c>
      <c r="AM1116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117" spans="1:39" x14ac:dyDescent="0.35">
      <c r="A1117" s="1">
        <v>1116</v>
      </c>
      <c r="B1117">
        <v>34</v>
      </c>
      <c r="C1117" s="1" t="s">
        <v>40</v>
      </c>
      <c r="D1117" s="1" t="s">
        <v>34</v>
      </c>
      <c r="E1117">
        <v>479</v>
      </c>
      <c r="F1117" s="1" t="s">
        <v>42</v>
      </c>
      <c r="G1117">
        <v>7</v>
      </c>
      <c r="H1117">
        <v>4</v>
      </c>
      <c r="I1117" s="1" t="s">
        <v>48</v>
      </c>
      <c r="J1117">
        <v>1577</v>
      </c>
      <c r="K1117">
        <v>1</v>
      </c>
      <c r="L1117" s="1" t="s">
        <v>43</v>
      </c>
      <c r="M1117">
        <v>35</v>
      </c>
      <c r="N1117">
        <v>3</v>
      </c>
      <c r="O1117">
        <v>1</v>
      </c>
      <c r="P1117" s="1" t="s">
        <v>44</v>
      </c>
      <c r="Q1117">
        <v>4</v>
      </c>
      <c r="R1117" s="1" t="s">
        <v>39</v>
      </c>
      <c r="S1117">
        <v>2972</v>
      </c>
      <c r="T1117">
        <v>22061</v>
      </c>
      <c r="U1117">
        <v>1</v>
      </c>
      <c r="V1117" s="1" t="s">
        <v>40</v>
      </c>
      <c r="W1117">
        <v>13</v>
      </c>
      <c r="X1117">
        <v>3</v>
      </c>
      <c r="Y1117">
        <v>3</v>
      </c>
      <c r="Z1117">
        <v>80</v>
      </c>
      <c r="AA1117">
        <v>0</v>
      </c>
      <c r="AB1117">
        <v>1</v>
      </c>
      <c r="AC1117">
        <v>4</v>
      </c>
      <c r="AD1117">
        <v>1</v>
      </c>
      <c r="AE1117">
        <v>1</v>
      </c>
      <c r="AF1117">
        <v>0</v>
      </c>
      <c r="AG1117">
        <v>0</v>
      </c>
      <c r="AH1117">
        <v>0</v>
      </c>
      <c r="AI1117">
        <f>IF(tbl_HRData[[#This Row],[Attrition]] = "Yes",1,0)</f>
        <v>0</v>
      </c>
      <c r="AJ1117">
        <f>IF(tbl_HRData[[#This Row],[Attrition]] = "No",1,0)</f>
        <v>1</v>
      </c>
      <c r="AK1117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117" s="1" t="str">
        <f>IF(tbl_HRData[[#This Row],[MonthlyIncome]]&lt;5000,"Low",
IF(tbl_HRData[[#This Row],[MonthlyIncome]]&lt;10000,"Medium",
IF(tbl_HRData[[#This Row],[MonthlyIncome]]&lt;15000,"Upper Medium","High")))</f>
        <v>Low</v>
      </c>
      <c r="AM1117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118" spans="1:39" x14ac:dyDescent="0.35">
      <c r="A1118" s="1">
        <v>1117</v>
      </c>
      <c r="B1118">
        <v>55</v>
      </c>
      <c r="C1118" s="1" t="s">
        <v>40</v>
      </c>
      <c r="D1118" s="1" t="s">
        <v>34</v>
      </c>
      <c r="E1118">
        <v>685</v>
      </c>
      <c r="F1118" s="1" t="s">
        <v>35</v>
      </c>
      <c r="G1118">
        <v>26</v>
      </c>
      <c r="H1118">
        <v>5</v>
      </c>
      <c r="I1118" s="1" t="s">
        <v>56</v>
      </c>
      <c r="J1118">
        <v>1578</v>
      </c>
      <c r="K1118">
        <v>3</v>
      </c>
      <c r="L1118" s="1" t="s">
        <v>43</v>
      </c>
      <c r="M1118">
        <v>60</v>
      </c>
      <c r="N1118">
        <v>2</v>
      </c>
      <c r="O1118">
        <v>5</v>
      </c>
      <c r="P1118" s="1" t="s">
        <v>53</v>
      </c>
      <c r="Q1118">
        <v>4</v>
      </c>
      <c r="R1118" s="1" t="s">
        <v>45</v>
      </c>
      <c r="S1118">
        <v>19586</v>
      </c>
      <c r="T1118">
        <v>23037</v>
      </c>
      <c r="U1118">
        <v>1</v>
      </c>
      <c r="V1118" s="1" t="s">
        <v>40</v>
      </c>
      <c r="W1118">
        <v>21</v>
      </c>
      <c r="X1118">
        <v>4</v>
      </c>
      <c r="Y1118">
        <v>3</v>
      </c>
      <c r="Z1118">
        <v>80</v>
      </c>
      <c r="AA1118">
        <v>1</v>
      </c>
      <c r="AB1118">
        <v>36</v>
      </c>
      <c r="AC1118">
        <v>3</v>
      </c>
      <c r="AD1118">
        <v>3</v>
      </c>
      <c r="AE1118">
        <v>36</v>
      </c>
      <c r="AF1118">
        <v>6</v>
      </c>
      <c r="AG1118">
        <v>2</v>
      </c>
      <c r="AH1118">
        <v>13</v>
      </c>
      <c r="AI1118">
        <f>IF(tbl_HRData[[#This Row],[Attrition]] = "Yes",1,0)</f>
        <v>0</v>
      </c>
      <c r="AJ1118">
        <f>IF(tbl_HRData[[#This Row],[Attrition]] = "No",1,0)</f>
        <v>1</v>
      </c>
      <c r="AK1118" t="str">
        <f>IF(tbl_HRData[[#This Row],[Age]] &lt; 25, "Under 25", IF(tbl_HRData[[#This Row],[Age]] &lt;= 34, "25-34", IF(tbl_HRData[[#This Row],[Age]] &lt;= 44, "35-44", IF(tbl_HRData[[#This Row],[Age]] &lt;= 54, "45-54", "55+"))))</f>
        <v>55+</v>
      </c>
      <c r="AL1118" s="1" t="str">
        <f>IF(tbl_HRData[[#This Row],[MonthlyIncome]]&lt;5000,"Low",
IF(tbl_HRData[[#This Row],[MonthlyIncome]]&lt;10000,"Medium",
IF(tbl_HRData[[#This Row],[MonthlyIncome]]&lt;15000,"Upper Medium","High")))</f>
        <v>High</v>
      </c>
      <c r="AM1118" s="1" t="str">
        <f>IF(tbl_HRData[[#This Row],[YearsAtCompany]]&lt;=5,"0-5 Years",
IF(tbl_HRData[[#This Row],[YearsAtCompany]]&lt;=10,"6-10 Years",
IF(tbl_HRData[[#This Row],[YearsAtCompany]]&lt;=20,"11-20 Years","21+ Years")))</f>
        <v>21+ Years</v>
      </c>
    </row>
    <row r="1119" spans="1:39" x14ac:dyDescent="0.35">
      <c r="A1119" s="1">
        <v>1118</v>
      </c>
      <c r="B1119">
        <v>34</v>
      </c>
      <c r="C1119" s="1" t="s">
        <v>40</v>
      </c>
      <c r="D1119" s="1" t="s">
        <v>34</v>
      </c>
      <c r="E1119">
        <v>1351</v>
      </c>
      <c r="F1119" s="1" t="s">
        <v>42</v>
      </c>
      <c r="G1119">
        <v>1</v>
      </c>
      <c r="H1119">
        <v>4</v>
      </c>
      <c r="I1119" s="1" t="s">
        <v>36</v>
      </c>
      <c r="J1119">
        <v>1580</v>
      </c>
      <c r="K1119">
        <v>2</v>
      </c>
      <c r="L1119" s="1" t="s">
        <v>43</v>
      </c>
      <c r="M1119">
        <v>45</v>
      </c>
      <c r="N1119">
        <v>3</v>
      </c>
      <c r="O1119">
        <v>2</v>
      </c>
      <c r="P1119" s="1" t="s">
        <v>44</v>
      </c>
      <c r="Q1119">
        <v>4</v>
      </c>
      <c r="R1119" s="1" t="s">
        <v>45</v>
      </c>
      <c r="S1119">
        <v>5484</v>
      </c>
      <c r="T1119">
        <v>13008</v>
      </c>
      <c r="U1119">
        <v>9</v>
      </c>
      <c r="V1119" s="1" t="s">
        <v>40</v>
      </c>
      <c r="W1119">
        <v>17</v>
      </c>
      <c r="X1119">
        <v>3</v>
      </c>
      <c r="Y1119">
        <v>2</v>
      </c>
      <c r="Z1119">
        <v>80</v>
      </c>
      <c r="AA1119">
        <v>1</v>
      </c>
      <c r="AB1119">
        <v>9</v>
      </c>
      <c r="AC1119">
        <v>3</v>
      </c>
      <c r="AD1119">
        <v>2</v>
      </c>
      <c r="AE1119">
        <v>2</v>
      </c>
      <c r="AF1119">
        <v>2</v>
      </c>
      <c r="AG1119">
        <v>2</v>
      </c>
      <c r="AH1119">
        <v>1</v>
      </c>
      <c r="AI1119">
        <f>IF(tbl_HRData[[#This Row],[Attrition]] = "Yes",1,0)</f>
        <v>0</v>
      </c>
      <c r="AJ1119">
        <f>IF(tbl_HRData[[#This Row],[Attrition]] = "No",1,0)</f>
        <v>1</v>
      </c>
      <c r="AK1119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119" s="1" t="str">
        <f>IF(tbl_HRData[[#This Row],[MonthlyIncome]]&lt;5000,"Low",
IF(tbl_HRData[[#This Row],[MonthlyIncome]]&lt;10000,"Medium",
IF(tbl_HRData[[#This Row],[MonthlyIncome]]&lt;15000,"Upper Medium","High")))</f>
        <v>Medium</v>
      </c>
      <c r="AM1119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120" spans="1:39" x14ac:dyDescent="0.35">
      <c r="A1120" s="1">
        <v>1119</v>
      </c>
      <c r="B1120">
        <v>26</v>
      </c>
      <c r="C1120" s="1" t="s">
        <v>40</v>
      </c>
      <c r="D1120" s="1" t="s">
        <v>34</v>
      </c>
      <c r="E1120">
        <v>474</v>
      </c>
      <c r="F1120" s="1" t="s">
        <v>42</v>
      </c>
      <c r="G1120">
        <v>3</v>
      </c>
      <c r="H1120">
        <v>3</v>
      </c>
      <c r="I1120" s="1" t="s">
        <v>36</v>
      </c>
      <c r="J1120">
        <v>1581</v>
      </c>
      <c r="K1120">
        <v>1</v>
      </c>
      <c r="L1120" s="1" t="s">
        <v>37</v>
      </c>
      <c r="M1120">
        <v>89</v>
      </c>
      <c r="N1120">
        <v>3</v>
      </c>
      <c r="O1120">
        <v>1</v>
      </c>
      <c r="P1120" s="1" t="s">
        <v>44</v>
      </c>
      <c r="Q1120">
        <v>4</v>
      </c>
      <c r="R1120" s="1" t="s">
        <v>45</v>
      </c>
      <c r="S1120">
        <v>2061</v>
      </c>
      <c r="T1120">
        <v>11133</v>
      </c>
      <c r="U1120">
        <v>1</v>
      </c>
      <c r="V1120" s="1" t="s">
        <v>40</v>
      </c>
      <c r="W1120">
        <v>21</v>
      </c>
      <c r="X1120">
        <v>4</v>
      </c>
      <c r="Y1120">
        <v>1</v>
      </c>
      <c r="Z1120">
        <v>80</v>
      </c>
      <c r="AA1120">
        <v>0</v>
      </c>
      <c r="AB1120">
        <v>1</v>
      </c>
      <c r="AC1120">
        <v>5</v>
      </c>
      <c r="AD1120">
        <v>3</v>
      </c>
      <c r="AE1120">
        <v>1</v>
      </c>
      <c r="AF1120">
        <v>0</v>
      </c>
      <c r="AG1120">
        <v>0</v>
      </c>
      <c r="AH1120">
        <v>0</v>
      </c>
      <c r="AI1120">
        <f>IF(tbl_HRData[[#This Row],[Attrition]] = "Yes",1,0)</f>
        <v>0</v>
      </c>
      <c r="AJ1120">
        <f>IF(tbl_HRData[[#This Row],[Attrition]] = "No",1,0)</f>
        <v>1</v>
      </c>
      <c r="AK1120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120" s="1" t="str">
        <f>IF(tbl_HRData[[#This Row],[MonthlyIncome]]&lt;5000,"Low",
IF(tbl_HRData[[#This Row],[MonthlyIncome]]&lt;10000,"Medium",
IF(tbl_HRData[[#This Row],[MonthlyIncome]]&lt;15000,"Upper Medium","High")))</f>
        <v>Low</v>
      </c>
      <c r="AM1120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121" spans="1:39" x14ac:dyDescent="0.35">
      <c r="A1121" s="1">
        <v>1120</v>
      </c>
      <c r="B1121">
        <v>38</v>
      </c>
      <c r="C1121" s="1" t="s">
        <v>40</v>
      </c>
      <c r="D1121" s="1" t="s">
        <v>34</v>
      </c>
      <c r="E1121">
        <v>1245</v>
      </c>
      <c r="F1121" s="1" t="s">
        <v>35</v>
      </c>
      <c r="G1121">
        <v>14</v>
      </c>
      <c r="H1121">
        <v>3</v>
      </c>
      <c r="I1121" s="1" t="s">
        <v>36</v>
      </c>
      <c r="J1121">
        <v>1582</v>
      </c>
      <c r="K1121">
        <v>3</v>
      </c>
      <c r="L1121" s="1" t="s">
        <v>43</v>
      </c>
      <c r="M1121">
        <v>80</v>
      </c>
      <c r="N1121">
        <v>3</v>
      </c>
      <c r="O1121">
        <v>2</v>
      </c>
      <c r="P1121" s="1" t="s">
        <v>38</v>
      </c>
      <c r="Q1121">
        <v>2</v>
      </c>
      <c r="R1121" s="1" t="s">
        <v>45</v>
      </c>
      <c r="S1121">
        <v>9924</v>
      </c>
      <c r="T1121">
        <v>12355</v>
      </c>
      <c r="U1121">
        <v>0</v>
      </c>
      <c r="V1121" s="1" t="s">
        <v>40</v>
      </c>
      <c r="W1121">
        <v>11</v>
      </c>
      <c r="X1121">
        <v>3</v>
      </c>
      <c r="Y1121">
        <v>4</v>
      </c>
      <c r="Z1121">
        <v>80</v>
      </c>
      <c r="AA1121">
        <v>1</v>
      </c>
      <c r="AB1121">
        <v>10</v>
      </c>
      <c r="AC1121">
        <v>3</v>
      </c>
      <c r="AD1121">
        <v>3</v>
      </c>
      <c r="AE1121">
        <v>9</v>
      </c>
      <c r="AF1121">
        <v>8</v>
      </c>
      <c r="AG1121">
        <v>7</v>
      </c>
      <c r="AH1121">
        <v>7</v>
      </c>
      <c r="AI1121">
        <f>IF(tbl_HRData[[#This Row],[Attrition]] = "Yes",1,0)</f>
        <v>0</v>
      </c>
      <c r="AJ1121">
        <f>IF(tbl_HRData[[#This Row],[Attrition]] = "No",1,0)</f>
        <v>1</v>
      </c>
      <c r="AK1121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121" s="1" t="str">
        <f>IF(tbl_HRData[[#This Row],[MonthlyIncome]]&lt;5000,"Low",
IF(tbl_HRData[[#This Row],[MonthlyIncome]]&lt;10000,"Medium",
IF(tbl_HRData[[#This Row],[MonthlyIncome]]&lt;15000,"Upper Medium","High")))</f>
        <v>Medium</v>
      </c>
      <c r="AM1121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122" spans="1:39" x14ac:dyDescent="0.35">
      <c r="A1122" s="1">
        <v>1121</v>
      </c>
      <c r="B1122">
        <v>38</v>
      </c>
      <c r="C1122" s="1" t="s">
        <v>40</v>
      </c>
      <c r="D1122" s="1" t="s">
        <v>34</v>
      </c>
      <c r="E1122">
        <v>437</v>
      </c>
      <c r="F1122" s="1" t="s">
        <v>35</v>
      </c>
      <c r="G1122">
        <v>16</v>
      </c>
      <c r="H1122">
        <v>3</v>
      </c>
      <c r="I1122" s="1" t="s">
        <v>36</v>
      </c>
      <c r="J1122">
        <v>1583</v>
      </c>
      <c r="K1122">
        <v>2</v>
      </c>
      <c r="L1122" s="1" t="s">
        <v>37</v>
      </c>
      <c r="M1122">
        <v>90</v>
      </c>
      <c r="N1122">
        <v>3</v>
      </c>
      <c r="O1122">
        <v>2</v>
      </c>
      <c r="P1122" s="1" t="s">
        <v>38</v>
      </c>
      <c r="Q1122">
        <v>2</v>
      </c>
      <c r="R1122" s="1" t="s">
        <v>39</v>
      </c>
      <c r="S1122">
        <v>4198</v>
      </c>
      <c r="T1122">
        <v>16379</v>
      </c>
      <c r="U1122">
        <v>2</v>
      </c>
      <c r="V1122" s="1" t="s">
        <v>40</v>
      </c>
      <c r="W1122">
        <v>12</v>
      </c>
      <c r="X1122">
        <v>3</v>
      </c>
      <c r="Y1122">
        <v>2</v>
      </c>
      <c r="Z1122">
        <v>80</v>
      </c>
      <c r="AA1122">
        <v>0</v>
      </c>
      <c r="AB1122">
        <v>8</v>
      </c>
      <c r="AC1122">
        <v>5</v>
      </c>
      <c r="AD1122">
        <v>4</v>
      </c>
      <c r="AE1122">
        <v>3</v>
      </c>
      <c r="AF1122">
        <v>2</v>
      </c>
      <c r="AG1122">
        <v>1</v>
      </c>
      <c r="AH1122">
        <v>2</v>
      </c>
      <c r="AI1122">
        <f>IF(tbl_HRData[[#This Row],[Attrition]] = "Yes",1,0)</f>
        <v>0</v>
      </c>
      <c r="AJ1122">
        <f>IF(tbl_HRData[[#This Row],[Attrition]] = "No",1,0)</f>
        <v>1</v>
      </c>
      <c r="AK1122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122" s="1" t="str">
        <f>IF(tbl_HRData[[#This Row],[MonthlyIncome]]&lt;5000,"Low",
IF(tbl_HRData[[#This Row],[MonthlyIncome]]&lt;10000,"Medium",
IF(tbl_HRData[[#This Row],[MonthlyIncome]]&lt;15000,"Upper Medium","High")))</f>
        <v>Low</v>
      </c>
      <c r="AM1122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123" spans="1:39" x14ac:dyDescent="0.35">
      <c r="A1123" s="1">
        <v>1122</v>
      </c>
      <c r="B1123">
        <v>36</v>
      </c>
      <c r="C1123" s="1" t="s">
        <v>40</v>
      </c>
      <c r="D1123" s="1" t="s">
        <v>34</v>
      </c>
      <c r="E1123">
        <v>884</v>
      </c>
      <c r="F1123" s="1" t="s">
        <v>35</v>
      </c>
      <c r="G1123">
        <v>1</v>
      </c>
      <c r="H1123">
        <v>4</v>
      </c>
      <c r="I1123" s="1" t="s">
        <v>36</v>
      </c>
      <c r="J1123">
        <v>1585</v>
      </c>
      <c r="K1123">
        <v>2</v>
      </c>
      <c r="L1123" s="1" t="s">
        <v>37</v>
      </c>
      <c r="M1123">
        <v>73</v>
      </c>
      <c r="N1123">
        <v>3</v>
      </c>
      <c r="O1123">
        <v>2</v>
      </c>
      <c r="P1123" s="1" t="s">
        <v>38</v>
      </c>
      <c r="Q1123">
        <v>3</v>
      </c>
      <c r="R1123" s="1" t="s">
        <v>39</v>
      </c>
      <c r="S1123">
        <v>6815</v>
      </c>
      <c r="T1123">
        <v>21447</v>
      </c>
      <c r="U1123">
        <v>6</v>
      </c>
      <c r="V1123" s="1" t="s">
        <v>40</v>
      </c>
      <c r="W1123">
        <v>13</v>
      </c>
      <c r="X1123">
        <v>3</v>
      </c>
      <c r="Y1123">
        <v>1</v>
      </c>
      <c r="Z1123">
        <v>80</v>
      </c>
      <c r="AA1123">
        <v>0</v>
      </c>
      <c r="AB1123">
        <v>15</v>
      </c>
      <c r="AC1123">
        <v>5</v>
      </c>
      <c r="AD1123">
        <v>3</v>
      </c>
      <c r="AE1123">
        <v>1</v>
      </c>
      <c r="AF1123">
        <v>0</v>
      </c>
      <c r="AG1123">
        <v>0</v>
      </c>
      <c r="AH1123">
        <v>0</v>
      </c>
      <c r="AI1123">
        <f>IF(tbl_HRData[[#This Row],[Attrition]] = "Yes",1,0)</f>
        <v>0</v>
      </c>
      <c r="AJ1123">
        <f>IF(tbl_HRData[[#This Row],[Attrition]] = "No",1,0)</f>
        <v>1</v>
      </c>
      <c r="AK1123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123" s="1" t="str">
        <f>IF(tbl_HRData[[#This Row],[MonthlyIncome]]&lt;5000,"Low",
IF(tbl_HRData[[#This Row],[MonthlyIncome]]&lt;10000,"Medium",
IF(tbl_HRData[[#This Row],[MonthlyIncome]]&lt;15000,"Upper Medium","High")))</f>
        <v>Medium</v>
      </c>
      <c r="AM1123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124" spans="1:39" x14ac:dyDescent="0.35">
      <c r="A1124" s="1">
        <v>1123</v>
      </c>
      <c r="B1124">
        <v>29</v>
      </c>
      <c r="C1124" s="1" t="s">
        <v>40</v>
      </c>
      <c r="D1124" s="1" t="s">
        <v>34</v>
      </c>
      <c r="E1124">
        <v>1370</v>
      </c>
      <c r="F1124" s="1" t="s">
        <v>42</v>
      </c>
      <c r="G1124">
        <v>3</v>
      </c>
      <c r="H1124">
        <v>1</v>
      </c>
      <c r="I1124" s="1" t="s">
        <v>48</v>
      </c>
      <c r="J1124">
        <v>1586</v>
      </c>
      <c r="K1124">
        <v>2</v>
      </c>
      <c r="L1124" s="1" t="s">
        <v>43</v>
      </c>
      <c r="M1124">
        <v>87</v>
      </c>
      <c r="N1124">
        <v>3</v>
      </c>
      <c r="O1124">
        <v>1</v>
      </c>
      <c r="P1124" s="1" t="s">
        <v>47</v>
      </c>
      <c r="Q1124">
        <v>1</v>
      </c>
      <c r="R1124" s="1" t="s">
        <v>39</v>
      </c>
      <c r="S1124">
        <v>4723</v>
      </c>
      <c r="T1124">
        <v>16213</v>
      </c>
      <c r="U1124">
        <v>1</v>
      </c>
      <c r="V1124" s="1" t="s">
        <v>33</v>
      </c>
      <c r="W1124">
        <v>18</v>
      </c>
      <c r="X1124">
        <v>3</v>
      </c>
      <c r="Y1124">
        <v>4</v>
      </c>
      <c r="Z1124">
        <v>80</v>
      </c>
      <c r="AA1124">
        <v>0</v>
      </c>
      <c r="AB1124">
        <v>10</v>
      </c>
      <c r="AC1124">
        <v>3</v>
      </c>
      <c r="AD1124">
        <v>3</v>
      </c>
      <c r="AE1124">
        <v>10</v>
      </c>
      <c r="AF1124">
        <v>9</v>
      </c>
      <c r="AG1124">
        <v>1</v>
      </c>
      <c r="AH1124">
        <v>5</v>
      </c>
      <c r="AI1124">
        <f>IF(tbl_HRData[[#This Row],[Attrition]] = "Yes",1,0)</f>
        <v>0</v>
      </c>
      <c r="AJ1124">
        <f>IF(tbl_HRData[[#This Row],[Attrition]] = "No",1,0)</f>
        <v>1</v>
      </c>
      <c r="AK1124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124" s="1" t="str">
        <f>IF(tbl_HRData[[#This Row],[MonthlyIncome]]&lt;5000,"Low",
IF(tbl_HRData[[#This Row],[MonthlyIncome]]&lt;10000,"Medium",
IF(tbl_HRData[[#This Row],[MonthlyIncome]]&lt;15000,"Upper Medium","High")))</f>
        <v>Low</v>
      </c>
      <c r="AM1124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125" spans="1:39" x14ac:dyDescent="0.35">
      <c r="A1125" s="1">
        <v>1124</v>
      </c>
      <c r="B1125">
        <v>35</v>
      </c>
      <c r="C1125" s="1" t="s">
        <v>40</v>
      </c>
      <c r="D1125" s="1" t="s">
        <v>34</v>
      </c>
      <c r="E1125">
        <v>670</v>
      </c>
      <c r="F1125" s="1" t="s">
        <v>42</v>
      </c>
      <c r="G1125">
        <v>10</v>
      </c>
      <c r="H1125">
        <v>4</v>
      </c>
      <c r="I1125" s="1" t="s">
        <v>48</v>
      </c>
      <c r="J1125">
        <v>1587</v>
      </c>
      <c r="K1125">
        <v>1</v>
      </c>
      <c r="L1125" s="1" t="s">
        <v>37</v>
      </c>
      <c r="M1125">
        <v>51</v>
      </c>
      <c r="N1125">
        <v>3</v>
      </c>
      <c r="O1125">
        <v>2</v>
      </c>
      <c r="P1125" s="1" t="s">
        <v>51</v>
      </c>
      <c r="Q1125">
        <v>3</v>
      </c>
      <c r="R1125" s="1" t="s">
        <v>39</v>
      </c>
      <c r="S1125">
        <v>6142</v>
      </c>
      <c r="T1125">
        <v>4223</v>
      </c>
      <c r="U1125">
        <v>3</v>
      </c>
      <c r="V1125" s="1" t="s">
        <v>33</v>
      </c>
      <c r="W1125">
        <v>16</v>
      </c>
      <c r="X1125">
        <v>3</v>
      </c>
      <c r="Y1125">
        <v>3</v>
      </c>
      <c r="Z1125">
        <v>80</v>
      </c>
      <c r="AA1125">
        <v>0</v>
      </c>
      <c r="AB1125">
        <v>10</v>
      </c>
      <c r="AC1125">
        <v>4</v>
      </c>
      <c r="AD1125">
        <v>3</v>
      </c>
      <c r="AE1125">
        <v>5</v>
      </c>
      <c r="AF1125">
        <v>2</v>
      </c>
      <c r="AG1125">
        <v>0</v>
      </c>
      <c r="AH1125">
        <v>4</v>
      </c>
      <c r="AI1125">
        <f>IF(tbl_HRData[[#This Row],[Attrition]] = "Yes",1,0)</f>
        <v>0</v>
      </c>
      <c r="AJ1125">
        <f>IF(tbl_HRData[[#This Row],[Attrition]] = "No",1,0)</f>
        <v>1</v>
      </c>
      <c r="AK1125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125" s="1" t="str">
        <f>IF(tbl_HRData[[#This Row],[MonthlyIncome]]&lt;5000,"Low",
IF(tbl_HRData[[#This Row],[MonthlyIncome]]&lt;10000,"Medium",
IF(tbl_HRData[[#This Row],[MonthlyIncome]]&lt;15000,"Upper Medium","High")))</f>
        <v>Medium</v>
      </c>
      <c r="AM1125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126" spans="1:39" x14ac:dyDescent="0.35">
      <c r="A1126" s="1">
        <v>1125</v>
      </c>
      <c r="B1126">
        <v>39</v>
      </c>
      <c r="C1126" s="1" t="s">
        <v>40</v>
      </c>
      <c r="D1126" s="1" t="s">
        <v>34</v>
      </c>
      <c r="E1126">
        <v>1462</v>
      </c>
      <c r="F1126" s="1" t="s">
        <v>35</v>
      </c>
      <c r="G1126">
        <v>6</v>
      </c>
      <c r="H1126">
        <v>3</v>
      </c>
      <c r="I1126" s="1" t="s">
        <v>48</v>
      </c>
      <c r="J1126">
        <v>1588</v>
      </c>
      <c r="K1126">
        <v>4</v>
      </c>
      <c r="L1126" s="1" t="s">
        <v>43</v>
      </c>
      <c r="M1126">
        <v>38</v>
      </c>
      <c r="N1126">
        <v>4</v>
      </c>
      <c r="O1126">
        <v>3</v>
      </c>
      <c r="P1126" s="1" t="s">
        <v>38</v>
      </c>
      <c r="Q1126">
        <v>3</v>
      </c>
      <c r="R1126" s="1" t="s">
        <v>45</v>
      </c>
      <c r="S1126">
        <v>8237</v>
      </c>
      <c r="T1126">
        <v>4658</v>
      </c>
      <c r="U1126">
        <v>2</v>
      </c>
      <c r="V1126" s="1" t="s">
        <v>40</v>
      </c>
      <c r="W1126">
        <v>11</v>
      </c>
      <c r="X1126">
        <v>3</v>
      </c>
      <c r="Y1126">
        <v>1</v>
      </c>
      <c r="Z1126">
        <v>80</v>
      </c>
      <c r="AA1126">
        <v>1</v>
      </c>
      <c r="AB1126">
        <v>11</v>
      </c>
      <c r="AC1126">
        <v>3</v>
      </c>
      <c r="AD1126">
        <v>3</v>
      </c>
      <c r="AE1126">
        <v>7</v>
      </c>
      <c r="AF1126">
        <v>6</v>
      </c>
      <c r="AG1126">
        <v>7</v>
      </c>
      <c r="AH1126">
        <v>6</v>
      </c>
      <c r="AI1126">
        <f>IF(tbl_HRData[[#This Row],[Attrition]] = "Yes",1,0)</f>
        <v>0</v>
      </c>
      <c r="AJ1126">
        <f>IF(tbl_HRData[[#This Row],[Attrition]] = "No",1,0)</f>
        <v>1</v>
      </c>
      <c r="AK1126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126" s="1" t="str">
        <f>IF(tbl_HRData[[#This Row],[MonthlyIncome]]&lt;5000,"Low",
IF(tbl_HRData[[#This Row],[MonthlyIncome]]&lt;10000,"Medium",
IF(tbl_HRData[[#This Row],[MonthlyIncome]]&lt;15000,"Upper Medium","High")))</f>
        <v>Medium</v>
      </c>
      <c r="AM1126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127" spans="1:39" x14ac:dyDescent="0.35">
      <c r="A1127" s="1">
        <v>1126</v>
      </c>
      <c r="B1127">
        <v>29</v>
      </c>
      <c r="C1127" s="1" t="s">
        <v>40</v>
      </c>
      <c r="D1127" s="1" t="s">
        <v>41</v>
      </c>
      <c r="E1127">
        <v>995</v>
      </c>
      <c r="F1127" s="1" t="s">
        <v>42</v>
      </c>
      <c r="G1127">
        <v>2</v>
      </c>
      <c r="H1127">
        <v>1</v>
      </c>
      <c r="I1127" s="1" t="s">
        <v>36</v>
      </c>
      <c r="J1127">
        <v>1590</v>
      </c>
      <c r="K1127">
        <v>1</v>
      </c>
      <c r="L1127" s="1" t="s">
        <v>43</v>
      </c>
      <c r="M1127">
        <v>87</v>
      </c>
      <c r="N1127">
        <v>3</v>
      </c>
      <c r="O1127">
        <v>2</v>
      </c>
      <c r="P1127" s="1" t="s">
        <v>51</v>
      </c>
      <c r="Q1127">
        <v>4</v>
      </c>
      <c r="R1127" s="1" t="s">
        <v>49</v>
      </c>
      <c r="S1127">
        <v>8853</v>
      </c>
      <c r="T1127">
        <v>24483</v>
      </c>
      <c r="U1127">
        <v>1</v>
      </c>
      <c r="V1127" s="1" t="s">
        <v>40</v>
      </c>
      <c r="W1127">
        <v>19</v>
      </c>
      <c r="X1127">
        <v>3</v>
      </c>
      <c r="Y1127">
        <v>4</v>
      </c>
      <c r="Z1127">
        <v>80</v>
      </c>
      <c r="AA1127">
        <v>1</v>
      </c>
      <c r="AB1127">
        <v>6</v>
      </c>
      <c r="AC1127">
        <v>0</v>
      </c>
      <c r="AD1127">
        <v>4</v>
      </c>
      <c r="AE1127">
        <v>6</v>
      </c>
      <c r="AF1127">
        <v>4</v>
      </c>
      <c r="AG1127">
        <v>1</v>
      </c>
      <c r="AH1127">
        <v>3</v>
      </c>
      <c r="AI1127">
        <f>IF(tbl_HRData[[#This Row],[Attrition]] = "Yes",1,0)</f>
        <v>0</v>
      </c>
      <c r="AJ1127">
        <f>IF(tbl_HRData[[#This Row],[Attrition]] = "No",1,0)</f>
        <v>1</v>
      </c>
      <c r="AK1127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127" s="1" t="str">
        <f>IF(tbl_HRData[[#This Row],[MonthlyIncome]]&lt;5000,"Low",
IF(tbl_HRData[[#This Row],[MonthlyIncome]]&lt;10000,"Medium",
IF(tbl_HRData[[#This Row],[MonthlyIncome]]&lt;15000,"Upper Medium","High")))</f>
        <v>Medium</v>
      </c>
      <c r="AM1127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128" spans="1:39" x14ac:dyDescent="0.35">
      <c r="A1128" s="1">
        <v>1127</v>
      </c>
      <c r="B1128">
        <v>50</v>
      </c>
      <c r="C1128" s="1" t="s">
        <v>40</v>
      </c>
      <c r="D1128" s="1" t="s">
        <v>34</v>
      </c>
      <c r="E1128">
        <v>264</v>
      </c>
      <c r="F1128" s="1" t="s">
        <v>35</v>
      </c>
      <c r="G1128">
        <v>9</v>
      </c>
      <c r="H1128">
        <v>3</v>
      </c>
      <c r="I1128" s="1" t="s">
        <v>56</v>
      </c>
      <c r="J1128">
        <v>1591</v>
      </c>
      <c r="K1128">
        <v>3</v>
      </c>
      <c r="L1128" s="1" t="s">
        <v>43</v>
      </c>
      <c r="M1128">
        <v>59</v>
      </c>
      <c r="N1128">
        <v>3</v>
      </c>
      <c r="O1128">
        <v>5</v>
      </c>
      <c r="P1128" s="1" t="s">
        <v>53</v>
      </c>
      <c r="Q1128">
        <v>3</v>
      </c>
      <c r="R1128" s="1" t="s">
        <v>45</v>
      </c>
      <c r="S1128">
        <v>19331</v>
      </c>
      <c r="T1128">
        <v>19519</v>
      </c>
      <c r="U1128">
        <v>4</v>
      </c>
      <c r="V1128" s="1" t="s">
        <v>33</v>
      </c>
      <c r="W1128">
        <v>16</v>
      </c>
      <c r="X1128">
        <v>3</v>
      </c>
      <c r="Y1128">
        <v>3</v>
      </c>
      <c r="Z1128">
        <v>80</v>
      </c>
      <c r="AA1128">
        <v>1</v>
      </c>
      <c r="AB1128">
        <v>27</v>
      </c>
      <c r="AC1128">
        <v>2</v>
      </c>
      <c r="AD1128">
        <v>3</v>
      </c>
      <c r="AE1128">
        <v>1</v>
      </c>
      <c r="AF1128">
        <v>0</v>
      </c>
      <c r="AG1128">
        <v>0</v>
      </c>
      <c r="AH1128">
        <v>0</v>
      </c>
      <c r="AI1128">
        <f>IF(tbl_HRData[[#This Row],[Attrition]] = "Yes",1,0)</f>
        <v>0</v>
      </c>
      <c r="AJ1128">
        <f>IF(tbl_HRData[[#This Row],[Attrition]] = "No",1,0)</f>
        <v>1</v>
      </c>
      <c r="AK1128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1128" s="1" t="str">
        <f>IF(tbl_HRData[[#This Row],[MonthlyIncome]]&lt;5000,"Low",
IF(tbl_HRData[[#This Row],[MonthlyIncome]]&lt;10000,"Medium",
IF(tbl_HRData[[#This Row],[MonthlyIncome]]&lt;15000,"Upper Medium","High")))</f>
        <v>High</v>
      </c>
      <c r="AM1128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129" spans="1:39" x14ac:dyDescent="0.35">
      <c r="A1129" s="1">
        <v>1128</v>
      </c>
      <c r="B1129">
        <v>23</v>
      </c>
      <c r="C1129" s="1" t="s">
        <v>40</v>
      </c>
      <c r="D1129" s="1" t="s">
        <v>34</v>
      </c>
      <c r="E1129">
        <v>977</v>
      </c>
      <c r="F1129" s="1" t="s">
        <v>42</v>
      </c>
      <c r="G1129">
        <v>10</v>
      </c>
      <c r="H1129">
        <v>3</v>
      </c>
      <c r="I1129" s="1" t="s">
        <v>57</v>
      </c>
      <c r="J1129">
        <v>1592</v>
      </c>
      <c r="K1129">
        <v>4</v>
      </c>
      <c r="L1129" s="1" t="s">
        <v>43</v>
      </c>
      <c r="M1129">
        <v>45</v>
      </c>
      <c r="N1129">
        <v>4</v>
      </c>
      <c r="O1129">
        <v>1</v>
      </c>
      <c r="P1129" s="1" t="s">
        <v>44</v>
      </c>
      <c r="Q1129">
        <v>3</v>
      </c>
      <c r="R1129" s="1" t="s">
        <v>45</v>
      </c>
      <c r="S1129">
        <v>2073</v>
      </c>
      <c r="T1129">
        <v>12826</v>
      </c>
      <c r="U1129">
        <v>2</v>
      </c>
      <c r="V1129" s="1" t="s">
        <v>40</v>
      </c>
      <c r="W1129">
        <v>16</v>
      </c>
      <c r="X1129">
        <v>3</v>
      </c>
      <c r="Y1129">
        <v>4</v>
      </c>
      <c r="Z1129">
        <v>80</v>
      </c>
      <c r="AA1129">
        <v>1</v>
      </c>
      <c r="AB1129">
        <v>4</v>
      </c>
      <c r="AC1129">
        <v>2</v>
      </c>
      <c r="AD1129">
        <v>3</v>
      </c>
      <c r="AE1129">
        <v>2</v>
      </c>
      <c r="AF1129">
        <v>2</v>
      </c>
      <c r="AG1129">
        <v>2</v>
      </c>
      <c r="AH1129">
        <v>2</v>
      </c>
      <c r="AI1129">
        <f>IF(tbl_HRData[[#This Row],[Attrition]] = "Yes",1,0)</f>
        <v>0</v>
      </c>
      <c r="AJ1129">
        <f>IF(tbl_HRData[[#This Row],[Attrition]] = "No",1,0)</f>
        <v>1</v>
      </c>
      <c r="AK1129" t="str">
        <f>IF(tbl_HRData[[#This Row],[Age]] &lt; 25, "Under 25", IF(tbl_HRData[[#This Row],[Age]] &lt;= 34, "25-34", IF(tbl_HRData[[#This Row],[Age]] &lt;= 44, "35-44", IF(tbl_HRData[[#This Row],[Age]] &lt;= 54, "45-54", "55+"))))</f>
        <v>Under 25</v>
      </c>
      <c r="AL1129" s="1" t="str">
        <f>IF(tbl_HRData[[#This Row],[MonthlyIncome]]&lt;5000,"Low",
IF(tbl_HRData[[#This Row],[MonthlyIncome]]&lt;10000,"Medium",
IF(tbl_HRData[[#This Row],[MonthlyIncome]]&lt;15000,"Upper Medium","High")))</f>
        <v>Low</v>
      </c>
      <c r="AM1129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130" spans="1:39" x14ac:dyDescent="0.35">
      <c r="A1130" s="1">
        <v>1129</v>
      </c>
      <c r="B1130">
        <v>36</v>
      </c>
      <c r="C1130" s="1" t="s">
        <v>40</v>
      </c>
      <c r="D1130" s="1" t="s">
        <v>41</v>
      </c>
      <c r="E1130">
        <v>1302</v>
      </c>
      <c r="F1130" s="1" t="s">
        <v>42</v>
      </c>
      <c r="G1130">
        <v>6</v>
      </c>
      <c r="H1130">
        <v>4</v>
      </c>
      <c r="I1130" s="1" t="s">
        <v>36</v>
      </c>
      <c r="J1130">
        <v>1594</v>
      </c>
      <c r="K1130">
        <v>1</v>
      </c>
      <c r="L1130" s="1" t="s">
        <v>43</v>
      </c>
      <c r="M1130">
        <v>80</v>
      </c>
      <c r="N1130">
        <v>4</v>
      </c>
      <c r="O1130">
        <v>2</v>
      </c>
      <c r="P1130" s="1" t="s">
        <v>47</v>
      </c>
      <c r="Q1130">
        <v>1</v>
      </c>
      <c r="R1130" s="1" t="s">
        <v>45</v>
      </c>
      <c r="S1130">
        <v>5562</v>
      </c>
      <c r="T1130">
        <v>19711</v>
      </c>
      <c r="U1130">
        <v>3</v>
      </c>
      <c r="V1130" s="1" t="s">
        <v>33</v>
      </c>
      <c r="W1130">
        <v>13</v>
      </c>
      <c r="X1130">
        <v>3</v>
      </c>
      <c r="Y1130">
        <v>4</v>
      </c>
      <c r="Z1130">
        <v>80</v>
      </c>
      <c r="AA1130">
        <v>1</v>
      </c>
      <c r="AB1130">
        <v>9</v>
      </c>
      <c r="AC1130">
        <v>3</v>
      </c>
      <c r="AD1130">
        <v>3</v>
      </c>
      <c r="AE1130">
        <v>3</v>
      </c>
      <c r="AF1130">
        <v>2</v>
      </c>
      <c r="AG1130">
        <v>0</v>
      </c>
      <c r="AH1130">
        <v>2</v>
      </c>
      <c r="AI1130">
        <f>IF(tbl_HRData[[#This Row],[Attrition]] = "Yes",1,0)</f>
        <v>0</v>
      </c>
      <c r="AJ1130">
        <f>IF(tbl_HRData[[#This Row],[Attrition]] = "No",1,0)</f>
        <v>1</v>
      </c>
      <c r="AK1130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130" s="1" t="str">
        <f>IF(tbl_HRData[[#This Row],[MonthlyIncome]]&lt;5000,"Low",
IF(tbl_HRData[[#This Row],[MonthlyIncome]]&lt;10000,"Medium",
IF(tbl_HRData[[#This Row],[MonthlyIncome]]&lt;15000,"Upper Medium","High")))</f>
        <v>Medium</v>
      </c>
      <c r="AM1130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131" spans="1:39" x14ac:dyDescent="0.35">
      <c r="A1131" s="1">
        <v>1130</v>
      </c>
      <c r="B1131">
        <v>42</v>
      </c>
      <c r="C1131" s="1" t="s">
        <v>40</v>
      </c>
      <c r="D1131" s="1" t="s">
        <v>34</v>
      </c>
      <c r="E1131">
        <v>1059</v>
      </c>
      <c r="F1131" s="1" t="s">
        <v>42</v>
      </c>
      <c r="G1131">
        <v>9</v>
      </c>
      <c r="H1131">
        <v>2</v>
      </c>
      <c r="I1131" s="1" t="s">
        <v>46</v>
      </c>
      <c r="J1131">
        <v>1595</v>
      </c>
      <c r="K1131">
        <v>4</v>
      </c>
      <c r="L1131" s="1" t="s">
        <v>43</v>
      </c>
      <c r="M1131">
        <v>93</v>
      </c>
      <c r="N1131">
        <v>2</v>
      </c>
      <c r="O1131">
        <v>5</v>
      </c>
      <c r="P1131" s="1" t="s">
        <v>53</v>
      </c>
      <c r="Q1131">
        <v>4</v>
      </c>
      <c r="R1131" s="1" t="s">
        <v>39</v>
      </c>
      <c r="S1131">
        <v>19613</v>
      </c>
      <c r="T1131">
        <v>26362</v>
      </c>
      <c r="U1131">
        <v>8</v>
      </c>
      <c r="V1131" s="1" t="s">
        <v>40</v>
      </c>
      <c r="W1131">
        <v>22</v>
      </c>
      <c r="X1131">
        <v>4</v>
      </c>
      <c r="Y1131">
        <v>4</v>
      </c>
      <c r="Z1131">
        <v>80</v>
      </c>
      <c r="AA1131">
        <v>0</v>
      </c>
      <c r="AB1131">
        <v>24</v>
      </c>
      <c r="AC1131">
        <v>2</v>
      </c>
      <c r="AD1131">
        <v>3</v>
      </c>
      <c r="AE1131">
        <v>1</v>
      </c>
      <c r="AF1131">
        <v>0</v>
      </c>
      <c r="AG1131">
        <v>0</v>
      </c>
      <c r="AH1131">
        <v>1</v>
      </c>
      <c r="AI1131">
        <f>IF(tbl_HRData[[#This Row],[Attrition]] = "Yes",1,0)</f>
        <v>0</v>
      </c>
      <c r="AJ1131">
        <f>IF(tbl_HRData[[#This Row],[Attrition]] = "No",1,0)</f>
        <v>1</v>
      </c>
      <c r="AK1131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131" s="1" t="str">
        <f>IF(tbl_HRData[[#This Row],[MonthlyIncome]]&lt;5000,"Low",
IF(tbl_HRData[[#This Row],[MonthlyIncome]]&lt;10000,"Medium",
IF(tbl_HRData[[#This Row],[MonthlyIncome]]&lt;15000,"Upper Medium","High")))</f>
        <v>High</v>
      </c>
      <c r="AM1131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132" spans="1:39" x14ac:dyDescent="0.35">
      <c r="A1132" s="1">
        <v>1131</v>
      </c>
      <c r="B1132">
        <v>35</v>
      </c>
      <c r="C1132" s="1" t="s">
        <v>40</v>
      </c>
      <c r="D1132" s="1" t="s">
        <v>34</v>
      </c>
      <c r="E1132">
        <v>750</v>
      </c>
      <c r="F1132" s="1" t="s">
        <v>42</v>
      </c>
      <c r="G1132">
        <v>28</v>
      </c>
      <c r="H1132">
        <v>3</v>
      </c>
      <c r="I1132" s="1" t="s">
        <v>36</v>
      </c>
      <c r="J1132">
        <v>1596</v>
      </c>
      <c r="K1132">
        <v>2</v>
      </c>
      <c r="L1132" s="1" t="s">
        <v>43</v>
      </c>
      <c r="M1132">
        <v>46</v>
      </c>
      <c r="N1132">
        <v>4</v>
      </c>
      <c r="O1132">
        <v>2</v>
      </c>
      <c r="P1132" s="1" t="s">
        <v>47</v>
      </c>
      <c r="Q1132">
        <v>3</v>
      </c>
      <c r="R1132" s="1" t="s">
        <v>45</v>
      </c>
      <c r="S1132">
        <v>3407</v>
      </c>
      <c r="T1132">
        <v>25348</v>
      </c>
      <c r="U1132">
        <v>1</v>
      </c>
      <c r="V1132" s="1" t="s">
        <v>40</v>
      </c>
      <c r="W1132">
        <v>17</v>
      </c>
      <c r="X1132">
        <v>3</v>
      </c>
      <c r="Y1132">
        <v>4</v>
      </c>
      <c r="Z1132">
        <v>80</v>
      </c>
      <c r="AA1132">
        <v>2</v>
      </c>
      <c r="AB1132">
        <v>10</v>
      </c>
      <c r="AC1132">
        <v>3</v>
      </c>
      <c r="AD1132">
        <v>2</v>
      </c>
      <c r="AE1132">
        <v>10</v>
      </c>
      <c r="AF1132">
        <v>9</v>
      </c>
      <c r="AG1132">
        <v>6</v>
      </c>
      <c r="AH1132">
        <v>8</v>
      </c>
      <c r="AI1132">
        <f>IF(tbl_HRData[[#This Row],[Attrition]] = "Yes",1,0)</f>
        <v>0</v>
      </c>
      <c r="AJ1132">
        <f>IF(tbl_HRData[[#This Row],[Attrition]] = "No",1,0)</f>
        <v>1</v>
      </c>
      <c r="AK1132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132" s="1" t="str">
        <f>IF(tbl_HRData[[#This Row],[MonthlyIncome]]&lt;5000,"Low",
IF(tbl_HRData[[#This Row],[MonthlyIncome]]&lt;10000,"Medium",
IF(tbl_HRData[[#This Row],[MonthlyIncome]]&lt;15000,"Upper Medium","High")))</f>
        <v>Low</v>
      </c>
      <c r="AM1132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133" spans="1:39" x14ac:dyDescent="0.35">
      <c r="A1133" s="1">
        <v>1132</v>
      </c>
      <c r="B1133">
        <v>34</v>
      </c>
      <c r="C1133" s="1" t="s">
        <v>40</v>
      </c>
      <c r="D1133" s="1" t="s">
        <v>41</v>
      </c>
      <c r="E1133">
        <v>653</v>
      </c>
      <c r="F1133" s="1" t="s">
        <v>42</v>
      </c>
      <c r="G1133">
        <v>10</v>
      </c>
      <c r="H1133">
        <v>4</v>
      </c>
      <c r="I1133" s="1" t="s">
        <v>57</v>
      </c>
      <c r="J1133">
        <v>1597</v>
      </c>
      <c r="K1133">
        <v>4</v>
      </c>
      <c r="L1133" s="1" t="s">
        <v>43</v>
      </c>
      <c r="M1133">
        <v>92</v>
      </c>
      <c r="N1133">
        <v>2</v>
      </c>
      <c r="O1133">
        <v>2</v>
      </c>
      <c r="P1133" s="1" t="s">
        <v>51</v>
      </c>
      <c r="Q1133">
        <v>3</v>
      </c>
      <c r="R1133" s="1" t="s">
        <v>45</v>
      </c>
      <c r="S1133">
        <v>5063</v>
      </c>
      <c r="T1133">
        <v>15332</v>
      </c>
      <c r="U1133">
        <v>1</v>
      </c>
      <c r="V1133" s="1" t="s">
        <v>40</v>
      </c>
      <c r="W1133">
        <v>14</v>
      </c>
      <c r="X1133">
        <v>3</v>
      </c>
      <c r="Y1133">
        <v>2</v>
      </c>
      <c r="Z1133">
        <v>80</v>
      </c>
      <c r="AA1133">
        <v>1</v>
      </c>
      <c r="AB1133">
        <v>8</v>
      </c>
      <c r="AC1133">
        <v>3</v>
      </c>
      <c r="AD1133">
        <v>2</v>
      </c>
      <c r="AE1133">
        <v>8</v>
      </c>
      <c r="AF1133">
        <v>2</v>
      </c>
      <c r="AG1133">
        <v>7</v>
      </c>
      <c r="AH1133">
        <v>7</v>
      </c>
      <c r="AI1133">
        <f>IF(tbl_HRData[[#This Row],[Attrition]] = "Yes",1,0)</f>
        <v>0</v>
      </c>
      <c r="AJ1133">
        <f>IF(tbl_HRData[[#This Row],[Attrition]] = "No",1,0)</f>
        <v>1</v>
      </c>
      <c r="AK1133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133" s="1" t="str">
        <f>IF(tbl_HRData[[#This Row],[MonthlyIncome]]&lt;5000,"Low",
IF(tbl_HRData[[#This Row],[MonthlyIncome]]&lt;10000,"Medium",
IF(tbl_HRData[[#This Row],[MonthlyIncome]]&lt;15000,"Upper Medium","High")))</f>
        <v>Medium</v>
      </c>
      <c r="AM1133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134" spans="1:39" x14ac:dyDescent="0.35">
      <c r="A1134" s="1">
        <v>1133</v>
      </c>
      <c r="B1134">
        <v>40</v>
      </c>
      <c r="C1134" s="1" t="s">
        <v>40</v>
      </c>
      <c r="D1134" s="1" t="s">
        <v>34</v>
      </c>
      <c r="E1134">
        <v>118</v>
      </c>
      <c r="F1134" s="1" t="s">
        <v>35</v>
      </c>
      <c r="G1134">
        <v>14</v>
      </c>
      <c r="H1134">
        <v>2</v>
      </c>
      <c r="I1134" s="1" t="s">
        <v>36</v>
      </c>
      <c r="J1134">
        <v>1598</v>
      </c>
      <c r="K1134">
        <v>4</v>
      </c>
      <c r="L1134" s="1" t="s">
        <v>37</v>
      </c>
      <c r="M1134">
        <v>84</v>
      </c>
      <c r="N1134">
        <v>3</v>
      </c>
      <c r="O1134">
        <v>2</v>
      </c>
      <c r="P1134" s="1" t="s">
        <v>38</v>
      </c>
      <c r="Q1134">
        <v>1</v>
      </c>
      <c r="R1134" s="1" t="s">
        <v>45</v>
      </c>
      <c r="S1134">
        <v>4639</v>
      </c>
      <c r="T1134">
        <v>11262</v>
      </c>
      <c r="U1134">
        <v>1</v>
      </c>
      <c r="V1134" s="1" t="s">
        <v>40</v>
      </c>
      <c r="W1134">
        <v>15</v>
      </c>
      <c r="X1134">
        <v>3</v>
      </c>
      <c r="Y1134">
        <v>3</v>
      </c>
      <c r="Z1134">
        <v>80</v>
      </c>
      <c r="AA1134">
        <v>1</v>
      </c>
      <c r="AB1134">
        <v>5</v>
      </c>
      <c r="AC1134">
        <v>2</v>
      </c>
      <c r="AD1134">
        <v>3</v>
      </c>
      <c r="AE1134">
        <v>5</v>
      </c>
      <c r="AF1134">
        <v>4</v>
      </c>
      <c r="AG1134">
        <v>1</v>
      </c>
      <c r="AH1134">
        <v>2</v>
      </c>
      <c r="AI1134">
        <f>IF(tbl_HRData[[#This Row],[Attrition]] = "Yes",1,0)</f>
        <v>0</v>
      </c>
      <c r="AJ1134">
        <f>IF(tbl_HRData[[#This Row],[Attrition]] = "No",1,0)</f>
        <v>1</v>
      </c>
      <c r="AK1134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134" s="1" t="str">
        <f>IF(tbl_HRData[[#This Row],[MonthlyIncome]]&lt;5000,"Low",
IF(tbl_HRData[[#This Row],[MonthlyIncome]]&lt;10000,"Medium",
IF(tbl_HRData[[#This Row],[MonthlyIncome]]&lt;15000,"Upper Medium","High")))</f>
        <v>Low</v>
      </c>
      <c r="AM1134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135" spans="1:39" x14ac:dyDescent="0.35">
      <c r="A1135" s="1">
        <v>1134</v>
      </c>
      <c r="B1135">
        <v>43</v>
      </c>
      <c r="C1135" s="1" t="s">
        <v>40</v>
      </c>
      <c r="D1135" s="1" t="s">
        <v>34</v>
      </c>
      <c r="E1135">
        <v>990</v>
      </c>
      <c r="F1135" s="1" t="s">
        <v>42</v>
      </c>
      <c r="G1135">
        <v>27</v>
      </c>
      <c r="H1135">
        <v>3</v>
      </c>
      <c r="I1135" s="1" t="s">
        <v>57</v>
      </c>
      <c r="J1135">
        <v>1599</v>
      </c>
      <c r="K1135">
        <v>4</v>
      </c>
      <c r="L1135" s="1" t="s">
        <v>43</v>
      </c>
      <c r="M1135">
        <v>87</v>
      </c>
      <c r="N1135">
        <v>4</v>
      </c>
      <c r="O1135">
        <v>1</v>
      </c>
      <c r="P1135" s="1" t="s">
        <v>47</v>
      </c>
      <c r="Q1135">
        <v>2</v>
      </c>
      <c r="R1135" s="1" t="s">
        <v>49</v>
      </c>
      <c r="S1135">
        <v>4876</v>
      </c>
      <c r="T1135">
        <v>5855</v>
      </c>
      <c r="U1135">
        <v>5</v>
      </c>
      <c r="V1135" s="1" t="s">
        <v>40</v>
      </c>
      <c r="W1135">
        <v>12</v>
      </c>
      <c r="X1135">
        <v>3</v>
      </c>
      <c r="Y1135">
        <v>3</v>
      </c>
      <c r="Z1135">
        <v>80</v>
      </c>
      <c r="AA1135">
        <v>1</v>
      </c>
      <c r="AB1135">
        <v>8</v>
      </c>
      <c r="AC1135">
        <v>0</v>
      </c>
      <c r="AD1135">
        <v>3</v>
      </c>
      <c r="AE1135">
        <v>6</v>
      </c>
      <c r="AF1135">
        <v>4</v>
      </c>
      <c r="AG1135">
        <v>0</v>
      </c>
      <c r="AH1135">
        <v>2</v>
      </c>
      <c r="AI1135">
        <f>IF(tbl_HRData[[#This Row],[Attrition]] = "Yes",1,0)</f>
        <v>0</v>
      </c>
      <c r="AJ1135">
        <f>IF(tbl_HRData[[#This Row],[Attrition]] = "No",1,0)</f>
        <v>1</v>
      </c>
      <c r="AK1135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135" s="1" t="str">
        <f>IF(tbl_HRData[[#This Row],[MonthlyIncome]]&lt;5000,"Low",
IF(tbl_HRData[[#This Row],[MonthlyIncome]]&lt;10000,"Medium",
IF(tbl_HRData[[#This Row],[MonthlyIncome]]&lt;15000,"Upper Medium","High")))</f>
        <v>Low</v>
      </c>
      <c r="AM1135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136" spans="1:39" x14ac:dyDescent="0.35">
      <c r="A1136" s="1">
        <v>1135</v>
      </c>
      <c r="B1136">
        <v>35</v>
      </c>
      <c r="C1136" s="1" t="s">
        <v>40</v>
      </c>
      <c r="D1136" s="1" t="s">
        <v>34</v>
      </c>
      <c r="E1136">
        <v>1349</v>
      </c>
      <c r="F1136" s="1" t="s">
        <v>42</v>
      </c>
      <c r="G1136">
        <v>7</v>
      </c>
      <c r="H1136">
        <v>2</v>
      </c>
      <c r="I1136" s="1" t="s">
        <v>36</v>
      </c>
      <c r="J1136">
        <v>1601</v>
      </c>
      <c r="K1136">
        <v>3</v>
      </c>
      <c r="L1136" s="1" t="s">
        <v>43</v>
      </c>
      <c r="M1136">
        <v>63</v>
      </c>
      <c r="N1136">
        <v>2</v>
      </c>
      <c r="O1136">
        <v>1</v>
      </c>
      <c r="P1136" s="1" t="s">
        <v>47</v>
      </c>
      <c r="Q1136">
        <v>4</v>
      </c>
      <c r="R1136" s="1" t="s">
        <v>45</v>
      </c>
      <c r="S1136">
        <v>2690</v>
      </c>
      <c r="T1136">
        <v>7713</v>
      </c>
      <c r="U1136">
        <v>1</v>
      </c>
      <c r="V1136" s="1" t="s">
        <v>40</v>
      </c>
      <c r="W1136">
        <v>18</v>
      </c>
      <c r="X1136">
        <v>3</v>
      </c>
      <c r="Y1136">
        <v>4</v>
      </c>
      <c r="Z1136">
        <v>80</v>
      </c>
      <c r="AA1136">
        <v>1</v>
      </c>
      <c r="AB1136">
        <v>1</v>
      </c>
      <c r="AC1136">
        <v>5</v>
      </c>
      <c r="AD1136">
        <v>2</v>
      </c>
      <c r="AE1136">
        <v>1</v>
      </c>
      <c r="AF1136">
        <v>0</v>
      </c>
      <c r="AG1136">
        <v>0</v>
      </c>
      <c r="AH1136">
        <v>1</v>
      </c>
      <c r="AI1136">
        <f>IF(tbl_HRData[[#This Row],[Attrition]] = "Yes",1,0)</f>
        <v>0</v>
      </c>
      <c r="AJ1136">
        <f>IF(tbl_HRData[[#This Row],[Attrition]] = "No",1,0)</f>
        <v>1</v>
      </c>
      <c r="AK1136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136" s="1" t="str">
        <f>IF(tbl_HRData[[#This Row],[MonthlyIncome]]&lt;5000,"Low",
IF(tbl_HRData[[#This Row],[MonthlyIncome]]&lt;10000,"Medium",
IF(tbl_HRData[[#This Row],[MonthlyIncome]]&lt;15000,"Upper Medium","High")))</f>
        <v>Low</v>
      </c>
      <c r="AM1136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137" spans="1:39" x14ac:dyDescent="0.35">
      <c r="A1137" s="1">
        <v>1136</v>
      </c>
      <c r="B1137">
        <v>46</v>
      </c>
      <c r="C1137" s="1" t="s">
        <v>40</v>
      </c>
      <c r="D1137" s="1" t="s">
        <v>34</v>
      </c>
      <c r="E1137">
        <v>563</v>
      </c>
      <c r="F1137" s="1" t="s">
        <v>35</v>
      </c>
      <c r="G1137">
        <v>1</v>
      </c>
      <c r="H1137">
        <v>4</v>
      </c>
      <c r="I1137" s="1" t="s">
        <v>36</v>
      </c>
      <c r="J1137">
        <v>1602</v>
      </c>
      <c r="K1137">
        <v>4</v>
      </c>
      <c r="L1137" s="1" t="s">
        <v>43</v>
      </c>
      <c r="M1137">
        <v>56</v>
      </c>
      <c r="N1137">
        <v>4</v>
      </c>
      <c r="O1137">
        <v>4</v>
      </c>
      <c r="P1137" s="1" t="s">
        <v>53</v>
      </c>
      <c r="Q1137">
        <v>1</v>
      </c>
      <c r="R1137" s="1" t="s">
        <v>39</v>
      </c>
      <c r="S1137">
        <v>17567</v>
      </c>
      <c r="T1137">
        <v>3156</v>
      </c>
      <c r="U1137">
        <v>1</v>
      </c>
      <c r="V1137" s="1" t="s">
        <v>40</v>
      </c>
      <c r="W1137">
        <v>15</v>
      </c>
      <c r="X1137">
        <v>3</v>
      </c>
      <c r="Y1137">
        <v>2</v>
      </c>
      <c r="Z1137">
        <v>80</v>
      </c>
      <c r="AA1137">
        <v>0</v>
      </c>
      <c r="AB1137">
        <v>27</v>
      </c>
      <c r="AC1137">
        <v>5</v>
      </c>
      <c r="AD1137">
        <v>1</v>
      </c>
      <c r="AE1137">
        <v>26</v>
      </c>
      <c r="AF1137">
        <v>0</v>
      </c>
      <c r="AG1137">
        <v>0</v>
      </c>
      <c r="AH1137">
        <v>12</v>
      </c>
      <c r="AI1137">
        <f>IF(tbl_HRData[[#This Row],[Attrition]] = "Yes",1,0)</f>
        <v>0</v>
      </c>
      <c r="AJ1137">
        <f>IF(tbl_HRData[[#This Row],[Attrition]] = "No",1,0)</f>
        <v>1</v>
      </c>
      <c r="AK1137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1137" s="1" t="str">
        <f>IF(tbl_HRData[[#This Row],[MonthlyIncome]]&lt;5000,"Low",
IF(tbl_HRData[[#This Row],[MonthlyIncome]]&lt;10000,"Medium",
IF(tbl_HRData[[#This Row],[MonthlyIncome]]&lt;15000,"Upper Medium","High")))</f>
        <v>High</v>
      </c>
      <c r="AM1137" s="1" t="str">
        <f>IF(tbl_HRData[[#This Row],[YearsAtCompany]]&lt;=5,"0-5 Years",
IF(tbl_HRData[[#This Row],[YearsAtCompany]]&lt;=10,"6-10 Years",
IF(tbl_HRData[[#This Row],[YearsAtCompany]]&lt;=20,"11-20 Years","21+ Years")))</f>
        <v>21+ Years</v>
      </c>
    </row>
    <row r="1138" spans="1:39" x14ac:dyDescent="0.35">
      <c r="A1138" s="1">
        <v>1137</v>
      </c>
      <c r="B1138">
        <v>28</v>
      </c>
      <c r="C1138" s="1" t="s">
        <v>33</v>
      </c>
      <c r="D1138" s="1" t="s">
        <v>34</v>
      </c>
      <c r="E1138">
        <v>329</v>
      </c>
      <c r="F1138" s="1" t="s">
        <v>42</v>
      </c>
      <c r="G1138">
        <v>24</v>
      </c>
      <c r="H1138">
        <v>3</v>
      </c>
      <c r="I1138" s="1" t="s">
        <v>48</v>
      </c>
      <c r="J1138">
        <v>1604</v>
      </c>
      <c r="K1138">
        <v>3</v>
      </c>
      <c r="L1138" s="1" t="s">
        <v>43</v>
      </c>
      <c r="M1138">
        <v>51</v>
      </c>
      <c r="N1138">
        <v>3</v>
      </c>
      <c r="O1138">
        <v>1</v>
      </c>
      <c r="P1138" s="1" t="s">
        <v>47</v>
      </c>
      <c r="Q1138">
        <v>2</v>
      </c>
      <c r="R1138" s="1" t="s">
        <v>45</v>
      </c>
      <c r="S1138">
        <v>2408</v>
      </c>
      <c r="T1138">
        <v>7324</v>
      </c>
      <c r="U1138">
        <v>1</v>
      </c>
      <c r="V1138" s="1" t="s">
        <v>33</v>
      </c>
      <c r="W1138">
        <v>17</v>
      </c>
      <c r="X1138">
        <v>3</v>
      </c>
      <c r="Y1138">
        <v>3</v>
      </c>
      <c r="Z1138">
        <v>80</v>
      </c>
      <c r="AA1138">
        <v>3</v>
      </c>
      <c r="AB1138">
        <v>1</v>
      </c>
      <c r="AC1138">
        <v>3</v>
      </c>
      <c r="AD1138">
        <v>3</v>
      </c>
      <c r="AE1138">
        <v>1</v>
      </c>
      <c r="AF1138">
        <v>1</v>
      </c>
      <c r="AG1138">
        <v>0</v>
      </c>
      <c r="AH1138">
        <v>0</v>
      </c>
      <c r="AI1138">
        <f>IF(tbl_HRData[[#This Row],[Attrition]] = "Yes",1,0)</f>
        <v>1</v>
      </c>
      <c r="AJ1138">
        <f>IF(tbl_HRData[[#This Row],[Attrition]] = "No",1,0)</f>
        <v>0</v>
      </c>
      <c r="AK1138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138" s="1" t="str">
        <f>IF(tbl_HRData[[#This Row],[MonthlyIncome]]&lt;5000,"Low",
IF(tbl_HRData[[#This Row],[MonthlyIncome]]&lt;10000,"Medium",
IF(tbl_HRData[[#This Row],[MonthlyIncome]]&lt;15000,"Upper Medium","High")))</f>
        <v>Low</v>
      </c>
      <c r="AM1138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139" spans="1:39" x14ac:dyDescent="0.35">
      <c r="A1139" s="1">
        <v>1138</v>
      </c>
      <c r="B1139">
        <v>22</v>
      </c>
      <c r="C1139" s="1" t="s">
        <v>40</v>
      </c>
      <c r="D1139" s="1" t="s">
        <v>52</v>
      </c>
      <c r="E1139">
        <v>457</v>
      </c>
      <c r="F1139" s="1" t="s">
        <v>42</v>
      </c>
      <c r="G1139">
        <v>26</v>
      </c>
      <c r="H1139">
        <v>2</v>
      </c>
      <c r="I1139" s="1" t="s">
        <v>46</v>
      </c>
      <c r="J1139">
        <v>1605</v>
      </c>
      <c r="K1139">
        <v>2</v>
      </c>
      <c r="L1139" s="1" t="s">
        <v>37</v>
      </c>
      <c r="M1139">
        <v>85</v>
      </c>
      <c r="N1139">
        <v>2</v>
      </c>
      <c r="O1139">
        <v>1</v>
      </c>
      <c r="P1139" s="1" t="s">
        <v>44</v>
      </c>
      <c r="Q1139">
        <v>3</v>
      </c>
      <c r="R1139" s="1" t="s">
        <v>45</v>
      </c>
      <c r="S1139">
        <v>2814</v>
      </c>
      <c r="T1139">
        <v>10293</v>
      </c>
      <c r="U1139">
        <v>1</v>
      </c>
      <c r="V1139" s="1" t="s">
        <v>33</v>
      </c>
      <c r="W1139">
        <v>14</v>
      </c>
      <c r="X1139">
        <v>3</v>
      </c>
      <c r="Y1139">
        <v>2</v>
      </c>
      <c r="Z1139">
        <v>80</v>
      </c>
      <c r="AA1139">
        <v>0</v>
      </c>
      <c r="AB1139">
        <v>4</v>
      </c>
      <c r="AC1139">
        <v>2</v>
      </c>
      <c r="AD1139">
        <v>2</v>
      </c>
      <c r="AE1139">
        <v>4</v>
      </c>
      <c r="AF1139">
        <v>2</v>
      </c>
      <c r="AG1139">
        <v>1</v>
      </c>
      <c r="AH1139">
        <v>3</v>
      </c>
      <c r="AI1139">
        <f>IF(tbl_HRData[[#This Row],[Attrition]] = "Yes",1,0)</f>
        <v>0</v>
      </c>
      <c r="AJ1139">
        <f>IF(tbl_HRData[[#This Row],[Attrition]] = "No",1,0)</f>
        <v>1</v>
      </c>
      <c r="AK1139" t="str">
        <f>IF(tbl_HRData[[#This Row],[Age]] &lt; 25, "Under 25", IF(tbl_HRData[[#This Row],[Age]] &lt;= 34, "25-34", IF(tbl_HRData[[#This Row],[Age]] &lt;= 44, "35-44", IF(tbl_HRData[[#This Row],[Age]] &lt;= 54, "45-54", "55+"))))</f>
        <v>Under 25</v>
      </c>
      <c r="AL1139" s="1" t="str">
        <f>IF(tbl_HRData[[#This Row],[MonthlyIncome]]&lt;5000,"Low",
IF(tbl_HRData[[#This Row],[MonthlyIncome]]&lt;10000,"Medium",
IF(tbl_HRData[[#This Row],[MonthlyIncome]]&lt;15000,"Upper Medium","High")))</f>
        <v>Low</v>
      </c>
      <c r="AM1139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140" spans="1:39" x14ac:dyDescent="0.35">
      <c r="A1140" s="1">
        <v>1139</v>
      </c>
      <c r="B1140">
        <v>50</v>
      </c>
      <c r="C1140" s="1" t="s">
        <v>40</v>
      </c>
      <c r="D1140" s="1" t="s">
        <v>41</v>
      </c>
      <c r="E1140">
        <v>1234</v>
      </c>
      <c r="F1140" s="1" t="s">
        <v>42</v>
      </c>
      <c r="G1140">
        <v>20</v>
      </c>
      <c r="H1140">
        <v>5</v>
      </c>
      <c r="I1140" s="1" t="s">
        <v>48</v>
      </c>
      <c r="J1140">
        <v>1606</v>
      </c>
      <c r="K1140">
        <v>2</v>
      </c>
      <c r="L1140" s="1" t="s">
        <v>43</v>
      </c>
      <c r="M1140">
        <v>41</v>
      </c>
      <c r="N1140">
        <v>3</v>
      </c>
      <c r="O1140">
        <v>4</v>
      </c>
      <c r="P1140" s="1" t="s">
        <v>51</v>
      </c>
      <c r="Q1140">
        <v>3</v>
      </c>
      <c r="R1140" s="1" t="s">
        <v>45</v>
      </c>
      <c r="S1140">
        <v>11245</v>
      </c>
      <c r="T1140">
        <v>20689</v>
      </c>
      <c r="U1140">
        <v>2</v>
      </c>
      <c r="V1140" s="1" t="s">
        <v>33</v>
      </c>
      <c r="W1140">
        <v>15</v>
      </c>
      <c r="X1140">
        <v>3</v>
      </c>
      <c r="Y1140">
        <v>3</v>
      </c>
      <c r="Z1140">
        <v>80</v>
      </c>
      <c r="AA1140">
        <v>1</v>
      </c>
      <c r="AB1140">
        <v>32</v>
      </c>
      <c r="AC1140">
        <v>3</v>
      </c>
      <c r="AD1140">
        <v>3</v>
      </c>
      <c r="AE1140">
        <v>30</v>
      </c>
      <c r="AF1140">
        <v>8</v>
      </c>
      <c r="AG1140">
        <v>12</v>
      </c>
      <c r="AH1140">
        <v>13</v>
      </c>
      <c r="AI1140">
        <f>IF(tbl_HRData[[#This Row],[Attrition]] = "Yes",1,0)</f>
        <v>0</v>
      </c>
      <c r="AJ1140">
        <f>IF(tbl_HRData[[#This Row],[Attrition]] = "No",1,0)</f>
        <v>1</v>
      </c>
      <c r="AK1140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1140" s="1" t="str">
        <f>IF(tbl_HRData[[#This Row],[MonthlyIncome]]&lt;5000,"Low",
IF(tbl_HRData[[#This Row],[MonthlyIncome]]&lt;10000,"Medium",
IF(tbl_HRData[[#This Row],[MonthlyIncome]]&lt;15000,"Upper Medium","High")))</f>
        <v>Upper Medium</v>
      </c>
      <c r="AM1140" s="1" t="str">
        <f>IF(tbl_HRData[[#This Row],[YearsAtCompany]]&lt;=5,"0-5 Years",
IF(tbl_HRData[[#This Row],[YearsAtCompany]]&lt;=10,"6-10 Years",
IF(tbl_HRData[[#This Row],[YearsAtCompany]]&lt;=20,"11-20 Years","21+ Years")))</f>
        <v>21+ Years</v>
      </c>
    </row>
    <row r="1141" spans="1:39" x14ac:dyDescent="0.35">
      <c r="A1141" s="1">
        <v>1140</v>
      </c>
      <c r="B1141">
        <v>32</v>
      </c>
      <c r="C1141" s="1" t="s">
        <v>40</v>
      </c>
      <c r="D1141" s="1" t="s">
        <v>34</v>
      </c>
      <c r="E1141">
        <v>634</v>
      </c>
      <c r="F1141" s="1" t="s">
        <v>42</v>
      </c>
      <c r="G1141">
        <v>5</v>
      </c>
      <c r="H1141">
        <v>4</v>
      </c>
      <c r="I1141" s="1" t="s">
        <v>46</v>
      </c>
      <c r="J1141">
        <v>1607</v>
      </c>
      <c r="K1141">
        <v>2</v>
      </c>
      <c r="L1141" s="1" t="s">
        <v>37</v>
      </c>
      <c r="M1141">
        <v>35</v>
      </c>
      <c r="N1141">
        <v>4</v>
      </c>
      <c r="O1141">
        <v>1</v>
      </c>
      <c r="P1141" s="1" t="s">
        <v>44</v>
      </c>
      <c r="Q1141">
        <v>4</v>
      </c>
      <c r="R1141" s="1" t="s">
        <v>45</v>
      </c>
      <c r="S1141">
        <v>3312</v>
      </c>
      <c r="T1141">
        <v>18783</v>
      </c>
      <c r="U1141">
        <v>3</v>
      </c>
      <c r="V1141" s="1" t="s">
        <v>40</v>
      </c>
      <c r="W1141">
        <v>17</v>
      </c>
      <c r="X1141">
        <v>3</v>
      </c>
      <c r="Y1141">
        <v>4</v>
      </c>
      <c r="Z1141">
        <v>80</v>
      </c>
      <c r="AA1141">
        <v>2</v>
      </c>
      <c r="AB1141">
        <v>6</v>
      </c>
      <c r="AC1141">
        <v>3</v>
      </c>
      <c r="AD1141">
        <v>3</v>
      </c>
      <c r="AE1141">
        <v>3</v>
      </c>
      <c r="AF1141">
        <v>2</v>
      </c>
      <c r="AG1141">
        <v>0</v>
      </c>
      <c r="AH1141">
        <v>2</v>
      </c>
      <c r="AI1141">
        <f>IF(tbl_HRData[[#This Row],[Attrition]] = "Yes",1,0)</f>
        <v>0</v>
      </c>
      <c r="AJ1141">
        <f>IF(tbl_HRData[[#This Row],[Attrition]] = "No",1,0)</f>
        <v>1</v>
      </c>
      <c r="AK1141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141" s="1" t="str">
        <f>IF(tbl_HRData[[#This Row],[MonthlyIncome]]&lt;5000,"Low",
IF(tbl_HRData[[#This Row],[MonthlyIncome]]&lt;10000,"Medium",
IF(tbl_HRData[[#This Row],[MonthlyIncome]]&lt;15000,"Upper Medium","High")))</f>
        <v>Low</v>
      </c>
      <c r="AM1141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142" spans="1:39" x14ac:dyDescent="0.35">
      <c r="A1142" s="1">
        <v>1141</v>
      </c>
      <c r="B1142">
        <v>44</v>
      </c>
      <c r="C1142" s="1" t="s">
        <v>40</v>
      </c>
      <c r="D1142" s="1" t="s">
        <v>34</v>
      </c>
      <c r="E1142">
        <v>1313</v>
      </c>
      <c r="F1142" s="1" t="s">
        <v>42</v>
      </c>
      <c r="G1142">
        <v>7</v>
      </c>
      <c r="H1142">
        <v>3</v>
      </c>
      <c r="I1142" s="1" t="s">
        <v>48</v>
      </c>
      <c r="J1142">
        <v>1608</v>
      </c>
      <c r="K1142">
        <v>2</v>
      </c>
      <c r="L1142" s="1" t="s">
        <v>37</v>
      </c>
      <c r="M1142">
        <v>31</v>
      </c>
      <c r="N1142">
        <v>3</v>
      </c>
      <c r="O1142">
        <v>5</v>
      </c>
      <c r="P1142" s="1" t="s">
        <v>55</v>
      </c>
      <c r="Q1142">
        <v>4</v>
      </c>
      <c r="R1142" s="1" t="s">
        <v>49</v>
      </c>
      <c r="S1142">
        <v>19049</v>
      </c>
      <c r="T1142">
        <v>3549</v>
      </c>
      <c r="U1142">
        <v>0</v>
      </c>
      <c r="V1142" s="1" t="s">
        <v>33</v>
      </c>
      <c r="W1142">
        <v>14</v>
      </c>
      <c r="X1142">
        <v>3</v>
      </c>
      <c r="Y1142">
        <v>4</v>
      </c>
      <c r="Z1142">
        <v>80</v>
      </c>
      <c r="AA1142">
        <v>1</v>
      </c>
      <c r="AB1142">
        <v>23</v>
      </c>
      <c r="AC1142">
        <v>4</v>
      </c>
      <c r="AD1142">
        <v>2</v>
      </c>
      <c r="AE1142">
        <v>22</v>
      </c>
      <c r="AF1142">
        <v>7</v>
      </c>
      <c r="AG1142">
        <v>1</v>
      </c>
      <c r="AH1142">
        <v>10</v>
      </c>
      <c r="AI1142">
        <f>IF(tbl_HRData[[#This Row],[Attrition]] = "Yes",1,0)</f>
        <v>0</v>
      </c>
      <c r="AJ1142">
        <f>IF(tbl_HRData[[#This Row],[Attrition]] = "No",1,0)</f>
        <v>1</v>
      </c>
      <c r="AK1142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142" s="1" t="str">
        <f>IF(tbl_HRData[[#This Row],[MonthlyIncome]]&lt;5000,"Low",
IF(tbl_HRData[[#This Row],[MonthlyIncome]]&lt;10000,"Medium",
IF(tbl_HRData[[#This Row],[MonthlyIncome]]&lt;15000,"Upper Medium","High")))</f>
        <v>High</v>
      </c>
      <c r="AM1142" s="1" t="str">
        <f>IF(tbl_HRData[[#This Row],[YearsAtCompany]]&lt;=5,"0-5 Years",
IF(tbl_HRData[[#This Row],[YearsAtCompany]]&lt;=10,"6-10 Years",
IF(tbl_HRData[[#This Row],[YearsAtCompany]]&lt;=20,"11-20 Years","21+ Years")))</f>
        <v>21+ Years</v>
      </c>
    </row>
    <row r="1143" spans="1:39" x14ac:dyDescent="0.35">
      <c r="A1143" s="1">
        <v>1142</v>
      </c>
      <c r="B1143">
        <v>30</v>
      </c>
      <c r="C1143" s="1" t="s">
        <v>40</v>
      </c>
      <c r="D1143" s="1" t="s">
        <v>34</v>
      </c>
      <c r="E1143">
        <v>241</v>
      </c>
      <c r="F1143" s="1" t="s">
        <v>42</v>
      </c>
      <c r="G1143">
        <v>7</v>
      </c>
      <c r="H1143">
        <v>3</v>
      </c>
      <c r="I1143" s="1" t="s">
        <v>48</v>
      </c>
      <c r="J1143">
        <v>1609</v>
      </c>
      <c r="K1143">
        <v>2</v>
      </c>
      <c r="L1143" s="1" t="s">
        <v>43</v>
      </c>
      <c r="M1143">
        <v>48</v>
      </c>
      <c r="N1143">
        <v>2</v>
      </c>
      <c r="O1143">
        <v>1</v>
      </c>
      <c r="P1143" s="1" t="s">
        <v>44</v>
      </c>
      <c r="Q1143">
        <v>2</v>
      </c>
      <c r="R1143" s="1" t="s">
        <v>45</v>
      </c>
      <c r="S1143">
        <v>2141</v>
      </c>
      <c r="T1143">
        <v>5348</v>
      </c>
      <c r="U1143">
        <v>1</v>
      </c>
      <c r="V1143" s="1" t="s">
        <v>40</v>
      </c>
      <c r="W1143">
        <v>12</v>
      </c>
      <c r="X1143">
        <v>3</v>
      </c>
      <c r="Y1143">
        <v>2</v>
      </c>
      <c r="Z1143">
        <v>80</v>
      </c>
      <c r="AA1143">
        <v>1</v>
      </c>
      <c r="AB1143">
        <v>6</v>
      </c>
      <c r="AC1143">
        <v>3</v>
      </c>
      <c r="AD1143">
        <v>2</v>
      </c>
      <c r="AE1143">
        <v>6</v>
      </c>
      <c r="AF1143">
        <v>4</v>
      </c>
      <c r="AG1143">
        <v>1</v>
      </c>
      <c r="AH1143">
        <v>1</v>
      </c>
      <c r="AI1143">
        <f>IF(tbl_HRData[[#This Row],[Attrition]] = "Yes",1,0)</f>
        <v>0</v>
      </c>
      <c r="AJ1143">
        <f>IF(tbl_HRData[[#This Row],[Attrition]] = "No",1,0)</f>
        <v>1</v>
      </c>
      <c r="AK1143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143" s="1" t="str">
        <f>IF(tbl_HRData[[#This Row],[MonthlyIncome]]&lt;5000,"Low",
IF(tbl_HRData[[#This Row],[MonthlyIncome]]&lt;10000,"Medium",
IF(tbl_HRData[[#This Row],[MonthlyIncome]]&lt;15000,"Upper Medium","High")))</f>
        <v>Low</v>
      </c>
      <c r="AM1143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144" spans="1:39" x14ac:dyDescent="0.35">
      <c r="A1144" s="1">
        <v>1143</v>
      </c>
      <c r="B1144">
        <v>45</v>
      </c>
      <c r="C1144" s="1" t="s">
        <v>40</v>
      </c>
      <c r="D1144" s="1" t="s">
        <v>34</v>
      </c>
      <c r="E1144">
        <v>1015</v>
      </c>
      <c r="F1144" s="1" t="s">
        <v>42</v>
      </c>
      <c r="G1144">
        <v>5</v>
      </c>
      <c r="H1144">
        <v>5</v>
      </c>
      <c r="I1144" s="1" t="s">
        <v>48</v>
      </c>
      <c r="J1144">
        <v>1611</v>
      </c>
      <c r="K1144">
        <v>3</v>
      </c>
      <c r="L1144" s="1" t="s">
        <v>37</v>
      </c>
      <c r="M1144">
        <v>50</v>
      </c>
      <c r="N1144">
        <v>1</v>
      </c>
      <c r="O1144">
        <v>2</v>
      </c>
      <c r="P1144" s="1" t="s">
        <v>47</v>
      </c>
      <c r="Q1144">
        <v>1</v>
      </c>
      <c r="R1144" s="1" t="s">
        <v>39</v>
      </c>
      <c r="S1144">
        <v>5769</v>
      </c>
      <c r="T1144">
        <v>23447</v>
      </c>
      <c r="U1144">
        <v>1</v>
      </c>
      <c r="V1144" s="1" t="s">
        <v>33</v>
      </c>
      <c r="W1144">
        <v>14</v>
      </c>
      <c r="X1144">
        <v>3</v>
      </c>
      <c r="Y1144">
        <v>1</v>
      </c>
      <c r="Z1144">
        <v>80</v>
      </c>
      <c r="AA1144">
        <v>0</v>
      </c>
      <c r="AB1144">
        <v>10</v>
      </c>
      <c r="AC1144">
        <v>3</v>
      </c>
      <c r="AD1144">
        <v>3</v>
      </c>
      <c r="AE1144">
        <v>10</v>
      </c>
      <c r="AF1144">
        <v>7</v>
      </c>
      <c r="AG1144">
        <v>1</v>
      </c>
      <c r="AH1144">
        <v>4</v>
      </c>
      <c r="AI1144">
        <f>IF(tbl_HRData[[#This Row],[Attrition]] = "Yes",1,0)</f>
        <v>0</v>
      </c>
      <c r="AJ1144">
        <f>IF(tbl_HRData[[#This Row],[Attrition]] = "No",1,0)</f>
        <v>1</v>
      </c>
      <c r="AK1144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1144" s="1" t="str">
        <f>IF(tbl_HRData[[#This Row],[MonthlyIncome]]&lt;5000,"Low",
IF(tbl_HRData[[#This Row],[MonthlyIncome]]&lt;10000,"Medium",
IF(tbl_HRData[[#This Row],[MonthlyIncome]]&lt;15000,"Upper Medium","High")))</f>
        <v>Medium</v>
      </c>
      <c r="AM1144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145" spans="1:39" x14ac:dyDescent="0.35">
      <c r="A1145" s="1">
        <v>1144</v>
      </c>
      <c r="B1145">
        <v>45</v>
      </c>
      <c r="C1145" s="1" t="s">
        <v>40</v>
      </c>
      <c r="D1145" s="1" t="s">
        <v>52</v>
      </c>
      <c r="E1145">
        <v>336</v>
      </c>
      <c r="F1145" s="1" t="s">
        <v>35</v>
      </c>
      <c r="G1145">
        <v>26</v>
      </c>
      <c r="H1145">
        <v>3</v>
      </c>
      <c r="I1145" s="1" t="s">
        <v>56</v>
      </c>
      <c r="J1145">
        <v>1612</v>
      </c>
      <c r="K1145">
        <v>1</v>
      </c>
      <c r="L1145" s="1" t="s">
        <v>43</v>
      </c>
      <c r="M1145">
        <v>52</v>
      </c>
      <c r="N1145">
        <v>2</v>
      </c>
      <c r="O1145">
        <v>2</v>
      </c>
      <c r="P1145" s="1" t="s">
        <v>38</v>
      </c>
      <c r="Q1145">
        <v>1</v>
      </c>
      <c r="R1145" s="1" t="s">
        <v>45</v>
      </c>
      <c r="S1145">
        <v>4385</v>
      </c>
      <c r="T1145">
        <v>24162</v>
      </c>
      <c r="U1145">
        <v>1</v>
      </c>
      <c r="V1145" s="1" t="s">
        <v>40</v>
      </c>
      <c r="W1145">
        <v>15</v>
      </c>
      <c r="X1145">
        <v>3</v>
      </c>
      <c r="Y1145">
        <v>1</v>
      </c>
      <c r="Z1145">
        <v>80</v>
      </c>
      <c r="AA1145">
        <v>1</v>
      </c>
      <c r="AB1145">
        <v>10</v>
      </c>
      <c r="AC1145">
        <v>2</v>
      </c>
      <c r="AD1145">
        <v>3</v>
      </c>
      <c r="AE1145">
        <v>10</v>
      </c>
      <c r="AF1145">
        <v>7</v>
      </c>
      <c r="AG1145">
        <v>4</v>
      </c>
      <c r="AH1145">
        <v>5</v>
      </c>
      <c r="AI1145">
        <f>IF(tbl_HRData[[#This Row],[Attrition]] = "Yes",1,0)</f>
        <v>0</v>
      </c>
      <c r="AJ1145">
        <f>IF(tbl_HRData[[#This Row],[Attrition]] = "No",1,0)</f>
        <v>1</v>
      </c>
      <c r="AK1145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1145" s="1" t="str">
        <f>IF(tbl_HRData[[#This Row],[MonthlyIncome]]&lt;5000,"Low",
IF(tbl_HRData[[#This Row],[MonthlyIncome]]&lt;10000,"Medium",
IF(tbl_HRData[[#This Row],[MonthlyIncome]]&lt;15000,"Upper Medium","High")))</f>
        <v>Low</v>
      </c>
      <c r="AM1145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146" spans="1:39" x14ac:dyDescent="0.35">
      <c r="A1146" s="1">
        <v>1145</v>
      </c>
      <c r="B1146">
        <v>31</v>
      </c>
      <c r="C1146" s="1" t="s">
        <v>40</v>
      </c>
      <c r="D1146" s="1" t="s">
        <v>41</v>
      </c>
      <c r="E1146">
        <v>715</v>
      </c>
      <c r="F1146" s="1" t="s">
        <v>35</v>
      </c>
      <c r="G1146">
        <v>2</v>
      </c>
      <c r="H1146">
        <v>4</v>
      </c>
      <c r="I1146" s="1" t="s">
        <v>46</v>
      </c>
      <c r="J1146">
        <v>1613</v>
      </c>
      <c r="K1146">
        <v>4</v>
      </c>
      <c r="L1146" s="1" t="s">
        <v>43</v>
      </c>
      <c r="M1146">
        <v>54</v>
      </c>
      <c r="N1146">
        <v>3</v>
      </c>
      <c r="O1146">
        <v>2</v>
      </c>
      <c r="P1146" s="1" t="s">
        <v>38</v>
      </c>
      <c r="Q1146">
        <v>1</v>
      </c>
      <c r="R1146" s="1" t="s">
        <v>39</v>
      </c>
      <c r="S1146">
        <v>5332</v>
      </c>
      <c r="T1146">
        <v>21602</v>
      </c>
      <c r="U1146">
        <v>7</v>
      </c>
      <c r="V1146" s="1" t="s">
        <v>40</v>
      </c>
      <c r="W1146">
        <v>13</v>
      </c>
      <c r="X1146">
        <v>3</v>
      </c>
      <c r="Y1146">
        <v>4</v>
      </c>
      <c r="Z1146">
        <v>80</v>
      </c>
      <c r="AA1146">
        <v>0</v>
      </c>
      <c r="AB1146">
        <v>10</v>
      </c>
      <c r="AC1146">
        <v>3</v>
      </c>
      <c r="AD1146">
        <v>3</v>
      </c>
      <c r="AE1146">
        <v>5</v>
      </c>
      <c r="AF1146">
        <v>2</v>
      </c>
      <c r="AG1146">
        <v>0</v>
      </c>
      <c r="AH1146">
        <v>3</v>
      </c>
      <c r="AI1146">
        <f>IF(tbl_HRData[[#This Row],[Attrition]] = "Yes",1,0)</f>
        <v>0</v>
      </c>
      <c r="AJ1146">
        <f>IF(tbl_HRData[[#This Row],[Attrition]] = "No",1,0)</f>
        <v>1</v>
      </c>
      <c r="AK1146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146" s="1" t="str">
        <f>IF(tbl_HRData[[#This Row],[MonthlyIncome]]&lt;5000,"Low",
IF(tbl_HRData[[#This Row],[MonthlyIncome]]&lt;10000,"Medium",
IF(tbl_HRData[[#This Row],[MonthlyIncome]]&lt;15000,"Upper Medium","High")))</f>
        <v>Medium</v>
      </c>
      <c r="AM1146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147" spans="1:39" x14ac:dyDescent="0.35">
      <c r="A1147" s="1">
        <v>1146</v>
      </c>
      <c r="B1147">
        <v>36</v>
      </c>
      <c r="C1147" s="1" t="s">
        <v>40</v>
      </c>
      <c r="D1147" s="1" t="s">
        <v>34</v>
      </c>
      <c r="E1147">
        <v>559</v>
      </c>
      <c r="F1147" s="1" t="s">
        <v>42</v>
      </c>
      <c r="G1147">
        <v>12</v>
      </c>
      <c r="H1147">
        <v>4</v>
      </c>
      <c r="I1147" s="1" t="s">
        <v>36</v>
      </c>
      <c r="J1147">
        <v>1614</v>
      </c>
      <c r="K1147">
        <v>3</v>
      </c>
      <c r="L1147" s="1" t="s">
        <v>37</v>
      </c>
      <c r="M1147">
        <v>76</v>
      </c>
      <c r="N1147">
        <v>3</v>
      </c>
      <c r="O1147">
        <v>2</v>
      </c>
      <c r="P1147" s="1" t="s">
        <v>50</v>
      </c>
      <c r="Q1147">
        <v>3</v>
      </c>
      <c r="R1147" s="1" t="s">
        <v>45</v>
      </c>
      <c r="S1147">
        <v>4663</v>
      </c>
      <c r="T1147">
        <v>12421</v>
      </c>
      <c r="U1147">
        <v>9</v>
      </c>
      <c r="V1147" s="1" t="s">
        <v>33</v>
      </c>
      <c r="W1147">
        <v>12</v>
      </c>
      <c r="X1147">
        <v>3</v>
      </c>
      <c r="Y1147">
        <v>2</v>
      </c>
      <c r="Z1147">
        <v>80</v>
      </c>
      <c r="AA1147">
        <v>2</v>
      </c>
      <c r="AB1147">
        <v>7</v>
      </c>
      <c r="AC1147">
        <v>2</v>
      </c>
      <c r="AD1147">
        <v>3</v>
      </c>
      <c r="AE1147">
        <v>3</v>
      </c>
      <c r="AF1147">
        <v>2</v>
      </c>
      <c r="AG1147">
        <v>1</v>
      </c>
      <c r="AH1147">
        <v>1</v>
      </c>
      <c r="AI1147">
        <f>IF(tbl_HRData[[#This Row],[Attrition]] = "Yes",1,0)</f>
        <v>0</v>
      </c>
      <c r="AJ1147">
        <f>IF(tbl_HRData[[#This Row],[Attrition]] = "No",1,0)</f>
        <v>1</v>
      </c>
      <c r="AK1147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147" s="1" t="str">
        <f>IF(tbl_HRData[[#This Row],[MonthlyIncome]]&lt;5000,"Low",
IF(tbl_HRData[[#This Row],[MonthlyIncome]]&lt;10000,"Medium",
IF(tbl_HRData[[#This Row],[MonthlyIncome]]&lt;15000,"Upper Medium","High")))</f>
        <v>Low</v>
      </c>
      <c r="AM1147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148" spans="1:39" x14ac:dyDescent="0.35">
      <c r="A1148" s="1">
        <v>1147</v>
      </c>
      <c r="B1148">
        <v>34</v>
      </c>
      <c r="C1148" s="1" t="s">
        <v>40</v>
      </c>
      <c r="D1148" s="1" t="s">
        <v>41</v>
      </c>
      <c r="E1148">
        <v>426</v>
      </c>
      <c r="F1148" s="1" t="s">
        <v>42</v>
      </c>
      <c r="G1148">
        <v>10</v>
      </c>
      <c r="H1148">
        <v>4</v>
      </c>
      <c r="I1148" s="1" t="s">
        <v>36</v>
      </c>
      <c r="J1148">
        <v>1615</v>
      </c>
      <c r="K1148">
        <v>3</v>
      </c>
      <c r="L1148" s="1" t="s">
        <v>43</v>
      </c>
      <c r="M1148">
        <v>42</v>
      </c>
      <c r="N1148">
        <v>4</v>
      </c>
      <c r="O1148">
        <v>2</v>
      </c>
      <c r="P1148" s="1" t="s">
        <v>50</v>
      </c>
      <c r="Q1148">
        <v>4</v>
      </c>
      <c r="R1148" s="1" t="s">
        <v>49</v>
      </c>
      <c r="S1148">
        <v>4724</v>
      </c>
      <c r="T1148">
        <v>17000</v>
      </c>
      <c r="U1148">
        <v>1</v>
      </c>
      <c r="V1148" s="1" t="s">
        <v>40</v>
      </c>
      <c r="W1148">
        <v>13</v>
      </c>
      <c r="X1148">
        <v>3</v>
      </c>
      <c r="Y1148">
        <v>1</v>
      </c>
      <c r="Z1148">
        <v>80</v>
      </c>
      <c r="AA1148">
        <v>1</v>
      </c>
      <c r="AB1148">
        <v>9</v>
      </c>
      <c r="AC1148">
        <v>3</v>
      </c>
      <c r="AD1148">
        <v>3</v>
      </c>
      <c r="AE1148">
        <v>9</v>
      </c>
      <c r="AF1148">
        <v>7</v>
      </c>
      <c r="AG1148">
        <v>7</v>
      </c>
      <c r="AH1148">
        <v>2</v>
      </c>
      <c r="AI1148">
        <f>IF(tbl_HRData[[#This Row],[Attrition]] = "Yes",1,0)</f>
        <v>0</v>
      </c>
      <c r="AJ1148">
        <f>IF(tbl_HRData[[#This Row],[Attrition]] = "No",1,0)</f>
        <v>1</v>
      </c>
      <c r="AK1148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148" s="1" t="str">
        <f>IF(tbl_HRData[[#This Row],[MonthlyIncome]]&lt;5000,"Low",
IF(tbl_HRData[[#This Row],[MonthlyIncome]]&lt;10000,"Medium",
IF(tbl_HRData[[#This Row],[MonthlyIncome]]&lt;15000,"Upper Medium","High")))</f>
        <v>Low</v>
      </c>
      <c r="AM1148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149" spans="1:39" x14ac:dyDescent="0.35">
      <c r="A1149" s="1">
        <v>1148</v>
      </c>
      <c r="B1149">
        <v>49</v>
      </c>
      <c r="C1149" s="1" t="s">
        <v>40</v>
      </c>
      <c r="D1149" s="1" t="s">
        <v>34</v>
      </c>
      <c r="E1149">
        <v>722</v>
      </c>
      <c r="F1149" s="1" t="s">
        <v>42</v>
      </c>
      <c r="G1149">
        <v>25</v>
      </c>
      <c r="H1149">
        <v>4</v>
      </c>
      <c r="I1149" s="1" t="s">
        <v>36</v>
      </c>
      <c r="J1149">
        <v>1617</v>
      </c>
      <c r="K1149">
        <v>3</v>
      </c>
      <c r="L1149" s="1" t="s">
        <v>37</v>
      </c>
      <c r="M1149">
        <v>84</v>
      </c>
      <c r="N1149">
        <v>3</v>
      </c>
      <c r="O1149">
        <v>1</v>
      </c>
      <c r="P1149" s="1" t="s">
        <v>47</v>
      </c>
      <c r="Q1149">
        <v>1</v>
      </c>
      <c r="R1149" s="1" t="s">
        <v>45</v>
      </c>
      <c r="S1149">
        <v>3211</v>
      </c>
      <c r="T1149">
        <v>22102</v>
      </c>
      <c r="U1149">
        <v>1</v>
      </c>
      <c r="V1149" s="1" t="s">
        <v>40</v>
      </c>
      <c r="W1149">
        <v>14</v>
      </c>
      <c r="X1149">
        <v>3</v>
      </c>
      <c r="Y1149">
        <v>4</v>
      </c>
      <c r="Z1149">
        <v>80</v>
      </c>
      <c r="AA1149">
        <v>1</v>
      </c>
      <c r="AB1149">
        <v>10</v>
      </c>
      <c r="AC1149">
        <v>3</v>
      </c>
      <c r="AD1149">
        <v>2</v>
      </c>
      <c r="AE1149">
        <v>9</v>
      </c>
      <c r="AF1149">
        <v>6</v>
      </c>
      <c r="AG1149">
        <v>1</v>
      </c>
      <c r="AH1149">
        <v>4</v>
      </c>
      <c r="AI1149">
        <f>IF(tbl_HRData[[#This Row],[Attrition]] = "Yes",1,0)</f>
        <v>0</v>
      </c>
      <c r="AJ1149">
        <f>IF(tbl_HRData[[#This Row],[Attrition]] = "No",1,0)</f>
        <v>1</v>
      </c>
      <c r="AK1149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1149" s="1" t="str">
        <f>IF(tbl_HRData[[#This Row],[MonthlyIncome]]&lt;5000,"Low",
IF(tbl_HRData[[#This Row],[MonthlyIncome]]&lt;10000,"Medium",
IF(tbl_HRData[[#This Row],[MonthlyIncome]]&lt;15000,"Upper Medium","High")))</f>
        <v>Low</v>
      </c>
      <c r="AM1149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150" spans="1:39" x14ac:dyDescent="0.35">
      <c r="A1150" s="1">
        <v>1149</v>
      </c>
      <c r="B1150">
        <v>39</v>
      </c>
      <c r="C1150" s="1" t="s">
        <v>40</v>
      </c>
      <c r="D1150" s="1" t="s">
        <v>34</v>
      </c>
      <c r="E1150">
        <v>1387</v>
      </c>
      <c r="F1150" s="1" t="s">
        <v>42</v>
      </c>
      <c r="G1150">
        <v>10</v>
      </c>
      <c r="H1150">
        <v>5</v>
      </c>
      <c r="I1150" s="1" t="s">
        <v>48</v>
      </c>
      <c r="J1150">
        <v>1618</v>
      </c>
      <c r="K1150">
        <v>2</v>
      </c>
      <c r="L1150" s="1" t="s">
        <v>43</v>
      </c>
      <c r="M1150">
        <v>76</v>
      </c>
      <c r="N1150">
        <v>3</v>
      </c>
      <c r="O1150">
        <v>2</v>
      </c>
      <c r="P1150" s="1" t="s">
        <v>50</v>
      </c>
      <c r="Q1150">
        <v>1</v>
      </c>
      <c r="R1150" s="1" t="s">
        <v>45</v>
      </c>
      <c r="S1150">
        <v>5377</v>
      </c>
      <c r="T1150">
        <v>3835</v>
      </c>
      <c r="U1150">
        <v>2</v>
      </c>
      <c r="V1150" s="1" t="s">
        <v>40</v>
      </c>
      <c r="W1150">
        <v>13</v>
      </c>
      <c r="X1150">
        <v>3</v>
      </c>
      <c r="Y1150">
        <v>4</v>
      </c>
      <c r="Z1150">
        <v>80</v>
      </c>
      <c r="AA1150">
        <v>3</v>
      </c>
      <c r="AB1150">
        <v>10</v>
      </c>
      <c r="AC1150">
        <v>3</v>
      </c>
      <c r="AD1150">
        <v>3</v>
      </c>
      <c r="AE1150">
        <v>7</v>
      </c>
      <c r="AF1150">
        <v>7</v>
      </c>
      <c r="AG1150">
        <v>7</v>
      </c>
      <c r="AH1150">
        <v>7</v>
      </c>
      <c r="AI1150">
        <f>IF(tbl_HRData[[#This Row],[Attrition]] = "Yes",1,0)</f>
        <v>0</v>
      </c>
      <c r="AJ1150">
        <f>IF(tbl_HRData[[#This Row],[Attrition]] = "No",1,0)</f>
        <v>1</v>
      </c>
      <c r="AK1150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150" s="1" t="str">
        <f>IF(tbl_HRData[[#This Row],[MonthlyIncome]]&lt;5000,"Low",
IF(tbl_HRData[[#This Row],[MonthlyIncome]]&lt;10000,"Medium",
IF(tbl_HRData[[#This Row],[MonthlyIncome]]&lt;15000,"Upper Medium","High")))</f>
        <v>Medium</v>
      </c>
      <c r="AM1150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151" spans="1:39" x14ac:dyDescent="0.35">
      <c r="A1151" s="1">
        <v>1150</v>
      </c>
      <c r="B1151">
        <v>27</v>
      </c>
      <c r="C1151" s="1" t="s">
        <v>40</v>
      </c>
      <c r="D1151" s="1" t="s">
        <v>34</v>
      </c>
      <c r="E1151">
        <v>1302</v>
      </c>
      <c r="F1151" s="1" t="s">
        <v>42</v>
      </c>
      <c r="G1151">
        <v>19</v>
      </c>
      <c r="H1151">
        <v>3</v>
      </c>
      <c r="I1151" s="1" t="s">
        <v>46</v>
      </c>
      <c r="J1151">
        <v>1619</v>
      </c>
      <c r="K1151">
        <v>4</v>
      </c>
      <c r="L1151" s="1" t="s">
        <v>43</v>
      </c>
      <c r="M1151">
        <v>67</v>
      </c>
      <c r="N1151">
        <v>2</v>
      </c>
      <c r="O1151">
        <v>1</v>
      </c>
      <c r="P1151" s="1" t="s">
        <v>47</v>
      </c>
      <c r="Q1151">
        <v>1</v>
      </c>
      <c r="R1151" s="1" t="s">
        <v>49</v>
      </c>
      <c r="S1151">
        <v>4066</v>
      </c>
      <c r="T1151">
        <v>16290</v>
      </c>
      <c r="U1151">
        <v>1</v>
      </c>
      <c r="V1151" s="1" t="s">
        <v>40</v>
      </c>
      <c r="W1151">
        <v>11</v>
      </c>
      <c r="X1151">
        <v>3</v>
      </c>
      <c r="Y1151">
        <v>1</v>
      </c>
      <c r="Z1151">
        <v>80</v>
      </c>
      <c r="AA1151">
        <v>2</v>
      </c>
      <c r="AB1151">
        <v>7</v>
      </c>
      <c r="AC1151">
        <v>3</v>
      </c>
      <c r="AD1151">
        <v>3</v>
      </c>
      <c r="AE1151">
        <v>7</v>
      </c>
      <c r="AF1151">
        <v>7</v>
      </c>
      <c r="AG1151">
        <v>0</v>
      </c>
      <c r="AH1151">
        <v>7</v>
      </c>
      <c r="AI1151">
        <f>IF(tbl_HRData[[#This Row],[Attrition]] = "Yes",1,0)</f>
        <v>0</v>
      </c>
      <c r="AJ1151">
        <f>IF(tbl_HRData[[#This Row],[Attrition]] = "No",1,0)</f>
        <v>1</v>
      </c>
      <c r="AK1151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151" s="1" t="str">
        <f>IF(tbl_HRData[[#This Row],[MonthlyIncome]]&lt;5000,"Low",
IF(tbl_HRData[[#This Row],[MonthlyIncome]]&lt;10000,"Medium",
IF(tbl_HRData[[#This Row],[MonthlyIncome]]&lt;15000,"Upper Medium","High")))</f>
        <v>Low</v>
      </c>
      <c r="AM1151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152" spans="1:39" x14ac:dyDescent="0.35">
      <c r="A1152" s="1">
        <v>1151</v>
      </c>
      <c r="B1152">
        <v>35</v>
      </c>
      <c r="C1152" s="1" t="s">
        <v>40</v>
      </c>
      <c r="D1152" s="1" t="s">
        <v>34</v>
      </c>
      <c r="E1152">
        <v>819</v>
      </c>
      <c r="F1152" s="1" t="s">
        <v>42</v>
      </c>
      <c r="G1152">
        <v>18</v>
      </c>
      <c r="H1152">
        <v>5</v>
      </c>
      <c r="I1152" s="1" t="s">
        <v>36</v>
      </c>
      <c r="J1152">
        <v>1621</v>
      </c>
      <c r="K1152">
        <v>2</v>
      </c>
      <c r="L1152" s="1" t="s">
        <v>43</v>
      </c>
      <c r="M1152">
        <v>48</v>
      </c>
      <c r="N1152">
        <v>4</v>
      </c>
      <c r="O1152">
        <v>2</v>
      </c>
      <c r="P1152" s="1" t="s">
        <v>44</v>
      </c>
      <c r="Q1152">
        <v>1</v>
      </c>
      <c r="R1152" s="1" t="s">
        <v>45</v>
      </c>
      <c r="S1152">
        <v>5208</v>
      </c>
      <c r="T1152">
        <v>26312</v>
      </c>
      <c r="U1152">
        <v>1</v>
      </c>
      <c r="V1152" s="1" t="s">
        <v>40</v>
      </c>
      <c r="W1152">
        <v>11</v>
      </c>
      <c r="X1152">
        <v>3</v>
      </c>
      <c r="Y1152">
        <v>4</v>
      </c>
      <c r="Z1152">
        <v>80</v>
      </c>
      <c r="AA1152">
        <v>0</v>
      </c>
      <c r="AB1152">
        <v>16</v>
      </c>
      <c r="AC1152">
        <v>2</v>
      </c>
      <c r="AD1152">
        <v>3</v>
      </c>
      <c r="AE1152">
        <v>16</v>
      </c>
      <c r="AF1152">
        <v>15</v>
      </c>
      <c r="AG1152">
        <v>1</v>
      </c>
      <c r="AH1152">
        <v>10</v>
      </c>
      <c r="AI1152">
        <f>IF(tbl_HRData[[#This Row],[Attrition]] = "Yes",1,0)</f>
        <v>0</v>
      </c>
      <c r="AJ1152">
        <f>IF(tbl_HRData[[#This Row],[Attrition]] = "No",1,0)</f>
        <v>1</v>
      </c>
      <c r="AK1152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152" s="1" t="str">
        <f>IF(tbl_HRData[[#This Row],[MonthlyIncome]]&lt;5000,"Low",
IF(tbl_HRData[[#This Row],[MonthlyIncome]]&lt;10000,"Medium",
IF(tbl_HRData[[#This Row],[MonthlyIncome]]&lt;15000,"Upper Medium","High")))</f>
        <v>Medium</v>
      </c>
      <c r="AM1152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1153" spans="1:39" x14ac:dyDescent="0.35">
      <c r="A1153" s="1">
        <v>1152</v>
      </c>
      <c r="B1153">
        <v>28</v>
      </c>
      <c r="C1153" s="1" t="s">
        <v>40</v>
      </c>
      <c r="D1153" s="1" t="s">
        <v>34</v>
      </c>
      <c r="E1153">
        <v>580</v>
      </c>
      <c r="F1153" s="1" t="s">
        <v>42</v>
      </c>
      <c r="G1153">
        <v>27</v>
      </c>
      <c r="H1153">
        <v>3</v>
      </c>
      <c r="I1153" s="1" t="s">
        <v>48</v>
      </c>
      <c r="J1153">
        <v>1622</v>
      </c>
      <c r="K1153">
        <v>2</v>
      </c>
      <c r="L1153" s="1" t="s">
        <v>37</v>
      </c>
      <c r="M1153">
        <v>39</v>
      </c>
      <c r="N1153">
        <v>1</v>
      </c>
      <c r="O1153">
        <v>2</v>
      </c>
      <c r="P1153" s="1" t="s">
        <v>50</v>
      </c>
      <c r="Q1153">
        <v>1</v>
      </c>
      <c r="R1153" s="1" t="s">
        <v>49</v>
      </c>
      <c r="S1153">
        <v>4877</v>
      </c>
      <c r="T1153">
        <v>20460</v>
      </c>
      <c r="U1153">
        <v>0</v>
      </c>
      <c r="V1153" s="1" t="s">
        <v>40</v>
      </c>
      <c r="W1153">
        <v>21</v>
      </c>
      <c r="X1153">
        <v>4</v>
      </c>
      <c r="Y1153">
        <v>2</v>
      </c>
      <c r="Z1153">
        <v>80</v>
      </c>
      <c r="AA1153">
        <v>1</v>
      </c>
      <c r="AB1153">
        <v>6</v>
      </c>
      <c r="AC1153">
        <v>5</v>
      </c>
      <c r="AD1153">
        <v>2</v>
      </c>
      <c r="AE1153">
        <v>5</v>
      </c>
      <c r="AF1153">
        <v>3</v>
      </c>
      <c r="AG1153">
        <v>0</v>
      </c>
      <c r="AH1153">
        <v>0</v>
      </c>
      <c r="AI1153">
        <f>IF(tbl_HRData[[#This Row],[Attrition]] = "Yes",1,0)</f>
        <v>0</v>
      </c>
      <c r="AJ1153">
        <f>IF(tbl_HRData[[#This Row],[Attrition]] = "No",1,0)</f>
        <v>1</v>
      </c>
      <c r="AK1153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153" s="1" t="str">
        <f>IF(tbl_HRData[[#This Row],[MonthlyIncome]]&lt;5000,"Low",
IF(tbl_HRData[[#This Row],[MonthlyIncome]]&lt;10000,"Medium",
IF(tbl_HRData[[#This Row],[MonthlyIncome]]&lt;15000,"Upper Medium","High")))</f>
        <v>Low</v>
      </c>
      <c r="AM1153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154" spans="1:39" x14ac:dyDescent="0.35">
      <c r="A1154" s="1">
        <v>1153</v>
      </c>
      <c r="B1154">
        <v>21</v>
      </c>
      <c r="C1154" s="1" t="s">
        <v>40</v>
      </c>
      <c r="D1154" s="1" t="s">
        <v>34</v>
      </c>
      <c r="E1154">
        <v>546</v>
      </c>
      <c r="F1154" s="1" t="s">
        <v>42</v>
      </c>
      <c r="G1154">
        <v>5</v>
      </c>
      <c r="H1154">
        <v>1</v>
      </c>
      <c r="I1154" s="1" t="s">
        <v>48</v>
      </c>
      <c r="J1154">
        <v>1623</v>
      </c>
      <c r="K1154">
        <v>3</v>
      </c>
      <c r="L1154" s="1" t="s">
        <v>43</v>
      </c>
      <c r="M1154">
        <v>97</v>
      </c>
      <c r="N1154">
        <v>3</v>
      </c>
      <c r="O1154">
        <v>1</v>
      </c>
      <c r="P1154" s="1" t="s">
        <v>44</v>
      </c>
      <c r="Q1154">
        <v>4</v>
      </c>
      <c r="R1154" s="1" t="s">
        <v>39</v>
      </c>
      <c r="S1154">
        <v>3117</v>
      </c>
      <c r="T1154">
        <v>26009</v>
      </c>
      <c r="U1154">
        <v>1</v>
      </c>
      <c r="V1154" s="1" t="s">
        <v>40</v>
      </c>
      <c r="W1154">
        <v>18</v>
      </c>
      <c r="X1154">
        <v>3</v>
      </c>
      <c r="Y1154">
        <v>3</v>
      </c>
      <c r="Z1154">
        <v>80</v>
      </c>
      <c r="AA1154">
        <v>0</v>
      </c>
      <c r="AB1154">
        <v>3</v>
      </c>
      <c r="AC1154">
        <v>2</v>
      </c>
      <c r="AD1154">
        <v>3</v>
      </c>
      <c r="AE1154">
        <v>2</v>
      </c>
      <c r="AF1154">
        <v>2</v>
      </c>
      <c r="AG1154">
        <v>2</v>
      </c>
      <c r="AH1154">
        <v>2</v>
      </c>
      <c r="AI1154">
        <f>IF(tbl_HRData[[#This Row],[Attrition]] = "Yes",1,0)</f>
        <v>0</v>
      </c>
      <c r="AJ1154">
        <f>IF(tbl_HRData[[#This Row],[Attrition]] = "No",1,0)</f>
        <v>1</v>
      </c>
      <c r="AK1154" t="str">
        <f>IF(tbl_HRData[[#This Row],[Age]] &lt; 25, "Under 25", IF(tbl_HRData[[#This Row],[Age]] &lt;= 34, "25-34", IF(tbl_HRData[[#This Row],[Age]] &lt;= 44, "35-44", IF(tbl_HRData[[#This Row],[Age]] &lt;= 54, "45-54", "55+"))))</f>
        <v>Under 25</v>
      </c>
      <c r="AL1154" s="1" t="str">
        <f>IF(tbl_HRData[[#This Row],[MonthlyIncome]]&lt;5000,"Low",
IF(tbl_HRData[[#This Row],[MonthlyIncome]]&lt;10000,"Medium",
IF(tbl_HRData[[#This Row],[MonthlyIncome]]&lt;15000,"Upper Medium","High")))</f>
        <v>Low</v>
      </c>
      <c r="AM1154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155" spans="1:39" x14ac:dyDescent="0.35">
      <c r="A1155" s="1">
        <v>1154</v>
      </c>
      <c r="B1155">
        <v>18</v>
      </c>
      <c r="C1155" s="1" t="s">
        <v>33</v>
      </c>
      <c r="D1155" s="1" t="s">
        <v>41</v>
      </c>
      <c r="E1155">
        <v>544</v>
      </c>
      <c r="F1155" s="1" t="s">
        <v>35</v>
      </c>
      <c r="G1155">
        <v>3</v>
      </c>
      <c r="H1155">
        <v>2</v>
      </c>
      <c r="I1155" s="1" t="s">
        <v>48</v>
      </c>
      <c r="J1155">
        <v>1624</v>
      </c>
      <c r="K1155">
        <v>2</v>
      </c>
      <c r="L1155" s="1" t="s">
        <v>37</v>
      </c>
      <c r="M1155">
        <v>70</v>
      </c>
      <c r="N1155">
        <v>3</v>
      </c>
      <c r="O1155">
        <v>1</v>
      </c>
      <c r="P1155" s="1" t="s">
        <v>54</v>
      </c>
      <c r="Q1155">
        <v>4</v>
      </c>
      <c r="R1155" s="1" t="s">
        <v>39</v>
      </c>
      <c r="S1155">
        <v>1569</v>
      </c>
      <c r="T1155">
        <v>18420</v>
      </c>
      <c r="U1155">
        <v>1</v>
      </c>
      <c r="V1155" s="1" t="s">
        <v>33</v>
      </c>
      <c r="W1155">
        <v>12</v>
      </c>
      <c r="X1155">
        <v>3</v>
      </c>
      <c r="Y1155">
        <v>3</v>
      </c>
      <c r="Z1155">
        <v>80</v>
      </c>
      <c r="AA1155">
        <v>0</v>
      </c>
      <c r="AB1155">
        <v>0</v>
      </c>
      <c r="AC1155">
        <v>2</v>
      </c>
      <c r="AD1155">
        <v>4</v>
      </c>
      <c r="AE1155">
        <v>0</v>
      </c>
      <c r="AF1155">
        <v>0</v>
      </c>
      <c r="AG1155">
        <v>0</v>
      </c>
      <c r="AH1155">
        <v>0</v>
      </c>
      <c r="AI1155">
        <f>IF(tbl_HRData[[#This Row],[Attrition]] = "Yes",1,0)</f>
        <v>1</v>
      </c>
      <c r="AJ1155">
        <f>IF(tbl_HRData[[#This Row],[Attrition]] = "No",1,0)</f>
        <v>0</v>
      </c>
      <c r="AK1155" t="str">
        <f>IF(tbl_HRData[[#This Row],[Age]] &lt; 25, "Under 25", IF(tbl_HRData[[#This Row],[Age]] &lt;= 34, "25-34", IF(tbl_HRData[[#This Row],[Age]] &lt;= 44, "35-44", IF(tbl_HRData[[#This Row],[Age]] &lt;= 54, "45-54", "55+"))))</f>
        <v>Under 25</v>
      </c>
      <c r="AL1155" s="1" t="str">
        <f>IF(tbl_HRData[[#This Row],[MonthlyIncome]]&lt;5000,"Low",
IF(tbl_HRData[[#This Row],[MonthlyIncome]]&lt;10000,"Medium",
IF(tbl_HRData[[#This Row],[MonthlyIncome]]&lt;15000,"Upper Medium","High")))</f>
        <v>Low</v>
      </c>
      <c r="AM1155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156" spans="1:39" x14ac:dyDescent="0.35">
      <c r="A1156" s="1">
        <v>1155</v>
      </c>
      <c r="B1156">
        <v>47</v>
      </c>
      <c r="C1156" s="1" t="s">
        <v>40</v>
      </c>
      <c r="D1156" s="1" t="s">
        <v>34</v>
      </c>
      <c r="E1156">
        <v>1176</v>
      </c>
      <c r="F1156" s="1" t="s">
        <v>58</v>
      </c>
      <c r="G1156">
        <v>26</v>
      </c>
      <c r="H1156">
        <v>4</v>
      </c>
      <c r="I1156" s="1" t="s">
        <v>36</v>
      </c>
      <c r="J1156">
        <v>1625</v>
      </c>
      <c r="K1156">
        <v>4</v>
      </c>
      <c r="L1156" s="1" t="s">
        <v>37</v>
      </c>
      <c r="M1156">
        <v>98</v>
      </c>
      <c r="N1156">
        <v>3</v>
      </c>
      <c r="O1156">
        <v>5</v>
      </c>
      <c r="P1156" s="1" t="s">
        <v>53</v>
      </c>
      <c r="Q1156">
        <v>3</v>
      </c>
      <c r="R1156" s="1" t="s">
        <v>45</v>
      </c>
      <c r="S1156">
        <v>19658</v>
      </c>
      <c r="T1156">
        <v>5220</v>
      </c>
      <c r="U1156">
        <v>3</v>
      </c>
      <c r="V1156" s="1" t="s">
        <v>40</v>
      </c>
      <c r="W1156">
        <v>11</v>
      </c>
      <c r="X1156">
        <v>3</v>
      </c>
      <c r="Y1156">
        <v>3</v>
      </c>
      <c r="Z1156">
        <v>80</v>
      </c>
      <c r="AA1156">
        <v>1</v>
      </c>
      <c r="AB1156">
        <v>27</v>
      </c>
      <c r="AC1156">
        <v>2</v>
      </c>
      <c r="AD1156">
        <v>3</v>
      </c>
      <c r="AE1156">
        <v>5</v>
      </c>
      <c r="AF1156">
        <v>2</v>
      </c>
      <c r="AG1156">
        <v>1</v>
      </c>
      <c r="AH1156">
        <v>0</v>
      </c>
      <c r="AI1156">
        <f>IF(tbl_HRData[[#This Row],[Attrition]] = "Yes",1,0)</f>
        <v>0</v>
      </c>
      <c r="AJ1156">
        <f>IF(tbl_HRData[[#This Row],[Attrition]] = "No",1,0)</f>
        <v>1</v>
      </c>
      <c r="AK1156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1156" s="1" t="str">
        <f>IF(tbl_HRData[[#This Row],[MonthlyIncome]]&lt;5000,"Low",
IF(tbl_HRData[[#This Row],[MonthlyIncome]]&lt;10000,"Medium",
IF(tbl_HRData[[#This Row],[MonthlyIncome]]&lt;15000,"Upper Medium","High")))</f>
        <v>High</v>
      </c>
      <c r="AM1156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157" spans="1:39" x14ac:dyDescent="0.35">
      <c r="A1157" s="1">
        <v>1156</v>
      </c>
      <c r="B1157">
        <v>39</v>
      </c>
      <c r="C1157" s="1" t="s">
        <v>40</v>
      </c>
      <c r="D1157" s="1" t="s">
        <v>34</v>
      </c>
      <c r="E1157">
        <v>170</v>
      </c>
      <c r="F1157" s="1" t="s">
        <v>42</v>
      </c>
      <c r="G1157">
        <v>3</v>
      </c>
      <c r="H1157">
        <v>2</v>
      </c>
      <c r="I1157" s="1" t="s">
        <v>48</v>
      </c>
      <c r="J1157">
        <v>1627</v>
      </c>
      <c r="K1157">
        <v>3</v>
      </c>
      <c r="L1157" s="1" t="s">
        <v>43</v>
      </c>
      <c r="M1157">
        <v>76</v>
      </c>
      <c r="N1157">
        <v>2</v>
      </c>
      <c r="O1157">
        <v>2</v>
      </c>
      <c r="P1157" s="1" t="s">
        <v>47</v>
      </c>
      <c r="Q1157">
        <v>3</v>
      </c>
      <c r="R1157" s="1" t="s">
        <v>49</v>
      </c>
      <c r="S1157">
        <v>3069</v>
      </c>
      <c r="T1157">
        <v>10302</v>
      </c>
      <c r="U1157">
        <v>0</v>
      </c>
      <c r="V1157" s="1" t="s">
        <v>40</v>
      </c>
      <c r="W1157">
        <v>15</v>
      </c>
      <c r="X1157">
        <v>3</v>
      </c>
      <c r="Y1157">
        <v>4</v>
      </c>
      <c r="Z1157">
        <v>80</v>
      </c>
      <c r="AA1157">
        <v>1</v>
      </c>
      <c r="AB1157">
        <v>11</v>
      </c>
      <c r="AC1157">
        <v>3</v>
      </c>
      <c r="AD1157">
        <v>3</v>
      </c>
      <c r="AE1157">
        <v>10</v>
      </c>
      <c r="AF1157">
        <v>8</v>
      </c>
      <c r="AG1157">
        <v>0</v>
      </c>
      <c r="AH1157">
        <v>7</v>
      </c>
      <c r="AI1157">
        <f>IF(tbl_HRData[[#This Row],[Attrition]] = "Yes",1,0)</f>
        <v>0</v>
      </c>
      <c r="AJ1157">
        <f>IF(tbl_HRData[[#This Row],[Attrition]] = "No",1,0)</f>
        <v>1</v>
      </c>
      <c r="AK1157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157" s="1" t="str">
        <f>IF(tbl_HRData[[#This Row],[MonthlyIncome]]&lt;5000,"Low",
IF(tbl_HRData[[#This Row],[MonthlyIncome]]&lt;10000,"Medium",
IF(tbl_HRData[[#This Row],[MonthlyIncome]]&lt;15000,"Upper Medium","High")))</f>
        <v>Low</v>
      </c>
      <c r="AM1157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158" spans="1:39" x14ac:dyDescent="0.35">
      <c r="A1158" s="1">
        <v>1157</v>
      </c>
      <c r="B1158">
        <v>40</v>
      </c>
      <c r="C1158" s="1" t="s">
        <v>40</v>
      </c>
      <c r="D1158" s="1" t="s">
        <v>34</v>
      </c>
      <c r="E1158">
        <v>884</v>
      </c>
      <c r="F1158" s="1" t="s">
        <v>42</v>
      </c>
      <c r="G1158">
        <v>15</v>
      </c>
      <c r="H1158">
        <v>3</v>
      </c>
      <c r="I1158" s="1" t="s">
        <v>36</v>
      </c>
      <c r="J1158">
        <v>1628</v>
      </c>
      <c r="K1158">
        <v>1</v>
      </c>
      <c r="L1158" s="1" t="s">
        <v>37</v>
      </c>
      <c r="M1158">
        <v>80</v>
      </c>
      <c r="N1158">
        <v>2</v>
      </c>
      <c r="O1158">
        <v>3</v>
      </c>
      <c r="P1158" s="1" t="s">
        <v>50</v>
      </c>
      <c r="Q1158">
        <v>3</v>
      </c>
      <c r="R1158" s="1" t="s">
        <v>45</v>
      </c>
      <c r="S1158">
        <v>10435</v>
      </c>
      <c r="T1158">
        <v>25800</v>
      </c>
      <c r="U1158">
        <v>1</v>
      </c>
      <c r="V1158" s="1" t="s">
        <v>40</v>
      </c>
      <c r="W1158">
        <v>13</v>
      </c>
      <c r="X1158">
        <v>3</v>
      </c>
      <c r="Y1158">
        <v>4</v>
      </c>
      <c r="Z1158">
        <v>80</v>
      </c>
      <c r="AA1158">
        <v>2</v>
      </c>
      <c r="AB1158">
        <v>18</v>
      </c>
      <c r="AC1158">
        <v>2</v>
      </c>
      <c r="AD1158">
        <v>3</v>
      </c>
      <c r="AE1158">
        <v>18</v>
      </c>
      <c r="AF1158">
        <v>15</v>
      </c>
      <c r="AG1158">
        <v>14</v>
      </c>
      <c r="AH1158">
        <v>12</v>
      </c>
      <c r="AI1158">
        <f>IF(tbl_HRData[[#This Row],[Attrition]] = "Yes",1,0)</f>
        <v>0</v>
      </c>
      <c r="AJ1158">
        <f>IF(tbl_HRData[[#This Row],[Attrition]] = "No",1,0)</f>
        <v>1</v>
      </c>
      <c r="AK1158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158" s="1" t="str">
        <f>IF(tbl_HRData[[#This Row],[MonthlyIncome]]&lt;5000,"Low",
IF(tbl_HRData[[#This Row],[MonthlyIncome]]&lt;10000,"Medium",
IF(tbl_HRData[[#This Row],[MonthlyIncome]]&lt;15000,"Upper Medium","High")))</f>
        <v>Upper Medium</v>
      </c>
      <c r="AM1158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1159" spans="1:39" x14ac:dyDescent="0.35">
      <c r="A1159" s="1">
        <v>1158</v>
      </c>
      <c r="B1159">
        <v>35</v>
      </c>
      <c r="C1159" s="1" t="s">
        <v>40</v>
      </c>
      <c r="D1159" s="1" t="s">
        <v>52</v>
      </c>
      <c r="E1159">
        <v>208</v>
      </c>
      <c r="F1159" s="1" t="s">
        <v>42</v>
      </c>
      <c r="G1159">
        <v>8</v>
      </c>
      <c r="H1159">
        <v>4</v>
      </c>
      <c r="I1159" s="1" t="s">
        <v>36</v>
      </c>
      <c r="J1159">
        <v>1630</v>
      </c>
      <c r="K1159">
        <v>3</v>
      </c>
      <c r="L1159" s="1" t="s">
        <v>37</v>
      </c>
      <c r="M1159">
        <v>52</v>
      </c>
      <c r="N1159">
        <v>3</v>
      </c>
      <c r="O1159">
        <v>2</v>
      </c>
      <c r="P1159" s="1" t="s">
        <v>51</v>
      </c>
      <c r="Q1159">
        <v>3</v>
      </c>
      <c r="R1159" s="1" t="s">
        <v>45</v>
      </c>
      <c r="S1159">
        <v>4148</v>
      </c>
      <c r="T1159">
        <v>12250</v>
      </c>
      <c r="U1159">
        <v>1</v>
      </c>
      <c r="V1159" s="1" t="s">
        <v>40</v>
      </c>
      <c r="W1159">
        <v>12</v>
      </c>
      <c r="X1159">
        <v>3</v>
      </c>
      <c r="Y1159">
        <v>4</v>
      </c>
      <c r="Z1159">
        <v>80</v>
      </c>
      <c r="AA1159">
        <v>1</v>
      </c>
      <c r="AB1159">
        <v>15</v>
      </c>
      <c r="AC1159">
        <v>5</v>
      </c>
      <c r="AD1159">
        <v>3</v>
      </c>
      <c r="AE1159">
        <v>14</v>
      </c>
      <c r="AF1159">
        <v>11</v>
      </c>
      <c r="AG1159">
        <v>2</v>
      </c>
      <c r="AH1159">
        <v>9</v>
      </c>
      <c r="AI1159">
        <f>IF(tbl_HRData[[#This Row],[Attrition]] = "Yes",1,0)</f>
        <v>0</v>
      </c>
      <c r="AJ1159">
        <f>IF(tbl_HRData[[#This Row],[Attrition]] = "No",1,0)</f>
        <v>1</v>
      </c>
      <c r="AK1159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159" s="1" t="str">
        <f>IF(tbl_HRData[[#This Row],[MonthlyIncome]]&lt;5000,"Low",
IF(tbl_HRData[[#This Row],[MonthlyIncome]]&lt;10000,"Medium",
IF(tbl_HRData[[#This Row],[MonthlyIncome]]&lt;15000,"Upper Medium","High")))</f>
        <v>Low</v>
      </c>
      <c r="AM1159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1160" spans="1:39" x14ac:dyDescent="0.35">
      <c r="A1160" s="1">
        <v>1159</v>
      </c>
      <c r="B1160">
        <v>37</v>
      </c>
      <c r="C1160" s="1" t="s">
        <v>40</v>
      </c>
      <c r="D1160" s="1" t="s">
        <v>34</v>
      </c>
      <c r="E1160">
        <v>671</v>
      </c>
      <c r="F1160" s="1" t="s">
        <v>42</v>
      </c>
      <c r="G1160">
        <v>19</v>
      </c>
      <c r="H1160">
        <v>3</v>
      </c>
      <c r="I1160" s="1" t="s">
        <v>36</v>
      </c>
      <c r="J1160">
        <v>1631</v>
      </c>
      <c r="K1160">
        <v>3</v>
      </c>
      <c r="L1160" s="1" t="s">
        <v>43</v>
      </c>
      <c r="M1160">
        <v>85</v>
      </c>
      <c r="N1160">
        <v>3</v>
      </c>
      <c r="O1160">
        <v>2</v>
      </c>
      <c r="P1160" s="1" t="s">
        <v>50</v>
      </c>
      <c r="Q1160">
        <v>3</v>
      </c>
      <c r="R1160" s="1" t="s">
        <v>45</v>
      </c>
      <c r="S1160">
        <v>5768</v>
      </c>
      <c r="T1160">
        <v>26493</v>
      </c>
      <c r="U1160">
        <v>3</v>
      </c>
      <c r="V1160" s="1" t="s">
        <v>40</v>
      </c>
      <c r="W1160">
        <v>17</v>
      </c>
      <c r="X1160">
        <v>3</v>
      </c>
      <c r="Y1160">
        <v>1</v>
      </c>
      <c r="Z1160">
        <v>80</v>
      </c>
      <c r="AA1160">
        <v>3</v>
      </c>
      <c r="AB1160">
        <v>9</v>
      </c>
      <c r="AC1160">
        <v>2</v>
      </c>
      <c r="AD1160">
        <v>2</v>
      </c>
      <c r="AE1160">
        <v>4</v>
      </c>
      <c r="AF1160">
        <v>3</v>
      </c>
      <c r="AG1160">
        <v>0</v>
      </c>
      <c r="AH1160">
        <v>2</v>
      </c>
      <c r="AI1160">
        <f>IF(tbl_HRData[[#This Row],[Attrition]] = "Yes",1,0)</f>
        <v>0</v>
      </c>
      <c r="AJ1160">
        <f>IF(tbl_HRData[[#This Row],[Attrition]] = "No",1,0)</f>
        <v>1</v>
      </c>
      <c r="AK1160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160" s="1" t="str">
        <f>IF(tbl_HRData[[#This Row],[MonthlyIncome]]&lt;5000,"Low",
IF(tbl_HRData[[#This Row],[MonthlyIncome]]&lt;10000,"Medium",
IF(tbl_HRData[[#This Row],[MonthlyIncome]]&lt;15000,"Upper Medium","High")))</f>
        <v>Medium</v>
      </c>
      <c r="AM1160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161" spans="1:39" x14ac:dyDescent="0.35">
      <c r="A1161" s="1">
        <v>1160</v>
      </c>
      <c r="B1161">
        <v>39</v>
      </c>
      <c r="C1161" s="1" t="s">
        <v>40</v>
      </c>
      <c r="D1161" s="1" t="s">
        <v>41</v>
      </c>
      <c r="E1161">
        <v>711</v>
      </c>
      <c r="F1161" s="1" t="s">
        <v>42</v>
      </c>
      <c r="G1161">
        <v>4</v>
      </c>
      <c r="H1161">
        <v>3</v>
      </c>
      <c r="I1161" s="1" t="s">
        <v>48</v>
      </c>
      <c r="J1161">
        <v>1633</v>
      </c>
      <c r="K1161">
        <v>1</v>
      </c>
      <c r="L1161" s="1" t="s">
        <v>37</v>
      </c>
      <c r="M1161">
        <v>81</v>
      </c>
      <c r="N1161">
        <v>3</v>
      </c>
      <c r="O1161">
        <v>2</v>
      </c>
      <c r="P1161" s="1" t="s">
        <v>50</v>
      </c>
      <c r="Q1161">
        <v>3</v>
      </c>
      <c r="R1161" s="1" t="s">
        <v>39</v>
      </c>
      <c r="S1161">
        <v>5042</v>
      </c>
      <c r="T1161">
        <v>3140</v>
      </c>
      <c r="U1161">
        <v>0</v>
      </c>
      <c r="V1161" s="1" t="s">
        <v>40</v>
      </c>
      <c r="W1161">
        <v>13</v>
      </c>
      <c r="X1161">
        <v>3</v>
      </c>
      <c r="Y1161">
        <v>4</v>
      </c>
      <c r="Z1161">
        <v>80</v>
      </c>
      <c r="AA1161">
        <v>0</v>
      </c>
      <c r="AB1161">
        <v>10</v>
      </c>
      <c r="AC1161">
        <v>2</v>
      </c>
      <c r="AD1161">
        <v>1</v>
      </c>
      <c r="AE1161">
        <v>9</v>
      </c>
      <c r="AF1161">
        <v>2</v>
      </c>
      <c r="AG1161">
        <v>3</v>
      </c>
      <c r="AH1161">
        <v>8</v>
      </c>
      <c r="AI1161">
        <f>IF(tbl_HRData[[#This Row],[Attrition]] = "Yes",1,0)</f>
        <v>0</v>
      </c>
      <c r="AJ1161">
        <f>IF(tbl_HRData[[#This Row],[Attrition]] = "No",1,0)</f>
        <v>1</v>
      </c>
      <c r="AK1161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161" s="1" t="str">
        <f>IF(tbl_HRData[[#This Row],[MonthlyIncome]]&lt;5000,"Low",
IF(tbl_HRData[[#This Row],[MonthlyIncome]]&lt;10000,"Medium",
IF(tbl_HRData[[#This Row],[MonthlyIncome]]&lt;15000,"Upper Medium","High")))</f>
        <v>Medium</v>
      </c>
      <c r="AM1161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162" spans="1:39" x14ac:dyDescent="0.35">
      <c r="A1162" s="1">
        <v>1161</v>
      </c>
      <c r="B1162">
        <v>45</v>
      </c>
      <c r="C1162" s="1" t="s">
        <v>40</v>
      </c>
      <c r="D1162" s="1" t="s">
        <v>34</v>
      </c>
      <c r="E1162">
        <v>1329</v>
      </c>
      <c r="F1162" s="1" t="s">
        <v>42</v>
      </c>
      <c r="G1162">
        <v>2</v>
      </c>
      <c r="H1162">
        <v>2</v>
      </c>
      <c r="I1162" s="1" t="s">
        <v>46</v>
      </c>
      <c r="J1162">
        <v>1635</v>
      </c>
      <c r="K1162">
        <v>4</v>
      </c>
      <c r="L1162" s="1" t="s">
        <v>37</v>
      </c>
      <c r="M1162">
        <v>59</v>
      </c>
      <c r="N1162">
        <v>2</v>
      </c>
      <c r="O1162">
        <v>2</v>
      </c>
      <c r="P1162" s="1" t="s">
        <v>50</v>
      </c>
      <c r="Q1162">
        <v>4</v>
      </c>
      <c r="R1162" s="1" t="s">
        <v>49</v>
      </c>
      <c r="S1162">
        <v>5770</v>
      </c>
      <c r="T1162">
        <v>5388</v>
      </c>
      <c r="U1162">
        <v>1</v>
      </c>
      <c r="V1162" s="1" t="s">
        <v>40</v>
      </c>
      <c r="W1162">
        <v>19</v>
      </c>
      <c r="X1162">
        <v>3</v>
      </c>
      <c r="Y1162">
        <v>1</v>
      </c>
      <c r="Z1162">
        <v>80</v>
      </c>
      <c r="AA1162">
        <v>2</v>
      </c>
      <c r="AB1162">
        <v>10</v>
      </c>
      <c r="AC1162">
        <v>3</v>
      </c>
      <c r="AD1162">
        <v>3</v>
      </c>
      <c r="AE1162">
        <v>10</v>
      </c>
      <c r="AF1162">
        <v>7</v>
      </c>
      <c r="AG1162">
        <v>3</v>
      </c>
      <c r="AH1162">
        <v>9</v>
      </c>
      <c r="AI1162">
        <f>IF(tbl_HRData[[#This Row],[Attrition]] = "Yes",1,0)</f>
        <v>0</v>
      </c>
      <c r="AJ1162">
        <f>IF(tbl_HRData[[#This Row],[Attrition]] = "No",1,0)</f>
        <v>1</v>
      </c>
      <c r="AK1162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1162" s="1" t="str">
        <f>IF(tbl_HRData[[#This Row],[MonthlyIncome]]&lt;5000,"Low",
IF(tbl_HRData[[#This Row],[MonthlyIncome]]&lt;10000,"Medium",
IF(tbl_HRData[[#This Row],[MonthlyIncome]]&lt;15000,"Upper Medium","High")))</f>
        <v>Medium</v>
      </c>
      <c r="AM1162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163" spans="1:39" x14ac:dyDescent="0.35">
      <c r="A1163" s="1">
        <v>1162</v>
      </c>
      <c r="B1163">
        <v>38</v>
      </c>
      <c r="C1163" s="1" t="s">
        <v>40</v>
      </c>
      <c r="D1163" s="1" t="s">
        <v>34</v>
      </c>
      <c r="E1163">
        <v>397</v>
      </c>
      <c r="F1163" s="1" t="s">
        <v>42</v>
      </c>
      <c r="G1163">
        <v>2</v>
      </c>
      <c r="H1163">
        <v>2</v>
      </c>
      <c r="I1163" s="1" t="s">
        <v>48</v>
      </c>
      <c r="J1163">
        <v>1638</v>
      </c>
      <c r="K1163">
        <v>4</v>
      </c>
      <c r="L1163" s="1" t="s">
        <v>37</v>
      </c>
      <c r="M1163">
        <v>54</v>
      </c>
      <c r="N1163">
        <v>2</v>
      </c>
      <c r="O1163">
        <v>3</v>
      </c>
      <c r="P1163" s="1" t="s">
        <v>50</v>
      </c>
      <c r="Q1163">
        <v>3</v>
      </c>
      <c r="R1163" s="1" t="s">
        <v>45</v>
      </c>
      <c r="S1163">
        <v>7756</v>
      </c>
      <c r="T1163">
        <v>14199</v>
      </c>
      <c r="U1163">
        <v>3</v>
      </c>
      <c r="V1163" s="1" t="s">
        <v>33</v>
      </c>
      <c r="W1163">
        <v>19</v>
      </c>
      <c r="X1163">
        <v>3</v>
      </c>
      <c r="Y1163">
        <v>4</v>
      </c>
      <c r="Z1163">
        <v>80</v>
      </c>
      <c r="AA1163">
        <v>1</v>
      </c>
      <c r="AB1163">
        <v>10</v>
      </c>
      <c r="AC1163">
        <v>6</v>
      </c>
      <c r="AD1163">
        <v>4</v>
      </c>
      <c r="AE1163">
        <v>5</v>
      </c>
      <c r="AF1163">
        <v>4</v>
      </c>
      <c r="AG1163">
        <v>0</v>
      </c>
      <c r="AH1163">
        <v>2</v>
      </c>
      <c r="AI1163">
        <f>IF(tbl_HRData[[#This Row],[Attrition]] = "Yes",1,0)</f>
        <v>0</v>
      </c>
      <c r="AJ1163">
        <f>IF(tbl_HRData[[#This Row],[Attrition]] = "No",1,0)</f>
        <v>1</v>
      </c>
      <c r="AK1163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163" s="1" t="str">
        <f>IF(tbl_HRData[[#This Row],[MonthlyIncome]]&lt;5000,"Low",
IF(tbl_HRData[[#This Row],[MonthlyIncome]]&lt;10000,"Medium",
IF(tbl_HRData[[#This Row],[MonthlyIncome]]&lt;15000,"Upper Medium","High")))</f>
        <v>Medium</v>
      </c>
      <c r="AM1163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164" spans="1:39" x14ac:dyDescent="0.35">
      <c r="A1164" s="1">
        <v>1163</v>
      </c>
      <c r="B1164">
        <v>35</v>
      </c>
      <c r="C1164" s="1" t="s">
        <v>33</v>
      </c>
      <c r="D1164" s="1" t="s">
        <v>34</v>
      </c>
      <c r="E1164">
        <v>737</v>
      </c>
      <c r="F1164" s="1" t="s">
        <v>35</v>
      </c>
      <c r="G1164">
        <v>10</v>
      </c>
      <c r="H1164">
        <v>3</v>
      </c>
      <c r="I1164" s="1" t="s">
        <v>48</v>
      </c>
      <c r="J1164">
        <v>1639</v>
      </c>
      <c r="K1164">
        <v>4</v>
      </c>
      <c r="L1164" s="1" t="s">
        <v>43</v>
      </c>
      <c r="M1164">
        <v>55</v>
      </c>
      <c r="N1164">
        <v>2</v>
      </c>
      <c r="O1164">
        <v>3</v>
      </c>
      <c r="P1164" s="1" t="s">
        <v>38</v>
      </c>
      <c r="Q1164">
        <v>1</v>
      </c>
      <c r="R1164" s="1" t="s">
        <v>45</v>
      </c>
      <c r="S1164">
        <v>10306</v>
      </c>
      <c r="T1164">
        <v>21530</v>
      </c>
      <c r="U1164">
        <v>9</v>
      </c>
      <c r="V1164" s="1" t="s">
        <v>40</v>
      </c>
      <c r="W1164">
        <v>17</v>
      </c>
      <c r="X1164">
        <v>3</v>
      </c>
      <c r="Y1164">
        <v>3</v>
      </c>
      <c r="Z1164">
        <v>80</v>
      </c>
      <c r="AA1164">
        <v>0</v>
      </c>
      <c r="AB1164">
        <v>15</v>
      </c>
      <c r="AC1164">
        <v>3</v>
      </c>
      <c r="AD1164">
        <v>3</v>
      </c>
      <c r="AE1164">
        <v>13</v>
      </c>
      <c r="AF1164">
        <v>12</v>
      </c>
      <c r="AG1164">
        <v>6</v>
      </c>
      <c r="AH1164">
        <v>0</v>
      </c>
      <c r="AI1164">
        <f>IF(tbl_HRData[[#This Row],[Attrition]] = "Yes",1,0)</f>
        <v>1</v>
      </c>
      <c r="AJ1164">
        <f>IF(tbl_HRData[[#This Row],[Attrition]] = "No",1,0)</f>
        <v>0</v>
      </c>
      <c r="AK1164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164" s="1" t="str">
        <f>IF(tbl_HRData[[#This Row],[MonthlyIncome]]&lt;5000,"Low",
IF(tbl_HRData[[#This Row],[MonthlyIncome]]&lt;10000,"Medium",
IF(tbl_HRData[[#This Row],[MonthlyIncome]]&lt;15000,"Upper Medium","High")))</f>
        <v>Upper Medium</v>
      </c>
      <c r="AM1164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1165" spans="1:39" x14ac:dyDescent="0.35">
      <c r="A1165" s="1">
        <v>1164</v>
      </c>
      <c r="B1165">
        <v>37</v>
      </c>
      <c r="C1165" s="1" t="s">
        <v>40</v>
      </c>
      <c r="D1165" s="1" t="s">
        <v>34</v>
      </c>
      <c r="E1165">
        <v>1470</v>
      </c>
      <c r="F1165" s="1" t="s">
        <v>42</v>
      </c>
      <c r="G1165">
        <v>10</v>
      </c>
      <c r="H1165">
        <v>3</v>
      </c>
      <c r="I1165" s="1" t="s">
        <v>48</v>
      </c>
      <c r="J1165">
        <v>1640</v>
      </c>
      <c r="K1165">
        <v>2</v>
      </c>
      <c r="L1165" s="1" t="s">
        <v>37</v>
      </c>
      <c r="M1165">
        <v>71</v>
      </c>
      <c r="N1165">
        <v>3</v>
      </c>
      <c r="O1165">
        <v>1</v>
      </c>
      <c r="P1165" s="1" t="s">
        <v>44</v>
      </c>
      <c r="Q1165">
        <v>2</v>
      </c>
      <c r="R1165" s="1" t="s">
        <v>45</v>
      </c>
      <c r="S1165">
        <v>3936</v>
      </c>
      <c r="T1165">
        <v>9953</v>
      </c>
      <c r="U1165">
        <v>1</v>
      </c>
      <c r="V1165" s="1" t="s">
        <v>40</v>
      </c>
      <c r="W1165">
        <v>11</v>
      </c>
      <c r="X1165">
        <v>3</v>
      </c>
      <c r="Y1165">
        <v>1</v>
      </c>
      <c r="Z1165">
        <v>80</v>
      </c>
      <c r="AA1165">
        <v>1</v>
      </c>
      <c r="AB1165">
        <v>8</v>
      </c>
      <c r="AC1165">
        <v>2</v>
      </c>
      <c r="AD1165">
        <v>1</v>
      </c>
      <c r="AE1165">
        <v>8</v>
      </c>
      <c r="AF1165">
        <v>4</v>
      </c>
      <c r="AG1165">
        <v>7</v>
      </c>
      <c r="AH1165">
        <v>7</v>
      </c>
      <c r="AI1165">
        <f>IF(tbl_HRData[[#This Row],[Attrition]] = "Yes",1,0)</f>
        <v>0</v>
      </c>
      <c r="AJ1165">
        <f>IF(tbl_HRData[[#This Row],[Attrition]] = "No",1,0)</f>
        <v>1</v>
      </c>
      <c r="AK1165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165" s="1" t="str">
        <f>IF(tbl_HRData[[#This Row],[MonthlyIncome]]&lt;5000,"Low",
IF(tbl_HRData[[#This Row],[MonthlyIncome]]&lt;10000,"Medium",
IF(tbl_HRData[[#This Row],[MonthlyIncome]]&lt;15000,"Upper Medium","High")))</f>
        <v>Low</v>
      </c>
      <c r="AM1165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166" spans="1:39" x14ac:dyDescent="0.35">
      <c r="A1166" s="1">
        <v>1165</v>
      </c>
      <c r="B1166">
        <v>40</v>
      </c>
      <c r="C1166" s="1" t="s">
        <v>40</v>
      </c>
      <c r="D1166" s="1" t="s">
        <v>34</v>
      </c>
      <c r="E1166">
        <v>448</v>
      </c>
      <c r="F1166" s="1" t="s">
        <v>42</v>
      </c>
      <c r="G1166">
        <v>16</v>
      </c>
      <c r="H1166">
        <v>3</v>
      </c>
      <c r="I1166" s="1" t="s">
        <v>36</v>
      </c>
      <c r="J1166">
        <v>1641</v>
      </c>
      <c r="K1166">
        <v>3</v>
      </c>
      <c r="L1166" s="1" t="s">
        <v>37</v>
      </c>
      <c r="M1166">
        <v>84</v>
      </c>
      <c r="N1166">
        <v>3</v>
      </c>
      <c r="O1166">
        <v>3</v>
      </c>
      <c r="P1166" s="1" t="s">
        <v>50</v>
      </c>
      <c r="Q1166">
        <v>4</v>
      </c>
      <c r="R1166" s="1" t="s">
        <v>39</v>
      </c>
      <c r="S1166">
        <v>7945</v>
      </c>
      <c r="T1166">
        <v>19948</v>
      </c>
      <c r="U1166">
        <v>6</v>
      </c>
      <c r="V1166" s="1" t="s">
        <v>33</v>
      </c>
      <c r="W1166">
        <v>15</v>
      </c>
      <c r="X1166">
        <v>3</v>
      </c>
      <c r="Y1166">
        <v>4</v>
      </c>
      <c r="Z1166">
        <v>80</v>
      </c>
      <c r="AA1166">
        <v>0</v>
      </c>
      <c r="AB1166">
        <v>18</v>
      </c>
      <c r="AC1166">
        <v>2</v>
      </c>
      <c r="AD1166">
        <v>2</v>
      </c>
      <c r="AE1166">
        <v>4</v>
      </c>
      <c r="AF1166">
        <v>2</v>
      </c>
      <c r="AG1166">
        <v>3</v>
      </c>
      <c r="AH1166">
        <v>3</v>
      </c>
      <c r="AI1166">
        <f>IF(tbl_HRData[[#This Row],[Attrition]] = "Yes",1,0)</f>
        <v>0</v>
      </c>
      <c r="AJ1166">
        <f>IF(tbl_HRData[[#This Row],[Attrition]] = "No",1,0)</f>
        <v>1</v>
      </c>
      <c r="AK1166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166" s="1" t="str">
        <f>IF(tbl_HRData[[#This Row],[MonthlyIncome]]&lt;5000,"Low",
IF(tbl_HRData[[#This Row],[MonthlyIncome]]&lt;10000,"Medium",
IF(tbl_HRData[[#This Row],[MonthlyIncome]]&lt;15000,"Upper Medium","High")))</f>
        <v>Medium</v>
      </c>
      <c r="AM1166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167" spans="1:39" x14ac:dyDescent="0.35">
      <c r="A1167" s="1">
        <v>1166</v>
      </c>
      <c r="B1167">
        <v>44</v>
      </c>
      <c r="C1167" s="1" t="s">
        <v>40</v>
      </c>
      <c r="D1167" s="1" t="s">
        <v>41</v>
      </c>
      <c r="E1167">
        <v>602</v>
      </c>
      <c r="F1167" s="1" t="s">
        <v>58</v>
      </c>
      <c r="G1167">
        <v>1</v>
      </c>
      <c r="H1167">
        <v>5</v>
      </c>
      <c r="I1167" s="1" t="s">
        <v>58</v>
      </c>
      <c r="J1167">
        <v>1642</v>
      </c>
      <c r="K1167">
        <v>1</v>
      </c>
      <c r="L1167" s="1" t="s">
        <v>43</v>
      </c>
      <c r="M1167">
        <v>37</v>
      </c>
      <c r="N1167">
        <v>3</v>
      </c>
      <c r="O1167">
        <v>2</v>
      </c>
      <c r="P1167" s="1" t="s">
        <v>58</v>
      </c>
      <c r="Q1167">
        <v>4</v>
      </c>
      <c r="R1167" s="1" t="s">
        <v>45</v>
      </c>
      <c r="S1167">
        <v>5743</v>
      </c>
      <c r="T1167">
        <v>10503</v>
      </c>
      <c r="U1167">
        <v>4</v>
      </c>
      <c r="V1167" s="1" t="s">
        <v>33</v>
      </c>
      <c r="W1167">
        <v>11</v>
      </c>
      <c r="X1167">
        <v>3</v>
      </c>
      <c r="Y1167">
        <v>3</v>
      </c>
      <c r="Z1167">
        <v>80</v>
      </c>
      <c r="AA1167">
        <v>0</v>
      </c>
      <c r="AB1167">
        <v>14</v>
      </c>
      <c r="AC1167">
        <v>3</v>
      </c>
      <c r="AD1167">
        <v>3</v>
      </c>
      <c r="AE1167">
        <v>10</v>
      </c>
      <c r="AF1167">
        <v>7</v>
      </c>
      <c r="AG1167">
        <v>0</v>
      </c>
      <c r="AH1167">
        <v>2</v>
      </c>
      <c r="AI1167">
        <f>IF(tbl_HRData[[#This Row],[Attrition]] = "Yes",1,0)</f>
        <v>0</v>
      </c>
      <c r="AJ1167">
        <f>IF(tbl_HRData[[#This Row],[Attrition]] = "No",1,0)</f>
        <v>1</v>
      </c>
      <c r="AK1167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167" s="1" t="str">
        <f>IF(tbl_HRData[[#This Row],[MonthlyIncome]]&lt;5000,"Low",
IF(tbl_HRData[[#This Row],[MonthlyIncome]]&lt;10000,"Medium",
IF(tbl_HRData[[#This Row],[MonthlyIncome]]&lt;15000,"Upper Medium","High")))</f>
        <v>Medium</v>
      </c>
      <c r="AM1167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168" spans="1:39" x14ac:dyDescent="0.35">
      <c r="A1168" s="1">
        <v>1167</v>
      </c>
      <c r="B1168">
        <v>48</v>
      </c>
      <c r="C1168" s="1" t="s">
        <v>40</v>
      </c>
      <c r="D1168" s="1" t="s">
        <v>41</v>
      </c>
      <c r="E1168">
        <v>365</v>
      </c>
      <c r="F1168" s="1" t="s">
        <v>42</v>
      </c>
      <c r="G1168">
        <v>4</v>
      </c>
      <c r="H1168">
        <v>5</v>
      </c>
      <c r="I1168" s="1" t="s">
        <v>48</v>
      </c>
      <c r="J1168">
        <v>1644</v>
      </c>
      <c r="K1168">
        <v>3</v>
      </c>
      <c r="L1168" s="1" t="s">
        <v>43</v>
      </c>
      <c r="M1168">
        <v>89</v>
      </c>
      <c r="N1168">
        <v>2</v>
      </c>
      <c r="O1168">
        <v>4</v>
      </c>
      <c r="P1168" s="1" t="s">
        <v>53</v>
      </c>
      <c r="Q1168">
        <v>4</v>
      </c>
      <c r="R1168" s="1" t="s">
        <v>45</v>
      </c>
      <c r="S1168">
        <v>15202</v>
      </c>
      <c r="T1168">
        <v>5602</v>
      </c>
      <c r="U1168">
        <v>2</v>
      </c>
      <c r="V1168" s="1" t="s">
        <v>40</v>
      </c>
      <c r="W1168">
        <v>25</v>
      </c>
      <c r="X1168">
        <v>4</v>
      </c>
      <c r="Y1168">
        <v>2</v>
      </c>
      <c r="Z1168">
        <v>80</v>
      </c>
      <c r="AA1168">
        <v>1</v>
      </c>
      <c r="AB1168">
        <v>23</v>
      </c>
      <c r="AC1168">
        <v>3</v>
      </c>
      <c r="AD1168">
        <v>3</v>
      </c>
      <c r="AE1168">
        <v>2</v>
      </c>
      <c r="AF1168">
        <v>2</v>
      </c>
      <c r="AG1168">
        <v>2</v>
      </c>
      <c r="AH1168">
        <v>2</v>
      </c>
      <c r="AI1168">
        <f>IF(tbl_HRData[[#This Row],[Attrition]] = "Yes",1,0)</f>
        <v>0</v>
      </c>
      <c r="AJ1168">
        <f>IF(tbl_HRData[[#This Row],[Attrition]] = "No",1,0)</f>
        <v>1</v>
      </c>
      <c r="AK1168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1168" s="1" t="str">
        <f>IF(tbl_HRData[[#This Row],[MonthlyIncome]]&lt;5000,"Low",
IF(tbl_HRData[[#This Row],[MonthlyIncome]]&lt;10000,"Medium",
IF(tbl_HRData[[#This Row],[MonthlyIncome]]&lt;15000,"Upper Medium","High")))</f>
        <v>High</v>
      </c>
      <c r="AM1168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169" spans="1:39" x14ac:dyDescent="0.35">
      <c r="A1169" s="1">
        <v>1168</v>
      </c>
      <c r="B1169">
        <v>35</v>
      </c>
      <c r="C1169" s="1" t="s">
        <v>33</v>
      </c>
      <c r="D1169" s="1" t="s">
        <v>34</v>
      </c>
      <c r="E1169">
        <v>763</v>
      </c>
      <c r="F1169" s="1" t="s">
        <v>35</v>
      </c>
      <c r="G1169">
        <v>15</v>
      </c>
      <c r="H1169">
        <v>2</v>
      </c>
      <c r="I1169" s="1" t="s">
        <v>48</v>
      </c>
      <c r="J1169">
        <v>1645</v>
      </c>
      <c r="K1169">
        <v>1</v>
      </c>
      <c r="L1169" s="1" t="s">
        <v>43</v>
      </c>
      <c r="M1169">
        <v>59</v>
      </c>
      <c r="N1169">
        <v>1</v>
      </c>
      <c r="O1169">
        <v>2</v>
      </c>
      <c r="P1169" s="1" t="s">
        <v>38</v>
      </c>
      <c r="Q1169">
        <v>4</v>
      </c>
      <c r="R1169" s="1" t="s">
        <v>49</v>
      </c>
      <c r="S1169">
        <v>5440</v>
      </c>
      <c r="T1169">
        <v>22098</v>
      </c>
      <c r="U1169">
        <v>6</v>
      </c>
      <c r="V1169" s="1" t="s">
        <v>33</v>
      </c>
      <c r="W1169">
        <v>14</v>
      </c>
      <c r="X1169">
        <v>3</v>
      </c>
      <c r="Y1169">
        <v>4</v>
      </c>
      <c r="Z1169">
        <v>80</v>
      </c>
      <c r="AA1169">
        <v>2</v>
      </c>
      <c r="AB1169">
        <v>7</v>
      </c>
      <c r="AC1169">
        <v>2</v>
      </c>
      <c r="AD1169">
        <v>2</v>
      </c>
      <c r="AE1169">
        <v>2</v>
      </c>
      <c r="AF1169">
        <v>2</v>
      </c>
      <c r="AG1169">
        <v>2</v>
      </c>
      <c r="AH1169">
        <v>2</v>
      </c>
      <c r="AI1169">
        <f>IF(tbl_HRData[[#This Row],[Attrition]] = "Yes",1,0)</f>
        <v>1</v>
      </c>
      <c r="AJ1169">
        <f>IF(tbl_HRData[[#This Row],[Attrition]] = "No",1,0)</f>
        <v>0</v>
      </c>
      <c r="AK1169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169" s="1" t="str">
        <f>IF(tbl_HRData[[#This Row],[MonthlyIncome]]&lt;5000,"Low",
IF(tbl_HRData[[#This Row],[MonthlyIncome]]&lt;10000,"Medium",
IF(tbl_HRData[[#This Row],[MonthlyIncome]]&lt;15000,"Upper Medium","High")))</f>
        <v>Medium</v>
      </c>
      <c r="AM1169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170" spans="1:39" x14ac:dyDescent="0.35">
      <c r="A1170" s="1">
        <v>1169</v>
      </c>
      <c r="B1170">
        <v>24</v>
      </c>
      <c r="C1170" s="1" t="s">
        <v>40</v>
      </c>
      <c r="D1170" s="1" t="s">
        <v>41</v>
      </c>
      <c r="E1170">
        <v>567</v>
      </c>
      <c r="F1170" s="1" t="s">
        <v>42</v>
      </c>
      <c r="G1170">
        <v>2</v>
      </c>
      <c r="H1170">
        <v>1</v>
      </c>
      <c r="I1170" s="1" t="s">
        <v>57</v>
      </c>
      <c r="J1170">
        <v>1646</v>
      </c>
      <c r="K1170">
        <v>1</v>
      </c>
      <c r="L1170" s="1" t="s">
        <v>37</v>
      </c>
      <c r="M1170">
        <v>32</v>
      </c>
      <c r="N1170">
        <v>3</v>
      </c>
      <c r="O1170">
        <v>1</v>
      </c>
      <c r="P1170" s="1" t="s">
        <v>44</v>
      </c>
      <c r="Q1170">
        <v>4</v>
      </c>
      <c r="R1170" s="1" t="s">
        <v>39</v>
      </c>
      <c r="S1170">
        <v>3760</v>
      </c>
      <c r="T1170">
        <v>17218</v>
      </c>
      <c r="U1170">
        <v>1</v>
      </c>
      <c r="V1170" s="1" t="s">
        <v>33</v>
      </c>
      <c r="W1170">
        <v>13</v>
      </c>
      <c r="X1170">
        <v>3</v>
      </c>
      <c r="Y1170">
        <v>3</v>
      </c>
      <c r="Z1170">
        <v>80</v>
      </c>
      <c r="AA1170">
        <v>0</v>
      </c>
      <c r="AB1170">
        <v>6</v>
      </c>
      <c r="AC1170">
        <v>2</v>
      </c>
      <c r="AD1170">
        <v>3</v>
      </c>
      <c r="AE1170">
        <v>6</v>
      </c>
      <c r="AF1170">
        <v>3</v>
      </c>
      <c r="AG1170">
        <v>1</v>
      </c>
      <c r="AH1170">
        <v>3</v>
      </c>
      <c r="AI1170">
        <f>IF(tbl_HRData[[#This Row],[Attrition]] = "Yes",1,0)</f>
        <v>0</v>
      </c>
      <c r="AJ1170">
        <f>IF(tbl_HRData[[#This Row],[Attrition]] = "No",1,0)</f>
        <v>1</v>
      </c>
      <c r="AK1170" t="str">
        <f>IF(tbl_HRData[[#This Row],[Age]] &lt; 25, "Under 25", IF(tbl_HRData[[#This Row],[Age]] &lt;= 34, "25-34", IF(tbl_HRData[[#This Row],[Age]] &lt;= 44, "35-44", IF(tbl_HRData[[#This Row],[Age]] &lt;= 54, "45-54", "55+"))))</f>
        <v>Under 25</v>
      </c>
      <c r="AL1170" s="1" t="str">
        <f>IF(tbl_HRData[[#This Row],[MonthlyIncome]]&lt;5000,"Low",
IF(tbl_HRData[[#This Row],[MonthlyIncome]]&lt;10000,"Medium",
IF(tbl_HRData[[#This Row],[MonthlyIncome]]&lt;15000,"Upper Medium","High")))</f>
        <v>Low</v>
      </c>
      <c r="AM1170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171" spans="1:39" x14ac:dyDescent="0.35">
      <c r="A1171" s="1">
        <v>1170</v>
      </c>
      <c r="B1171">
        <v>27</v>
      </c>
      <c r="C1171" s="1" t="s">
        <v>40</v>
      </c>
      <c r="D1171" s="1" t="s">
        <v>34</v>
      </c>
      <c r="E1171">
        <v>486</v>
      </c>
      <c r="F1171" s="1" t="s">
        <v>42</v>
      </c>
      <c r="G1171">
        <v>8</v>
      </c>
      <c r="H1171">
        <v>3</v>
      </c>
      <c r="I1171" s="1" t="s">
        <v>48</v>
      </c>
      <c r="J1171">
        <v>1647</v>
      </c>
      <c r="K1171">
        <v>2</v>
      </c>
      <c r="L1171" s="1" t="s">
        <v>37</v>
      </c>
      <c r="M1171">
        <v>86</v>
      </c>
      <c r="N1171">
        <v>4</v>
      </c>
      <c r="O1171">
        <v>1</v>
      </c>
      <c r="P1171" s="1" t="s">
        <v>44</v>
      </c>
      <c r="Q1171">
        <v>3</v>
      </c>
      <c r="R1171" s="1" t="s">
        <v>45</v>
      </c>
      <c r="S1171">
        <v>3517</v>
      </c>
      <c r="T1171">
        <v>22490</v>
      </c>
      <c r="U1171">
        <v>7</v>
      </c>
      <c r="V1171" s="1" t="s">
        <v>40</v>
      </c>
      <c r="W1171">
        <v>17</v>
      </c>
      <c r="X1171">
        <v>3</v>
      </c>
      <c r="Y1171">
        <v>1</v>
      </c>
      <c r="Z1171">
        <v>80</v>
      </c>
      <c r="AA1171">
        <v>0</v>
      </c>
      <c r="AB1171">
        <v>5</v>
      </c>
      <c r="AC1171">
        <v>0</v>
      </c>
      <c r="AD1171">
        <v>3</v>
      </c>
      <c r="AE1171">
        <v>3</v>
      </c>
      <c r="AF1171">
        <v>2</v>
      </c>
      <c r="AG1171">
        <v>0</v>
      </c>
      <c r="AH1171">
        <v>2</v>
      </c>
      <c r="AI1171">
        <f>IF(tbl_HRData[[#This Row],[Attrition]] = "Yes",1,0)</f>
        <v>0</v>
      </c>
      <c r="AJ1171">
        <f>IF(tbl_HRData[[#This Row],[Attrition]] = "No",1,0)</f>
        <v>1</v>
      </c>
      <c r="AK1171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171" s="1" t="str">
        <f>IF(tbl_HRData[[#This Row],[MonthlyIncome]]&lt;5000,"Low",
IF(tbl_HRData[[#This Row],[MonthlyIncome]]&lt;10000,"Medium",
IF(tbl_HRData[[#This Row],[MonthlyIncome]]&lt;15000,"Upper Medium","High")))</f>
        <v>Low</v>
      </c>
      <c r="AM1171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172" spans="1:39" x14ac:dyDescent="0.35">
      <c r="A1172" s="1">
        <v>1171</v>
      </c>
      <c r="B1172">
        <v>27</v>
      </c>
      <c r="C1172" s="1" t="s">
        <v>40</v>
      </c>
      <c r="D1172" s="1" t="s">
        <v>41</v>
      </c>
      <c r="E1172">
        <v>591</v>
      </c>
      <c r="F1172" s="1" t="s">
        <v>42</v>
      </c>
      <c r="G1172">
        <v>2</v>
      </c>
      <c r="H1172">
        <v>3</v>
      </c>
      <c r="I1172" s="1" t="s">
        <v>48</v>
      </c>
      <c r="J1172">
        <v>1648</v>
      </c>
      <c r="K1172">
        <v>4</v>
      </c>
      <c r="L1172" s="1" t="s">
        <v>43</v>
      </c>
      <c r="M1172">
        <v>87</v>
      </c>
      <c r="N1172">
        <v>3</v>
      </c>
      <c r="O1172">
        <v>1</v>
      </c>
      <c r="P1172" s="1" t="s">
        <v>44</v>
      </c>
      <c r="Q1172">
        <v>4</v>
      </c>
      <c r="R1172" s="1" t="s">
        <v>39</v>
      </c>
      <c r="S1172">
        <v>2580</v>
      </c>
      <c r="T1172">
        <v>6297</v>
      </c>
      <c r="U1172">
        <v>2</v>
      </c>
      <c r="V1172" s="1" t="s">
        <v>40</v>
      </c>
      <c r="W1172">
        <v>13</v>
      </c>
      <c r="X1172">
        <v>3</v>
      </c>
      <c r="Y1172">
        <v>3</v>
      </c>
      <c r="Z1172">
        <v>80</v>
      </c>
      <c r="AA1172">
        <v>0</v>
      </c>
      <c r="AB1172">
        <v>6</v>
      </c>
      <c r="AC1172">
        <v>0</v>
      </c>
      <c r="AD1172">
        <v>2</v>
      </c>
      <c r="AE1172">
        <v>4</v>
      </c>
      <c r="AF1172">
        <v>2</v>
      </c>
      <c r="AG1172">
        <v>1</v>
      </c>
      <c r="AH1172">
        <v>2</v>
      </c>
      <c r="AI1172">
        <f>IF(tbl_HRData[[#This Row],[Attrition]] = "Yes",1,0)</f>
        <v>0</v>
      </c>
      <c r="AJ1172">
        <f>IF(tbl_HRData[[#This Row],[Attrition]] = "No",1,0)</f>
        <v>1</v>
      </c>
      <c r="AK1172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172" s="1" t="str">
        <f>IF(tbl_HRData[[#This Row],[MonthlyIncome]]&lt;5000,"Low",
IF(tbl_HRData[[#This Row],[MonthlyIncome]]&lt;10000,"Medium",
IF(tbl_HRData[[#This Row],[MonthlyIncome]]&lt;15000,"Upper Medium","High")))</f>
        <v>Low</v>
      </c>
      <c r="AM1172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173" spans="1:39" x14ac:dyDescent="0.35">
      <c r="A1173" s="1">
        <v>1172</v>
      </c>
      <c r="B1173">
        <v>40</v>
      </c>
      <c r="C1173" s="1" t="s">
        <v>33</v>
      </c>
      <c r="D1173" s="1" t="s">
        <v>34</v>
      </c>
      <c r="E1173">
        <v>1329</v>
      </c>
      <c r="F1173" s="1" t="s">
        <v>42</v>
      </c>
      <c r="G1173">
        <v>7</v>
      </c>
      <c r="H1173">
        <v>3</v>
      </c>
      <c r="I1173" s="1" t="s">
        <v>36</v>
      </c>
      <c r="J1173">
        <v>1649</v>
      </c>
      <c r="K1173">
        <v>1</v>
      </c>
      <c r="L1173" s="1" t="s">
        <v>43</v>
      </c>
      <c r="M1173">
        <v>73</v>
      </c>
      <c r="N1173">
        <v>3</v>
      </c>
      <c r="O1173">
        <v>1</v>
      </c>
      <c r="P1173" s="1" t="s">
        <v>47</v>
      </c>
      <c r="Q1173">
        <v>1</v>
      </c>
      <c r="R1173" s="1" t="s">
        <v>39</v>
      </c>
      <c r="S1173">
        <v>2166</v>
      </c>
      <c r="T1173">
        <v>3339</v>
      </c>
      <c r="U1173">
        <v>3</v>
      </c>
      <c r="V1173" s="1" t="s">
        <v>33</v>
      </c>
      <c r="W1173">
        <v>14</v>
      </c>
      <c r="X1173">
        <v>3</v>
      </c>
      <c r="Y1173">
        <v>2</v>
      </c>
      <c r="Z1173">
        <v>80</v>
      </c>
      <c r="AA1173">
        <v>0</v>
      </c>
      <c r="AB1173">
        <v>10</v>
      </c>
      <c r="AC1173">
        <v>3</v>
      </c>
      <c r="AD1173">
        <v>1</v>
      </c>
      <c r="AE1173">
        <v>4</v>
      </c>
      <c r="AF1173">
        <v>2</v>
      </c>
      <c r="AG1173">
        <v>0</v>
      </c>
      <c r="AH1173">
        <v>3</v>
      </c>
      <c r="AI1173">
        <f>IF(tbl_HRData[[#This Row],[Attrition]] = "Yes",1,0)</f>
        <v>1</v>
      </c>
      <c r="AJ1173">
        <f>IF(tbl_HRData[[#This Row],[Attrition]] = "No",1,0)</f>
        <v>0</v>
      </c>
      <c r="AK1173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173" s="1" t="str">
        <f>IF(tbl_HRData[[#This Row],[MonthlyIncome]]&lt;5000,"Low",
IF(tbl_HRData[[#This Row],[MonthlyIncome]]&lt;10000,"Medium",
IF(tbl_HRData[[#This Row],[MonthlyIncome]]&lt;15000,"Upper Medium","High")))</f>
        <v>Low</v>
      </c>
      <c r="AM1173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174" spans="1:39" x14ac:dyDescent="0.35">
      <c r="A1174" s="1">
        <v>1173</v>
      </c>
      <c r="B1174">
        <v>29</v>
      </c>
      <c r="C1174" s="1" t="s">
        <v>40</v>
      </c>
      <c r="D1174" s="1" t="s">
        <v>34</v>
      </c>
      <c r="E1174">
        <v>469</v>
      </c>
      <c r="F1174" s="1" t="s">
        <v>35</v>
      </c>
      <c r="G1174">
        <v>10</v>
      </c>
      <c r="H1174">
        <v>3</v>
      </c>
      <c r="I1174" s="1" t="s">
        <v>48</v>
      </c>
      <c r="J1174">
        <v>1650</v>
      </c>
      <c r="K1174">
        <v>3</v>
      </c>
      <c r="L1174" s="1" t="s">
        <v>43</v>
      </c>
      <c r="M1174">
        <v>42</v>
      </c>
      <c r="N1174">
        <v>2</v>
      </c>
      <c r="O1174">
        <v>2</v>
      </c>
      <c r="P1174" s="1" t="s">
        <v>38</v>
      </c>
      <c r="Q1174">
        <v>3</v>
      </c>
      <c r="R1174" s="1" t="s">
        <v>39</v>
      </c>
      <c r="S1174">
        <v>5869</v>
      </c>
      <c r="T1174">
        <v>23413</v>
      </c>
      <c r="U1174">
        <v>9</v>
      </c>
      <c r="V1174" s="1" t="s">
        <v>40</v>
      </c>
      <c r="W1174">
        <v>11</v>
      </c>
      <c r="X1174">
        <v>3</v>
      </c>
      <c r="Y1174">
        <v>3</v>
      </c>
      <c r="Z1174">
        <v>80</v>
      </c>
      <c r="AA1174">
        <v>0</v>
      </c>
      <c r="AB1174">
        <v>8</v>
      </c>
      <c r="AC1174">
        <v>2</v>
      </c>
      <c r="AD1174">
        <v>3</v>
      </c>
      <c r="AE1174">
        <v>5</v>
      </c>
      <c r="AF1174">
        <v>2</v>
      </c>
      <c r="AG1174">
        <v>1</v>
      </c>
      <c r="AH1174">
        <v>4</v>
      </c>
      <c r="AI1174">
        <f>IF(tbl_HRData[[#This Row],[Attrition]] = "Yes",1,0)</f>
        <v>0</v>
      </c>
      <c r="AJ1174">
        <f>IF(tbl_HRData[[#This Row],[Attrition]] = "No",1,0)</f>
        <v>1</v>
      </c>
      <c r="AK1174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174" s="1" t="str">
        <f>IF(tbl_HRData[[#This Row],[MonthlyIncome]]&lt;5000,"Low",
IF(tbl_HRData[[#This Row],[MonthlyIncome]]&lt;10000,"Medium",
IF(tbl_HRData[[#This Row],[MonthlyIncome]]&lt;15000,"Upper Medium","High")))</f>
        <v>Medium</v>
      </c>
      <c r="AM1174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175" spans="1:39" x14ac:dyDescent="0.35">
      <c r="A1175" s="1">
        <v>1174</v>
      </c>
      <c r="B1175">
        <v>36</v>
      </c>
      <c r="C1175" s="1" t="s">
        <v>40</v>
      </c>
      <c r="D1175" s="1" t="s">
        <v>34</v>
      </c>
      <c r="E1175">
        <v>711</v>
      </c>
      <c r="F1175" s="1" t="s">
        <v>42</v>
      </c>
      <c r="G1175">
        <v>5</v>
      </c>
      <c r="H1175">
        <v>4</v>
      </c>
      <c r="I1175" s="1" t="s">
        <v>36</v>
      </c>
      <c r="J1175">
        <v>1651</v>
      </c>
      <c r="K1175">
        <v>2</v>
      </c>
      <c r="L1175" s="1" t="s">
        <v>37</v>
      </c>
      <c r="M1175">
        <v>42</v>
      </c>
      <c r="N1175">
        <v>3</v>
      </c>
      <c r="O1175">
        <v>3</v>
      </c>
      <c r="P1175" s="1" t="s">
        <v>51</v>
      </c>
      <c r="Q1175">
        <v>1</v>
      </c>
      <c r="R1175" s="1" t="s">
        <v>45</v>
      </c>
      <c r="S1175">
        <v>8008</v>
      </c>
      <c r="T1175">
        <v>22792</v>
      </c>
      <c r="U1175">
        <v>4</v>
      </c>
      <c r="V1175" s="1" t="s">
        <v>40</v>
      </c>
      <c r="W1175">
        <v>12</v>
      </c>
      <c r="X1175">
        <v>3</v>
      </c>
      <c r="Y1175">
        <v>3</v>
      </c>
      <c r="Z1175">
        <v>80</v>
      </c>
      <c r="AA1175">
        <v>2</v>
      </c>
      <c r="AB1175">
        <v>9</v>
      </c>
      <c r="AC1175">
        <v>6</v>
      </c>
      <c r="AD1175">
        <v>3</v>
      </c>
      <c r="AE1175">
        <v>3</v>
      </c>
      <c r="AF1175">
        <v>2</v>
      </c>
      <c r="AG1175">
        <v>0</v>
      </c>
      <c r="AH1175">
        <v>2</v>
      </c>
      <c r="AI1175">
        <f>IF(tbl_HRData[[#This Row],[Attrition]] = "Yes",1,0)</f>
        <v>0</v>
      </c>
      <c r="AJ1175">
        <f>IF(tbl_HRData[[#This Row],[Attrition]] = "No",1,0)</f>
        <v>1</v>
      </c>
      <c r="AK1175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175" s="1" t="str">
        <f>IF(tbl_HRData[[#This Row],[MonthlyIncome]]&lt;5000,"Low",
IF(tbl_HRData[[#This Row],[MonthlyIncome]]&lt;10000,"Medium",
IF(tbl_HRData[[#This Row],[MonthlyIncome]]&lt;15000,"Upper Medium","High")))</f>
        <v>Medium</v>
      </c>
      <c r="AM1175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176" spans="1:39" x14ac:dyDescent="0.35">
      <c r="A1176" s="1">
        <v>1175</v>
      </c>
      <c r="B1176">
        <v>25</v>
      </c>
      <c r="C1176" s="1" t="s">
        <v>40</v>
      </c>
      <c r="D1176" s="1" t="s">
        <v>41</v>
      </c>
      <c r="E1176">
        <v>772</v>
      </c>
      <c r="F1176" s="1" t="s">
        <v>42</v>
      </c>
      <c r="G1176">
        <v>2</v>
      </c>
      <c r="H1176">
        <v>1</v>
      </c>
      <c r="I1176" s="1" t="s">
        <v>36</v>
      </c>
      <c r="J1176">
        <v>1653</v>
      </c>
      <c r="K1176">
        <v>4</v>
      </c>
      <c r="L1176" s="1" t="s">
        <v>43</v>
      </c>
      <c r="M1176">
        <v>77</v>
      </c>
      <c r="N1176">
        <v>4</v>
      </c>
      <c r="O1176">
        <v>2</v>
      </c>
      <c r="P1176" s="1" t="s">
        <v>50</v>
      </c>
      <c r="Q1176">
        <v>3</v>
      </c>
      <c r="R1176" s="1" t="s">
        <v>49</v>
      </c>
      <c r="S1176">
        <v>5206</v>
      </c>
      <c r="T1176">
        <v>4973</v>
      </c>
      <c r="U1176">
        <v>1</v>
      </c>
      <c r="V1176" s="1" t="s">
        <v>40</v>
      </c>
      <c r="W1176">
        <v>17</v>
      </c>
      <c r="X1176">
        <v>3</v>
      </c>
      <c r="Y1176">
        <v>3</v>
      </c>
      <c r="Z1176">
        <v>80</v>
      </c>
      <c r="AA1176">
        <v>2</v>
      </c>
      <c r="AB1176">
        <v>7</v>
      </c>
      <c r="AC1176">
        <v>6</v>
      </c>
      <c r="AD1176">
        <v>3</v>
      </c>
      <c r="AE1176">
        <v>7</v>
      </c>
      <c r="AF1176">
        <v>7</v>
      </c>
      <c r="AG1176">
        <v>0</v>
      </c>
      <c r="AH1176">
        <v>7</v>
      </c>
      <c r="AI1176">
        <f>IF(tbl_HRData[[#This Row],[Attrition]] = "Yes",1,0)</f>
        <v>0</v>
      </c>
      <c r="AJ1176">
        <f>IF(tbl_HRData[[#This Row],[Attrition]] = "No",1,0)</f>
        <v>1</v>
      </c>
      <c r="AK1176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176" s="1" t="str">
        <f>IF(tbl_HRData[[#This Row],[MonthlyIncome]]&lt;5000,"Low",
IF(tbl_HRData[[#This Row],[MonthlyIncome]]&lt;10000,"Medium",
IF(tbl_HRData[[#This Row],[MonthlyIncome]]&lt;15000,"Upper Medium","High")))</f>
        <v>Medium</v>
      </c>
      <c r="AM1176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177" spans="1:39" x14ac:dyDescent="0.35">
      <c r="A1177" s="1">
        <v>1176</v>
      </c>
      <c r="B1177">
        <v>39</v>
      </c>
      <c r="C1177" s="1" t="s">
        <v>40</v>
      </c>
      <c r="D1177" s="1" t="s">
        <v>34</v>
      </c>
      <c r="E1177">
        <v>492</v>
      </c>
      <c r="F1177" s="1" t="s">
        <v>42</v>
      </c>
      <c r="G1177">
        <v>12</v>
      </c>
      <c r="H1177">
        <v>3</v>
      </c>
      <c r="I1177" s="1" t="s">
        <v>48</v>
      </c>
      <c r="J1177">
        <v>1654</v>
      </c>
      <c r="K1177">
        <v>4</v>
      </c>
      <c r="L1177" s="1" t="s">
        <v>43</v>
      </c>
      <c r="M1177">
        <v>66</v>
      </c>
      <c r="N1177">
        <v>3</v>
      </c>
      <c r="O1177">
        <v>2</v>
      </c>
      <c r="P1177" s="1" t="s">
        <v>50</v>
      </c>
      <c r="Q1177">
        <v>2</v>
      </c>
      <c r="R1177" s="1" t="s">
        <v>45</v>
      </c>
      <c r="S1177">
        <v>5295</v>
      </c>
      <c r="T1177">
        <v>7693</v>
      </c>
      <c r="U1177">
        <v>4</v>
      </c>
      <c r="V1177" s="1" t="s">
        <v>40</v>
      </c>
      <c r="W1177">
        <v>21</v>
      </c>
      <c r="X1177">
        <v>4</v>
      </c>
      <c r="Y1177">
        <v>3</v>
      </c>
      <c r="Z1177">
        <v>80</v>
      </c>
      <c r="AA1177">
        <v>0</v>
      </c>
      <c r="AB1177">
        <v>7</v>
      </c>
      <c r="AC1177">
        <v>3</v>
      </c>
      <c r="AD1177">
        <v>3</v>
      </c>
      <c r="AE1177">
        <v>5</v>
      </c>
      <c r="AF1177">
        <v>4</v>
      </c>
      <c r="AG1177">
        <v>1</v>
      </c>
      <c r="AH1177">
        <v>0</v>
      </c>
      <c r="AI1177">
        <f>IF(tbl_HRData[[#This Row],[Attrition]] = "Yes",1,0)</f>
        <v>0</v>
      </c>
      <c r="AJ1177">
        <f>IF(tbl_HRData[[#This Row],[Attrition]] = "No",1,0)</f>
        <v>1</v>
      </c>
      <c r="AK1177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177" s="1" t="str">
        <f>IF(tbl_HRData[[#This Row],[MonthlyIncome]]&lt;5000,"Low",
IF(tbl_HRData[[#This Row],[MonthlyIncome]]&lt;10000,"Medium",
IF(tbl_HRData[[#This Row],[MonthlyIncome]]&lt;15000,"Upper Medium","High")))</f>
        <v>Medium</v>
      </c>
      <c r="AM1177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178" spans="1:39" x14ac:dyDescent="0.35">
      <c r="A1178" s="1">
        <v>1177</v>
      </c>
      <c r="B1178">
        <v>49</v>
      </c>
      <c r="C1178" s="1" t="s">
        <v>40</v>
      </c>
      <c r="D1178" s="1" t="s">
        <v>34</v>
      </c>
      <c r="E1178">
        <v>301</v>
      </c>
      <c r="F1178" s="1" t="s">
        <v>42</v>
      </c>
      <c r="G1178">
        <v>22</v>
      </c>
      <c r="H1178">
        <v>4</v>
      </c>
      <c r="I1178" s="1" t="s">
        <v>46</v>
      </c>
      <c r="J1178">
        <v>1655</v>
      </c>
      <c r="K1178">
        <v>1</v>
      </c>
      <c r="L1178" s="1" t="s">
        <v>37</v>
      </c>
      <c r="M1178">
        <v>72</v>
      </c>
      <c r="N1178">
        <v>3</v>
      </c>
      <c r="O1178">
        <v>4</v>
      </c>
      <c r="P1178" s="1" t="s">
        <v>55</v>
      </c>
      <c r="Q1178">
        <v>2</v>
      </c>
      <c r="R1178" s="1" t="s">
        <v>45</v>
      </c>
      <c r="S1178">
        <v>16413</v>
      </c>
      <c r="T1178">
        <v>3498</v>
      </c>
      <c r="U1178">
        <v>3</v>
      </c>
      <c r="V1178" s="1" t="s">
        <v>40</v>
      </c>
      <c r="W1178">
        <v>16</v>
      </c>
      <c r="X1178">
        <v>3</v>
      </c>
      <c r="Y1178">
        <v>2</v>
      </c>
      <c r="Z1178">
        <v>80</v>
      </c>
      <c r="AA1178">
        <v>2</v>
      </c>
      <c r="AB1178">
        <v>27</v>
      </c>
      <c r="AC1178">
        <v>2</v>
      </c>
      <c r="AD1178">
        <v>3</v>
      </c>
      <c r="AE1178">
        <v>4</v>
      </c>
      <c r="AF1178">
        <v>2</v>
      </c>
      <c r="AG1178">
        <v>1</v>
      </c>
      <c r="AH1178">
        <v>2</v>
      </c>
      <c r="AI1178">
        <f>IF(tbl_HRData[[#This Row],[Attrition]] = "Yes",1,0)</f>
        <v>0</v>
      </c>
      <c r="AJ1178">
        <f>IF(tbl_HRData[[#This Row],[Attrition]] = "No",1,0)</f>
        <v>1</v>
      </c>
      <c r="AK1178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1178" s="1" t="str">
        <f>IF(tbl_HRData[[#This Row],[MonthlyIncome]]&lt;5000,"Low",
IF(tbl_HRData[[#This Row],[MonthlyIncome]]&lt;10000,"Medium",
IF(tbl_HRData[[#This Row],[MonthlyIncome]]&lt;15000,"Upper Medium","High")))</f>
        <v>High</v>
      </c>
      <c r="AM1178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179" spans="1:39" x14ac:dyDescent="0.35">
      <c r="A1179" s="1">
        <v>1178</v>
      </c>
      <c r="B1179">
        <v>50</v>
      </c>
      <c r="C1179" s="1" t="s">
        <v>40</v>
      </c>
      <c r="D1179" s="1" t="s">
        <v>34</v>
      </c>
      <c r="E1179">
        <v>813</v>
      </c>
      <c r="F1179" s="1" t="s">
        <v>42</v>
      </c>
      <c r="G1179">
        <v>17</v>
      </c>
      <c r="H1179">
        <v>5</v>
      </c>
      <c r="I1179" s="1" t="s">
        <v>36</v>
      </c>
      <c r="J1179">
        <v>1656</v>
      </c>
      <c r="K1179">
        <v>4</v>
      </c>
      <c r="L1179" s="1" t="s">
        <v>37</v>
      </c>
      <c r="M1179">
        <v>50</v>
      </c>
      <c r="N1179">
        <v>2</v>
      </c>
      <c r="O1179">
        <v>3</v>
      </c>
      <c r="P1179" s="1" t="s">
        <v>55</v>
      </c>
      <c r="Q1179">
        <v>1</v>
      </c>
      <c r="R1179" s="1" t="s">
        <v>49</v>
      </c>
      <c r="S1179">
        <v>13269</v>
      </c>
      <c r="T1179">
        <v>21981</v>
      </c>
      <c r="U1179">
        <v>5</v>
      </c>
      <c r="V1179" s="1" t="s">
        <v>40</v>
      </c>
      <c r="W1179">
        <v>15</v>
      </c>
      <c r="X1179">
        <v>3</v>
      </c>
      <c r="Y1179">
        <v>3</v>
      </c>
      <c r="Z1179">
        <v>80</v>
      </c>
      <c r="AA1179">
        <v>3</v>
      </c>
      <c r="AB1179">
        <v>19</v>
      </c>
      <c r="AC1179">
        <v>3</v>
      </c>
      <c r="AD1179">
        <v>3</v>
      </c>
      <c r="AE1179">
        <v>14</v>
      </c>
      <c r="AF1179">
        <v>11</v>
      </c>
      <c r="AG1179">
        <v>1</v>
      </c>
      <c r="AH1179">
        <v>11</v>
      </c>
      <c r="AI1179">
        <f>IF(tbl_HRData[[#This Row],[Attrition]] = "Yes",1,0)</f>
        <v>0</v>
      </c>
      <c r="AJ1179">
        <f>IF(tbl_HRData[[#This Row],[Attrition]] = "No",1,0)</f>
        <v>1</v>
      </c>
      <c r="AK1179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1179" s="1" t="str">
        <f>IF(tbl_HRData[[#This Row],[MonthlyIncome]]&lt;5000,"Low",
IF(tbl_HRData[[#This Row],[MonthlyIncome]]&lt;10000,"Medium",
IF(tbl_HRData[[#This Row],[MonthlyIncome]]&lt;15000,"Upper Medium","High")))</f>
        <v>Upper Medium</v>
      </c>
      <c r="AM1179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1180" spans="1:39" x14ac:dyDescent="0.35">
      <c r="A1180" s="1">
        <v>1179</v>
      </c>
      <c r="B1180">
        <v>20</v>
      </c>
      <c r="C1180" s="1" t="s">
        <v>40</v>
      </c>
      <c r="D1180" s="1" t="s">
        <v>34</v>
      </c>
      <c r="E1180">
        <v>1141</v>
      </c>
      <c r="F1180" s="1" t="s">
        <v>35</v>
      </c>
      <c r="G1180">
        <v>2</v>
      </c>
      <c r="H1180">
        <v>3</v>
      </c>
      <c r="I1180" s="1" t="s">
        <v>48</v>
      </c>
      <c r="J1180">
        <v>1657</v>
      </c>
      <c r="K1180">
        <v>3</v>
      </c>
      <c r="L1180" s="1" t="s">
        <v>37</v>
      </c>
      <c r="M1180">
        <v>31</v>
      </c>
      <c r="N1180">
        <v>3</v>
      </c>
      <c r="O1180">
        <v>1</v>
      </c>
      <c r="P1180" s="1" t="s">
        <v>54</v>
      </c>
      <c r="Q1180">
        <v>3</v>
      </c>
      <c r="R1180" s="1" t="s">
        <v>39</v>
      </c>
      <c r="S1180">
        <v>2783</v>
      </c>
      <c r="T1180">
        <v>13251</v>
      </c>
      <c r="U1180">
        <v>1</v>
      </c>
      <c r="V1180" s="1" t="s">
        <v>40</v>
      </c>
      <c r="W1180">
        <v>19</v>
      </c>
      <c r="X1180">
        <v>3</v>
      </c>
      <c r="Y1180">
        <v>1</v>
      </c>
      <c r="Z1180">
        <v>80</v>
      </c>
      <c r="AA1180">
        <v>0</v>
      </c>
      <c r="AB1180">
        <v>2</v>
      </c>
      <c r="AC1180">
        <v>3</v>
      </c>
      <c r="AD1180">
        <v>3</v>
      </c>
      <c r="AE1180">
        <v>2</v>
      </c>
      <c r="AF1180">
        <v>2</v>
      </c>
      <c r="AG1180">
        <v>2</v>
      </c>
      <c r="AH1180">
        <v>2</v>
      </c>
      <c r="AI1180">
        <f>IF(tbl_HRData[[#This Row],[Attrition]] = "Yes",1,0)</f>
        <v>0</v>
      </c>
      <c r="AJ1180">
        <f>IF(tbl_HRData[[#This Row],[Attrition]] = "No",1,0)</f>
        <v>1</v>
      </c>
      <c r="AK1180" t="str">
        <f>IF(tbl_HRData[[#This Row],[Age]] &lt; 25, "Under 25", IF(tbl_HRData[[#This Row],[Age]] &lt;= 34, "25-34", IF(tbl_HRData[[#This Row],[Age]] &lt;= 44, "35-44", IF(tbl_HRData[[#This Row],[Age]] &lt;= 54, "45-54", "55+"))))</f>
        <v>Under 25</v>
      </c>
      <c r="AL1180" s="1" t="str">
        <f>IF(tbl_HRData[[#This Row],[MonthlyIncome]]&lt;5000,"Low",
IF(tbl_HRData[[#This Row],[MonthlyIncome]]&lt;10000,"Medium",
IF(tbl_HRData[[#This Row],[MonthlyIncome]]&lt;15000,"Upper Medium","High")))</f>
        <v>Low</v>
      </c>
      <c r="AM1180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181" spans="1:39" x14ac:dyDescent="0.35">
      <c r="A1181" s="1">
        <v>1180</v>
      </c>
      <c r="B1181">
        <v>34</v>
      </c>
      <c r="C1181" s="1" t="s">
        <v>40</v>
      </c>
      <c r="D1181" s="1" t="s">
        <v>34</v>
      </c>
      <c r="E1181">
        <v>1130</v>
      </c>
      <c r="F1181" s="1" t="s">
        <v>42</v>
      </c>
      <c r="G1181">
        <v>3</v>
      </c>
      <c r="H1181">
        <v>3</v>
      </c>
      <c r="I1181" s="1" t="s">
        <v>36</v>
      </c>
      <c r="J1181">
        <v>1658</v>
      </c>
      <c r="K1181">
        <v>4</v>
      </c>
      <c r="L1181" s="1" t="s">
        <v>37</v>
      </c>
      <c r="M1181">
        <v>66</v>
      </c>
      <c r="N1181">
        <v>3</v>
      </c>
      <c r="O1181">
        <v>2</v>
      </c>
      <c r="P1181" s="1" t="s">
        <v>44</v>
      </c>
      <c r="Q1181">
        <v>2</v>
      </c>
      <c r="R1181" s="1" t="s">
        <v>49</v>
      </c>
      <c r="S1181">
        <v>5433</v>
      </c>
      <c r="T1181">
        <v>19332</v>
      </c>
      <c r="U1181">
        <v>1</v>
      </c>
      <c r="V1181" s="1" t="s">
        <v>40</v>
      </c>
      <c r="W1181">
        <v>12</v>
      </c>
      <c r="X1181">
        <v>3</v>
      </c>
      <c r="Y1181">
        <v>3</v>
      </c>
      <c r="Z1181">
        <v>80</v>
      </c>
      <c r="AA1181">
        <v>1</v>
      </c>
      <c r="AB1181">
        <v>11</v>
      </c>
      <c r="AC1181">
        <v>2</v>
      </c>
      <c r="AD1181">
        <v>3</v>
      </c>
      <c r="AE1181">
        <v>11</v>
      </c>
      <c r="AF1181">
        <v>8</v>
      </c>
      <c r="AG1181">
        <v>7</v>
      </c>
      <c r="AH1181">
        <v>9</v>
      </c>
      <c r="AI1181">
        <f>IF(tbl_HRData[[#This Row],[Attrition]] = "Yes",1,0)</f>
        <v>0</v>
      </c>
      <c r="AJ1181">
        <f>IF(tbl_HRData[[#This Row],[Attrition]] = "No",1,0)</f>
        <v>1</v>
      </c>
      <c r="AK1181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181" s="1" t="str">
        <f>IF(tbl_HRData[[#This Row],[MonthlyIncome]]&lt;5000,"Low",
IF(tbl_HRData[[#This Row],[MonthlyIncome]]&lt;10000,"Medium",
IF(tbl_HRData[[#This Row],[MonthlyIncome]]&lt;15000,"Upper Medium","High")))</f>
        <v>Medium</v>
      </c>
      <c r="AM1181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1182" spans="1:39" x14ac:dyDescent="0.35">
      <c r="A1182" s="1">
        <v>1181</v>
      </c>
      <c r="B1182">
        <v>36</v>
      </c>
      <c r="C1182" s="1" t="s">
        <v>40</v>
      </c>
      <c r="D1182" s="1" t="s">
        <v>34</v>
      </c>
      <c r="E1182">
        <v>311</v>
      </c>
      <c r="F1182" s="1" t="s">
        <v>42</v>
      </c>
      <c r="G1182">
        <v>7</v>
      </c>
      <c r="H1182">
        <v>3</v>
      </c>
      <c r="I1182" s="1" t="s">
        <v>36</v>
      </c>
      <c r="J1182">
        <v>1659</v>
      </c>
      <c r="K1182">
        <v>1</v>
      </c>
      <c r="L1182" s="1" t="s">
        <v>43</v>
      </c>
      <c r="M1182">
        <v>77</v>
      </c>
      <c r="N1182">
        <v>3</v>
      </c>
      <c r="O1182">
        <v>1</v>
      </c>
      <c r="P1182" s="1" t="s">
        <v>47</v>
      </c>
      <c r="Q1182">
        <v>2</v>
      </c>
      <c r="R1182" s="1" t="s">
        <v>39</v>
      </c>
      <c r="S1182">
        <v>2013</v>
      </c>
      <c r="T1182">
        <v>10950</v>
      </c>
      <c r="U1182">
        <v>2</v>
      </c>
      <c r="V1182" s="1" t="s">
        <v>40</v>
      </c>
      <c r="W1182">
        <v>11</v>
      </c>
      <c r="X1182">
        <v>3</v>
      </c>
      <c r="Y1182">
        <v>3</v>
      </c>
      <c r="Z1182">
        <v>80</v>
      </c>
      <c r="AA1182">
        <v>0</v>
      </c>
      <c r="AB1182">
        <v>15</v>
      </c>
      <c r="AC1182">
        <v>4</v>
      </c>
      <c r="AD1182">
        <v>3</v>
      </c>
      <c r="AE1182">
        <v>4</v>
      </c>
      <c r="AF1182">
        <v>3</v>
      </c>
      <c r="AG1182">
        <v>1</v>
      </c>
      <c r="AH1182">
        <v>3</v>
      </c>
      <c r="AI1182">
        <f>IF(tbl_HRData[[#This Row],[Attrition]] = "Yes",1,0)</f>
        <v>0</v>
      </c>
      <c r="AJ1182">
        <f>IF(tbl_HRData[[#This Row],[Attrition]] = "No",1,0)</f>
        <v>1</v>
      </c>
      <c r="AK1182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182" s="1" t="str">
        <f>IF(tbl_HRData[[#This Row],[MonthlyIncome]]&lt;5000,"Low",
IF(tbl_HRData[[#This Row],[MonthlyIncome]]&lt;10000,"Medium",
IF(tbl_HRData[[#This Row],[MonthlyIncome]]&lt;15000,"Upper Medium","High")))</f>
        <v>Low</v>
      </c>
      <c r="AM1182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183" spans="1:39" x14ac:dyDescent="0.35">
      <c r="A1183" s="1">
        <v>1182</v>
      </c>
      <c r="B1183">
        <v>49</v>
      </c>
      <c r="C1183" s="1" t="s">
        <v>40</v>
      </c>
      <c r="D1183" s="1" t="s">
        <v>34</v>
      </c>
      <c r="E1183">
        <v>465</v>
      </c>
      <c r="F1183" s="1" t="s">
        <v>42</v>
      </c>
      <c r="G1183">
        <v>6</v>
      </c>
      <c r="H1183">
        <v>1</v>
      </c>
      <c r="I1183" s="1" t="s">
        <v>36</v>
      </c>
      <c r="J1183">
        <v>1661</v>
      </c>
      <c r="K1183">
        <v>3</v>
      </c>
      <c r="L1183" s="1" t="s">
        <v>37</v>
      </c>
      <c r="M1183">
        <v>41</v>
      </c>
      <c r="N1183">
        <v>2</v>
      </c>
      <c r="O1183">
        <v>4</v>
      </c>
      <c r="P1183" s="1" t="s">
        <v>51</v>
      </c>
      <c r="Q1183">
        <v>3</v>
      </c>
      <c r="R1183" s="1" t="s">
        <v>45</v>
      </c>
      <c r="S1183">
        <v>13966</v>
      </c>
      <c r="T1183">
        <v>11652</v>
      </c>
      <c r="U1183">
        <v>2</v>
      </c>
      <c r="V1183" s="1" t="s">
        <v>33</v>
      </c>
      <c r="W1183">
        <v>19</v>
      </c>
      <c r="X1183">
        <v>3</v>
      </c>
      <c r="Y1183">
        <v>2</v>
      </c>
      <c r="Z1183">
        <v>80</v>
      </c>
      <c r="AA1183">
        <v>1</v>
      </c>
      <c r="AB1183">
        <v>30</v>
      </c>
      <c r="AC1183">
        <v>3</v>
      </c>
      <c r="AD1183">
        <v>3</v>
      </c>
      <c r="AE1183">
        <v>15</v>
      </c>
      <c r="AF1183">
        <v>11</v>
      </c>
      <c r="AG1183">
        <v>2</v>
      </c>
      <c r="AH1183">
        <v>12</v>
      </c>
      <c r="AI1183">
        <f>IF(tbl_HRData[[#This Row],[Attrition]] = "Yes",1,0)</f>
        <v>0</v>
      </c>
      <c r="AJ1183">
        <f>IF(tbl_HRData[[#This Row],[Attrition]] = "No",1,0)</f>
        <v>1</v>
      </c>
      <c r="AK1183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1183" s="1" t="str">
        <f>IF(tbl_HRData[[#This Row],[MonthlyIncome]]&lt;5000,"Low",
IF(tbl_HRData[[#This Row],[MonthlyIncome]]&lt;10000,"Medium",
IF(tbl_HRData[[#This Row],[MonthlyIncome]]&lt;15000,"Upper Medium","High")))</f>
        <v>Upper Medium</v>
      </c>
      <c r="AM1183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1184" spans="1:39" x14ac:dyDescent="0.35">
      <c r="A1184" s="1">
        <v>1183</v>
      </c>
      <c r="B1184">
        <v>36</v>
      </c>
      <c r="C1184" s="1" t="s">
        <v>40</v>
      </c>
      <c r="D1184" s="1" t="s">
        <v>52</v>
      </c>
      <c r="E1184">
        <v>894</v>
      </c>
      <c r="F1184" s="1" t="s">
        <v>42</v>
      </c>
      <c r="G1184">
        <v>1</v>
      </c>
      <c r="H1184">
        <v>4</v>
      </c>
      <c r="I1184" s="1" t="s">
        <v>48</v>
      </c>
      <c r="J1184">
        <v>1662</v>
      </c>
      <c r="K1184">
        <v>4</v>
      </c>
      <c r="L1184" s="1" t="s">
        <v>37</v>
      </c>
      <c r="M1184">
        <v>33</v>
      </c>
      <c r="N1184">
        <v>2</v>
      </c>
      <c r="O1184">
        <v>2</v>
      </c>
      <c r="P1184" s="1" t="s">
        <v>50</v>
      </c>
      <c r="Q1184">
        <v>3</v>
      </c>
      <c r="R1184" s="1" t="s">
        <v>45</v>
      </c>
      <c r="S1184">
        <v>4374</v>
      </c>
      <c r="T1184">
        <v>15411</v>
      </c>
      <c r="U1184">
        <v>0</v>
      </c>
      <c r="V1184" s="1" t="s">
        <v>40</v>
      </c>
      <c r="W1184">
        <v>15</v>
      </c>
      <c r="X1184">
        <v>3</v>
      </c>
      <c r="Y1184">
        <v>3</v>
      </c>
      <c r="Z1184">
        <v>80</v>
      </c>
      <c r="AA1184">
        <v>0</v>
      </c>
      <c r="AB1184">
        <v>4</v>
      </c>
      <c r="AC1184">
        <v>6</v>
      </c>
      <c r="AD1184">
        <v>3</v>
      </c>
      <c r="AE1184">
        <v>3</v>
      </c>
      <c r="AF1184">
        <v>2</v>
      </c>
      <c r="AG1184">
        <v>1</v>
      </c>
      <c r="AH1184">
        <v>2</v>
      </c>
      <c r="AI1184">
        <f>IF(tbl_HRData[[#This Row],[Attrition]] = "Yes",1,0)</f>
        <v>0</v>
      </c>
      <c r="AJ1184">
        <f>IF(tbl_HRData[[#This Row],[Attrition]] = "No",1,0)</f>
        <v>1</v>
      </c>
      <c r="AK1184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184" s="1" t="str">
        <f>IF(tbl_HRData[[#This Row],[MonthlyIncome]]&lt;5000,"Low",
IF(tbl_HRData[[#This Row],[MonthlyIncome]]&lt;10000,"Medium",
IF(tbl_HRData[[#This Row],[MonthlyIncome]]&lt;15000,"Upper Medium","High")))</f>
        <v>Low</v>
      </c>
      <c r="AM1184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185" spans="1:39" x14ac:dyDescent="0.35">
      <c r="A1185" s="1">
        <v>1184</v>
      </c>
      <c r="B1185">
        <v>36</v>
      </c>
      <c r="C1185" s="1" t="s">
        <v>40</v>
      </c>
      <c r="D1185" s="1" t="s">
        <v>34</v>
      </c>
      <c r="E1185">
        <v>1040</v>
      </c>
      <c r="F1185" s="1" t="s">
        <v>42</v>
      </c>
      <c r="G1185">
        <v>3</v>
      </c>
      <c r="H1185">
        <v>2</v>
      </c>
      <c r="I1185" s="1" t="s">
        <v>36</v>
      </c>
      <c r="J1185">
        <v>1664</v>
      </c>
      <c r="K1185">
        <v>4</v>
      </c>
      <c r="L1185" s="1" t="s">
        <v>43</v>
      </c>
      <c r="M1185">
        <v>79</v>
      </c>
      <c r="N1185">
        <v>4</v>
      </c>
      <c r="O1185">
        <v>2</v>
      </c>
      <c r="P1185" s="1" t="s">
        <v>51</v>
      </c>
      <c r="Q1185">
        <v>1</v>
      </c>
      <c r="R1185" s="1" t="s">
        <v>49</v>
      </c>
      <c r="S1185">
        <v>6842</v>
      </c>
      <c r="T1185">
        <v>26308</v>
      </c>
      <c r="U1185">
        <v>6</v>
      </c>
      <c r="V1185" s="1" t="s">
        <v>40</v>
      </c>
      <c r="W1185">
        <v>20</v>
      </c>
      <c r="X1185">
        <v>4</v>
      </c>
      <c r="Y1185">
        <v>1</v>
      </c>
      <c r="Z1185">
        <v>80</v>
      </c>
      <c r="AA1185">
        <v>1</v>
      </c>
      <c r="AB1185">
        <v>13</v>
      </c>
      <c r="AC1185">
        <v>3</v>
      </c>
      <c r="AD1185">
        <v>3</v>
      </c>
      <c r="AE1185">
        <v>5</v>
      </c>
      <c r="AF1185">
        <v>4</v>
      </c>
      <c r="AG1185">
        <v>0</v>
      </c>
      <c r="AH1185">
        <v>4</v>
      </c>
      <c r="AI1185">
        <f>IF(tbl_HRData[[#This Row],[Attrition]] = "Yes",1,0)</f>
        <v>0</v>
      </c>
      <c r="AJ1185">
        <f>IF(tbl_HRData[[#This Row],[Attrition]] = "No",1,0)</f>
        <v>1</v>
      </c>
      <c r="AK1185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185" s="1" t="str">
        <f>IF(tbl_HRData[[#This Row],[MonthlyIncome]]&lt;5000,"Low",
IF(tbl_HRData[[#This Row],[MonthlyIncome]]&lt;10000,"Medium",
IF(tbl_HRData[[#This Row],[MonthlyIncome]]&lt;15000,"Upper Medium","High")))</f>
        <v>Medium</v>
      </c>
      <c r="AM1185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186" spans="1:39" x14ac:dyDescent="0.35">
      <c r="A1186" s="1">
        <v>1185</v>
      </c>
      <c r="B1186">
        <v>54</v>
      </c>
      <c r="C1186" s="1" t="s">
        <v>40</v>
      </c>
      <c r="D1186" s="1" t="s">
        <v>34</v>
      </c>
      <c r="E1186">
        <v>584</v>
      </c>
      <c r="F1186" s="1" t="s">
        <v>42</v>
      </c>
      <c r="G1186">
        <v>22</v>
      </c>
      <c r="H1186">
        <v>5</v>
      </c>
      <c r="I1186" s="1" t="s">
        <v>48</v>
      </c>
      <c r="J1186">
        <v>1665</v>
      </c>
      <c r="K1186">
        <v>2</v>
      </c>
      <c r="L1186" s="1" t="s">
        <v>37</v>
      </c>
      <c r="M1186">
        <v>91</v>
      </c>
      <c r="N1186">
        <v>3</v>
      </c>
      <c r="O1186">
        <v>4</v>
      </c>
      <c r="P1186" s="1" t="s">
        <v>53</v>
      </c>
      <c r="Q1186">
        <v>3</v>
      </c>
      <c r="R1186" s="1" t="s">
        <v>45</v>
      </c>
      <c r="S1186">
        <v>17426</v>
      </c>
      <c r="T1186">
        <v>18685</v>
      </c>
      <c r="U1186">
        <v>3</v>
      </c>
      <c r="V1186" s="1" t="s">
        <v>40</v>
      </c>
      <c r="W1186">
        <v>25</v>
      </c>
      <c r="X1186">
        <v>4</v>
      </c>
      <c r="Y1186">
        <v>3</v>
      </c>
      <c r="Z1186">
        <v>80</v>
      </c>
      <c r="AA1186">
        <v>1</v>
      </c>
      <c r="AB1186">
        <v>36</v>
      </c>
      <c r="AC1186">
        <v>6</v>
      </c>
      <c r="AD1186">
        <v>3</v>
      </c>
      <c r="AE1186">
        <v>10</v>
      </c>
      <c r="AF1186">
        <v>8</v>
      </c>
      <c r="AG1186">
        <v>4</v>
      </c>
      <c r="AH1186">
        <v>7</v>
      </c>
      <c r="AI1186">
        <f>IF(tbl_HRData[[#This Row],[Attrition]] = "Yes",1,0)</f>
        <v>0</v>
      </c>
      <c r="AJ1186">
        <f>IF(tbl_HRData[[#This Row],[Attrition]] = "No",1,0)</f>
        <v>1</v>
      </c>
      <c r="AK1186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1186" s="1" t="str">
        <f>IF(tbl_HRData[[#This Row],[MonthlyIncome]]&lt;5000,"Low",
IF(tbl_HRData[[#This Row],[MonthlyIncome]]&lt;10000,"Medium",
IF(tbl_HRData[[#This Row],[MonthlyIncome]]&lt;15000,"Upper Medium","High")))</f>
        <v>High</v>
      </c>
      <c r="AM1186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187" spans="1:39" x14ac:dyDescent="0.35">
      <c r="A1187" s="1">
        <v>1186</v>
      </c>
      <c r="B1187">
        <v>43</v>
      </c>
      <c r="C1187" s="1" t="s">
        <v>40</v>
      </c>
      <c r="D1187" s="1" t="s">
        <v>34</v>
      </c>
      <c r="E1187">
        <v>1291</v>
      </c>
      <c r="F1187" s="1" t="s">
        <v>42</v>
      </c>
      <c r="G1187">
        <v>15</v>
      </c>
      <c r="H1187">
        <v>2</v>
      </c>
      <c r="I1187" s="1" t="s">
        <v>36</v>
      </c>
      <c r="J1187">
        <v>1666</v>
      </c>
      <c r="K1187">
        <v>3</v>
      </c>
      <c r="L1187" s="1" t="s">
        <v>43</v>
      </c>
      <c r="M1187">
        <v>65</v>
      </c>
      <c r="N1187">
        <v>2</v>
      </c>
      <c r="O1187">
        <v>4</v>
      </c>
      <c r="P1187" s="1" t="s">
        <v>55</v>
      </c>
      <c r="Q1187">
        <v>3</v>
      </c>
      <c r="R1187" s="1" t="s">
        <v>45</v>
      </c>
      <c r="S1187">
        <v>17603</v>
      </c>
      <c r="T1187">
        <v>3525</v>
      </c>
      <c r="U1187">
        <v>1</v>
      </c>
      <c r="V1187" s="1" t="s">
        <v>40</v>
      </c>
      <c r="W1187">
        <v>24</v>
      </c>
      <c r="X1187">
        <v>4</v>
      </c>
      <c r="Y1187">
        <v>1</v>
      </c>
      <c r="Z1187">
        <v>80</v>
      </c>
      <c r="AA1187">
        <v>1</v>
      </c>
      <c r="AB1187">
        <v>14</v>
      </c>
      <c r="AC1187">
        <v>3</v>
      </c>
      <c r="AD1187">
        <v>3</v>
      </c>
      <c r="AE1187">
        <v>14</v>
      </c>
      <c r="AF1187">
        <v>10</v>
      </c>
      <c r="AG1187">
        <v>6</v>
      </c>
      <c r="AH1187">
        <v>11</v>
      </c>
      <c r="AI1187">
        <f>IF(tbl_HRData[[#This Row],[Attrition]] = "Yes",1,0)</f>
        <v>0</v>
      </c>
      <c r="AJ1187">
        <f>IF(tbl_HRData[[#This Row],[Attrition]] = "No",1,0)</f>
        <v>1</v>
      </c>
      <c r="AK1187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187" s="1" t="str">
        <f>IF(tbl_HRData[[#This Row],[MonthlyIncome]]&lt;5000,"Low",
IF(tbl_HRData[[#This Row],[MonthlyIncome]]&lt;10000,"Medium",
IF(tbl_HRData[[#This Row],[MonthlyIncome]]&lt;15000,"Upper Medium","High")))</f>
        <v>High</v>
      </c>
      <c r="AM1187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1188" spans="1:39" x14ac:dyDescent="0.35">
      <c r="A1188" s="1">
        <v>1187</v>
      </c>
      <c r="B1188">
        <v>35</v>
      </c>
      <c r="C1188" s="1" t="s">
        <v>33</v>
      </c>
      <c r="D1188" s="1" t="s">
        <v>41</v>
      </c>
      <c r="E1188">
        <v>880</v>
      </c>
      <c r="F1188" s="1" t="s">
        <v>35</v>
      </c>
      <c r="G1188">
        <v>12</v>
      </c>
      <c r="H1188">
        <v>4</v>
      </c>
      <c r="I1188" s="1" t="s">
        <v>46</v>
      </c>
      <c r="J1188">
        <v>1667</v>
      </c>
      <c r="K1188">
        <v>4</v>
      </c>
      <c r="L1188" s="1" t="s">
        <v>43</v>
      </c>
      <c r="M1188">
        <v>36</v>
      </c>
      <c r="N1188">
        <v>3</v>
      </c>
      <c r="O1188">
        <v>2</v>
      </c>
      <c r="P1188" s="1" t="s">
        <v>38</v>
      </c>
      <c r="Q1188">
        <v>4</v>
      </c>
      <c r="R1188" s="1" t="s">
        <v>39</v>
      </c>
      <c r="S1188">
        <v>4581</v>
      </c>
      <c r="T1188">
        <v>10414</v>
      </c>
      <c r="U1188">
        <v>3</v>
      </c>
      <c r="V1188" s="1" t="s">
        <v>33</v>
      </c>
      <c r="W1188">
        <v>24</v>
      </c>
      <c r="X1188">
        <v>4</v>
      </c>
      <c r="Y1188">
        <v>1</v>
      </c>
      <c r="Z1188">
        <v>80</v>
      </c>
      <c r="AA1188">
        <v>0</v>
      </c>
      <c r="AB1188">
        <v>13</v>
      </c>
      <c r="AC1188">
        <v>2</v>
      </c>
      <c r="AD1188">
        <v>4</v>
      </c>
      <c r="AE1188">
        <v>11</v>
      </c>
      <c r="AF1188">
        <v>9</v>
      </c>
      <c r="AG1188">
        <v>6</v>
      </c>
      <c r="AH1188">
        <v>7</v>
      </c>
      <c r="AI1188">
        <f>IF(tbl_HRData[[#This Row],[Attrition]] = "Yes",1,0)</f>
        <v>1</v>
      </c>
      <c r="AJ1188">
        <f>IF(tbl_HRData[[#This Row],[Attrition]] = "No",1,0)</f>
        <v>0</v>
      </c>
      <c r="AK1188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188" s="1" t="str">
        <f>IF(tbl_HRData[[#This Row],[MonthlyIncome]]&lt;5000,"Low",
IF(tbl_HRData[[#This Row],[MonthlyIncome]]&lt;10000,"Medium",
IF(tbl_HRData[[#This Row],[MonthlyIncome]]&lt;15000,"Upper Medium","High")))</f>
        <v>Low</v>
      </c>
      <c r="AM1188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1189" spans="1:39" x14ac:dyDescent="0.35">
      <c r="A1189" s="1">
        <v>1188</v>
      </c>
      <c r="B1189">
        <v>38</v>
      </c>
      <c r="C1189" s="1" t="s">
        <v>40</v>
      </c>
      <c r="D1189" s="1" t="s">
        <v>41</v>
      </c>
      <c r="E1189">
        <v>1189</v>
      </c>
      <c r="F1189" s="1" t="s">
        <v>42</v>
      </c>
      <c r="G1189">
        <v>1</v>
      </c>
      <c r="H1189">
        <v>3</v>
      </c>
      <c r="I1189" s="1" t="s">
        <v>36</v>
      </c>
      <c r="J1189">
        <v>1668</v>
      </c>
      <c r="K1189">
        <v>4</v>
      </c>
      <c r="L1189" s="1" t="s">
        <v>43</v>
      </c>
      <c r="M1189">
        <v>90</v>
      </c>
      <c r="N1189">
        <v>3</v>
      </c>
      <c r="O1189">
        <v>2</v>
      </c>
      <c r="P1189" s="1" t="s">
        <v>44</v>
      </c>
      <c r="Q1189">
        <v>4</v>
      </c>
      <c r="R1189" s="1" t="s">
        <v>45</v>
      </c>
      <c r="S1189">
        <v>4735</v>
      </c>
      <c r="T1189">
        <v>9867</v>
      </c>
      <c r="U1189">
        <v>7</v>
      </c>
      <c r="V1189" s="1" t="s">
        <v>40</v>
      </c>
      <c r="W1189">
        <v>15</v>
      </c>
      <c r="X1189">
        <v>3</v>
      </c>
      <c r="Y1189">
        <v>4</v>
      </c>
      <c r="Z1189">
        <v>80</v>
      </c>
      <c r="AA1189">
        <v>2</v>
      </c>
      <c r="AB1189">
        <v>19</v>
      </c>
      <c r="AC1189">
        <v>4</v>
      </c>
      <c r="AD1189">
        <v>4</v>
      </c>
      <c r="AE1189">
        <v>13</v>
      </c>
      <c r="AF1189">
        <v>11</v>
      </c>
      <c r="AG1189">
        <v>2</v>
      </c>
      <c r="AH1189">
        <v>9</v>
      </c>
      <c r="AI1189">
        <f>IF(tbl_HRData[[#This Row],[Attrition]] = "Yes",1,0)</f>
        <v>0</v>
      </c>
      <c r="AJ1189">
        <f>IF(tbl_HRData[[#This Row],[Attrition]] = "No",1,0)</f>
        <v>1</v>
      </c>
      <c r="AK1189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189" s="1" t="str">
        <f>IF(tbl_HRData[[#This Row],[MonthlyIncome]]&lt;5000,"Low",
IF(tbl_HRData[[#This Row],[MonthlyIncome]]&lt;10000,"Medium",
IF(tbl_HRData[[#This Row],[MonthlyIncome]]&lt;15000,"Upper Medium","High")))</f>
        <v>Low</v>
      </c>
      <c r="AM1189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1190" spans="1:39" x14ac:dyDescent="0.35">
      <c r="A1190" s="1">
        <v>1189</v>
      </c>
      <c r="B1190">
        <v>29</v>
      </c>
      <c r="C1190" s="1" t="s">
        <v>40</v>
      </c>
      <c r="D1190" s="1" t="s">
        <v>34</v>
      </c>
      <c r="E1190">
        <v>991</v>
      </c>
      <c r="F1190" s="1" t="s">
        <v>35</v>
      </c>
      <c r="G1190">
        <v>5</v>
      </c>
      <c r="H1190">
        <v>3</v>
      </c>
      <c r="I1190" s="1" t="s">
        <v>48</v>
      </c>
      <c r="J1190">
        <v>1669</v>
      </c>
      <c r="K1190">
        <v>1</v>
      </c>
      <c r="L1190" s="1" t="s">
        <v>43</v>
      </c>
      <c r="M1190">
        <v>43</v>
      </c>
      <c r="N1190">
        <v>2</v>
      </c>
      <c r="O1190">
        <v>2</v>
      </c>
      <c r="P1190" s="1" t="s">
        <v>38</v>
      </c>
      <c r="Q1190">
        <v>2</v>
      </c>
      <c r="R1190" s="1" t="s">
        <v>49</v>
      </c>
      <c r="S1190">
        <v>4187</v>
      </c>
      <c r="T1190">
        <v>3356</v>
      </c>
      <c r="U1190">
        <v>1</v>
      </c>
      <c r="V1190" s="1" t="s">
        <v>33</v>
      </c>
      <c r="W1190">
        <v>13</v>
      </c>
      <c r="X1190">
        <v>3</v>
      </c>
      <c r="Y1190">
        <v>2</v>
      </c>
      <c r="Z1190">
        <v>80</v>
      </c>
      <c r="AA1190">
        <v>1</v>
      </c>
      <c r="AB1190">
        <v>10</v>
      </c>
      <c r="AC1190">
        <v>3</v>
      </c>
      <c r="AD1190">
        <v>2</v>
      </c>
      <c r="AE1190">
        <v>10</v>
      </c>
      <c r="AF1190">
        <v>0</v>
      </c>
      <c r="AG1190">
        <v>0</v>
      </c>
      <c r="AH1190">
        <v>9</v>
      </c>
      <c r="AI1190">
        <f>IF(tbl_HRData[[#This Row],[Attrition]] = "Yes",1,0)</f>
        <v>0</v>
      </c>
      <c r="AJ1190">
        <f>IF(tbl_HRData[[#This Row],[Attrition]] = "No",1,0)</f>
        <v>1</v>
      </c>
      <c r="AK1190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190" s="1" t="str">
        <f>IF(tbl_HRData[[#This Row],[MonthlyIncome]]&lt;5000,"Low",
IF(tbl_HRData[[#This Row],[MonthlyIncome]]&lt;10000,"Medium",
IF(tbl_HRData[[#This Row],[MonthlyIncome]]&lt;15000,"Upper Medium","High")))</f>
        <v>Low</v>
      </c>
      <c r="AM1190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191" spans="1:39" x14ac:dyDescent="0.35">
      <c r="A1191" s="1">
        <v>1190</v>
      </c>
      <c r="B1191">
        <v>33</v>
      </c>
      <c r="C1191" s="1" t="s">
        <v>40</v>
      </c>
      <c r="D1191" s="1" t="s">
        <v>34</v>
      </c>
      <c r="E1191">
        <v>392</v>
      </c>
      <c r="F1191" s="1" t="s">
        <v>35</v>
      </c>
      <c r="G1191">
        <v>2</v>
      </c>
      <c r="H1191">
        <v>4</v>
      </c>
      <c r="I1191" s="1" t="s">
        <v>48</v>
      </c>
      <c r="J1191">
        <v>1670</v>
      </c>
      <c r="K1191">
        <v>4</v>
      </c>
      <c r="L1191" s="1" t="s">
        <v>43</v>
      </c>
      <c r="M1191">
        <v>93</v>
      </c>
      <c r="N1191">
        <v>3</v>
      </c>
      <c r="O1191">
        <v>2</v>
      </c>
      <c r="P1191" s="1" t="s">
        <v>38</v>
      </c>
      <c r="Q1191">
        <v>4</v>
      </c>
      <c r="R1191" s="1" t="s">
        <v>49</v>
      </c>
      <c r="S1191">
        <v>5505</v>
      </c>
      <c r="T1191">
        <v>3921</v>
      </c>
      <c r="U1191">
        <v>1</v>
      </c>
      <c r="V1191" s="1" t="s">
        <v>40</v>
      </c>
      <c r="W1191">
        <v>14</v>
      </c>
      <c r="X1191">
        <v>3</v>
      </c>
      <c r="Y1191">
        <v>3</v>
      </c>
      <c r="Z1191">
        <v>80</v>
      </c>
      <c r="AA1191">
        <v>2</v>
      </c>
      <c r="AB1191">
        <v>6</v>
      </c>
      <c r="AC1191">
        <v>5</v>
      </c>
      <c r="AD1191">
        <v>3</v>
      </c>
      <c r="AE1191">
        <v>6</v>
      </c>
      <c r="AF1191">
        <v>2</v>
      </c>
      <c r="AG1191">
        <v>0</v>
      </c>
      <c r="AH1191">
        <v>4</v>
      </c>
      <c r="AI1191">
        <f>IF(tbl_HRData[[#This Row],[Attrition]] = "Yes",1,0)</f>
        <v>0</v>
      </c>
      <c r="AJ1191">
        <f>IF(tbl_HRData[[#This Row],[Attrition]] = "No",1,0)</f>
        <v>1</v>
      </c>
      <c r="AK1191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191" s="1" t="str">
        <f>IF(tbl_HRData[[#This Row],[MonthlyIncome]]&lt;5000,"Low",
IF(tbl_HRData[[#This Row],[MonthlyIncome]]&lt;10000,"Medium",
IF(tbl_HRData[[#This Row],[MonthlyIncome]]&lt;15000,"Upper Medium","High")))</f>
        <v>Medium</v>
      </c>
      <c r="AM1191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192" spans="1:39" x14ac:dyDescent="0.35">
      <c r="A1192" s="1">
        <v>1191</v>
      </c>
      <c r="B1192">
        <v>32</v>
      </c>
      <c r="C1192" s="1" t="s">
        <v>40</v>
      </c>
      <c r="D1192" s="1" t="s">
        <v>34</v>
      </c>
      <c r="E1192">
        <v>977</v>
      </c>
      <c r="F1192" s="1" t="s">
        <v>42</v>
      </c>
      <c r="G1192">
        <v>2</v>
      </c>
      <c r="H1192">
        <v>3</v>
      </c>
      <c r="I1192" s="1" t="s">
        <v>48</v>
      </c>
      <c r="J1192">
        <v>1671</v>
      </c>
      <c r="K1192">
        <v>4</v>
      </c>
      <c r="L1192" s="1" t="s">
        <v>43</v>
      </c>
      <c r="M1192">
        <v>45</v>
      </c>
      <c r="N1192">
        <v>3</v>
      </c>
      <c r="O1192">
        <v>2</v>
      </c>
      <c r="P1192" s="1" t="s">
        <v>44</v>
      </c>
      <c r="Q1192">
        <v>2</v>
      </c>
      <c r="R1192" s="1" t="s">
        <v>49</v>
      </c>
      <c r="S1192">
        <v>5470</v>
      </c>
      <c r="T1192">
        <v>25518</v>
      </c>
      <c r="U1192">
        <v>0</v>
      </c>
      <c r="V1192" s="1" t="s">
        <v>40</v>
      </c>
      <c r="W1192">
        <v>13</v>
      </c>
      <c r="X1192">
        <v>3</v>
      </c>
      <c r="Y1192">
        <v>3</v>
      </c>
      <c r="Z1192">
        <v>80</v>
      </c>
      <c r="AA1192">
        <v>2</v>
      </c>
      <c r="AB1192">
        <v>10</v>
      </c>
      <c r="AC1192">
        <v>4</v>
      </c>
      <c r="AD1192">
        <v>2</v>
      </c>
      <c r="AE1192">
        <v>9</v>
      </c>
      <c r="AF1192">
        <v>5</v>
      </c>
      <c r="AG1192">
        <v>1</v>
      </c>
      <c r="AH1192">
        <v>6</v>
      </c>
      <c r="AI1192">
        <f>IF(tbl_HRData[[#This Row],[Attrition]] = "Yes",1,0)</f>
        <v>0</v>
      </c>
      <c r="AJ1192">
        <f>IF(tbl_HRData[[#This Row],[Attrition]] = "No",1,0)</f>
        <v>1</v>
      </c>
      <c r="AK1192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192" s="1" t="str">
        <f>IF(tbl_HRData[[#This Row],[MonthlyIncome]]&lt;5000,"Low",
IF(tbl_HRData[[#This Row],[MonthlyIncome]]&lt;10000,"Medium",
IF(tbl_HRData[[#This Row],[MonthlyIncome]]&lt;15000,"Upper Medium","High")))</f>
        <v>Medium</v>
      </c>
      <c r="AM1192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193" spans="1:39" x14ac:dyDescent="0.35">
      <c r="A1193" s="1">
        <v>1192</v>
      </c>
      <c r="B1193">
        <v>31</v>
      </c>
      <c r="C1193" s="1" t="s">
        <v>40</v>
      </c>
      <c r="D1193" s="1" t="s">
        <v>34</v>
      </c>
      <c r="E1193">
        <v>1112</v>
      </c>
      <c r="F1193" s="1" t="s">
        <v>35</v>
      </c>
      <c r="G1193">
        <v>5</v>
      </c>
      <c r="H1193">
        <v>4</v>
      </c>
      <c r="I1193" s="1" t="s">
        <v>36</v>
      </c>
      <c r="J1193">
        <v>1673</v>
      </c>
      <c r="K1193">
        <v>1</v>
      </c>
      <c r="L1193" s="1" t="s">
        <v>37</v>
      </c>
      <c r="M1193">
        <v>67</v>
      </c>
      <c r="N1193">
        <v>3</v>
      </c>
      <c r="O1193">
        <v>2</v>
      </c>
      <c r="P1193" s="1" t="s">
        <v>38</v>
      </c>
      <c r="Q1193">
        <v>4</v>
      </c>
      <c r="R1193" s="1" t="s">
        <v>45</v>
      </c>
      <c r="S1193">
        <v>5476</v>
      </c>
      <c r="T1193">
        <v>22589</v>
      </c>
      <c r="U1193">
        <v>1</v>
      </c>
      <c r="V1193" s="1" t="s">
        <v>40</v>
      </c>
      <c r="W1193">
        <v>11</v>
      </c>
      <c r="X1193">
        <v>3</v>
      </c>
      <c r="Y1193">
        <v>1</v>
      </c>
      <c r="Z1193">
        <v>80</v>
      </c>
      <c r="AA1193">
        <v>2</v>
      </c>
      <c r="AB1193">
        <v>10</v>
      </c>
      <c r="AC1193">
        <v>2</v>
      </c>
      <c r="AD1193">
        <v>3</v>
      </c>
      <c r="AE1193">
        <v>10</v>
      </c>
      <c r="AF1193">
        <v>0</v>
      </c>
      <c r="AG1193">
        <v>0</v>
      </c>
      <c r="AH1193">
        <v>2</v>
      </c>
      <c r="AI1193">
        <f>IF(tbl_HRData[[#This Row],[Attrition]] = "Yes",1,0)</f>
        <v>0</v>
      </c>
      <c r="AJ1193">
        <f>IF(tbl_HRData[[#This Row],[Attrition]] = "No",1,0)</f>
        <v>1</v>
      </c>
      <c r="AK1193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193" s="1" t="str">
        <f>IF(tbl_HRData[[#This Row],[MonthlyIncome]]&lt;5000,"Low",
IF(tbl_HRData[[#This Row],[MonthlyIncome]]&lt;10000,"Medium",
IF(tbl_HRData[[#This Row],[MonthlyIncome]]&lt;15000,"Upper Medium","High")))</f>
        <v>Medium</v>
      </c>
      <c r="AM1193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194" spans="1:39" x14ac:dyDescent="0.35">
      <c r="A1194" s="1">
        <v>1193</v>
      </c>
      <c r="B1194">
        <v>49</v>
      </c>
      <c r="C1194" s="1" t="s">
        <v>40</v>
      </c>
      <c r="D1194" s="1" t="s">
        <v>34</v>
      </c>
      <c r="E1194">
        <v>464</v>
      </c>
      <c r="F1194" s="1" t="s">
        <v>42</v>
      </c>
      <c r="G1194">
        <v>16</v>
      </c>
      <c r="H1194">
        <v>3</v>
      </c>
      <c r="I1194" s="1" t="s">
        <v>48</v>
      </c>
      <c r="J1194">
        <v>1674</v>
      </c>
      <c r="K1194">
        <v>4</v>
      </c>
      <c r="L1194" s="1" t="s">
        <v>37</v>
      </c>
      <c r="M1194">
        <v>74</v>
      </c>
      <c r="N1194">
        <v>3</v>
      </c>
      <c r="O1194">
        <v>1</v>
      </c>
      <c r="P1194" s="1" t="s">
        <v>47</v>
      </c>
      <c r="Q1194">
        <v>1</v>
      </c>
      <c r="R1194" s="1" t="s">
        <v>49</v>
      </c>
      <c r="S1194">
        <v>2587</v>
      </c>
      <c r="T1194">
        <v>24941</v>
      </c>
      <c r="U1194">
        <v>4</v>
      </c>
      <c r="V1194" s="1" t="s">
        <v>33</v>
      </c>
      <c r="W1194">
        <v>16</v>
      </c>
      <c r="X1194">
        <v>3</v>
      </c>
      <c r="Y1194">
        <v>2</v>
      </c>
      <c r="Z1194">
        <v>80</v>
      </c>
      <c r="AA1194">
        <v>1</v>
      </c>
      <c r="AB1194">
        <v>17</v>
      </c>
      <c r="AC1194">
        <v>2</v>
      </c>
      <c r="AD1194">
        <v>2</v>
      </c>
      <c r="AE1194">
        <v>2</v>
      </c>
      <c r="AF1194">
        <v>2</v>
      </c>
      <c r="AG1194">
        <v>2</v>
      </c>
      <c r="AH1194">
        <v>2</v>
      </c>
      <c r="AI1194">
        <f>IF(tbl_HRData[[#This Row],[Attrition]] = "Yes",1,0)</f>
        <v>0</v>
      </c>
      <c r="AJ1194">
        <f>IF(tbl_HRData[[#This Row],[Attrition]] = "No",1,0)</f>
        <v>1</v>
      </c>
      <c r="AK1194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1194" s="1" t="str">
        <f>IF(tbl_HRData[[#This Row],[MonthlyIncome]]&lt;5000,"Low",
IF(tbl_HRData[[#This Row],[MonthlyIncome]]&lt;10000,"Medium",
IF(tbl_HRData[[#This Row],[MonthlyIncome]]&lt;15000,"Upper Medium","High")))</f>
        <v>Low</v>
      </c>
      <c r="AM1194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195" spans="1:39" x14ac:dyDescent="0.35">
      <c r="A1195" s="1">
        <v>1194</v>
      </c>
      <c r="B1195">
        <v>38</v>
      </c>
      <c r="C1195" s="1" t="s">
        <v>40</v>
      </c>
      <c r="D1195" s="1" t="s">
        <v>41</v>
      </c>
      <c r="E1195">
        <v>148</v>
      </c>
      <c r="F1195" s="1" t="s">
        <v>42</v>
      </c>
      <c r="G1195">
        <v>2</v>
      </c>
      <c r="H1195">
        <v>3</v>
      </c>
      <c r="I1195" s="1" t="s">
        <v>48</v>
      </c>
      <c r="J1195">
        <v>1675</v>
      </c>
      <c r="K1195">
        <v>4</v>
      </c>
      <c r="L1195" s="1" t="s">
        <v>37</v>
      </c>
      <c r="M1195">
        <v>42</v>
      </c>
      <c r="N1195">
        <v>2</v>
      </c>
      <c r="O1195">
        <v>1</v>
      </c>
      <c r="P1195" s="1" t="s">
        <v>47</v>
      </c>
      <c r="Q1195">
        <v>2</v>
      </c>
      <c r="R1195" s="1" t="s">
        <v>39</v>
      </c>
      <c r="S1195">
        <v>2440</v>
      </c>
      <c r="T1195">
        <v>23826</v>
      </c>
      <c r="U1195">
        <v>1</v>
      </c>
      <c r="V1195" s="1" t="s">
        <v>40</v>
      </c>
      <c r="W1195">
        <v>22</v>
      </c>
      <c r="X1195">
        <v>4</v>
      </c>
      <c r="Y1195">
        <v>2</v>
      </c>
      <c r="Z1195">
        <v>80</v>
      </c>
      <c r="AA1195">
        <v>0</v>
      </c>
      <c r="AB1195">
        <v>4</v>
      </c>
      <c r="AC1195">
        <v>3</v>
      </c>
      <c r="AD1195">
        <v>3</v>
      </c>
      <c r="AE1195">
        <v>4</v>
      </c>
      <c r="AF1195">
        <v>3</v>
      </c>
      <c r="AG1195">
        <v>3</v>
      </c>
      <c r="AH1195">
        <v>3</v>
      </c>
      <c r="AI1195">
        <f>IF(tbl_HRData[[#This Row],[Attrition]] = "Yes",1,0)</f>
        <v>0</v>
      </c>
      <c r="AJ1195">
        <f>IF(tbl_HRData[[#This Row],[Attrition]] = "No",1,0)</f>
        <v>1</v>
      </c>
      <c r="AK1195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195" s="1" t="str">
        <f>IF(tbl_HRData[[#This Row],[MonthlyIncome]]&lt;5000,"Low",
IF(tbl_HRData[[#This Row],[MonthlyIncome]]&lt;10000,"Medium",
IF(tbl_HRData[[#This Row],[MonthlyIncome]]&lt;15000,"Upper Medium","High")))</f>
        <v>Low</v>
      </c>
      <c r="AM1195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196" spans="1:39" x14ac:dyDescent="0.35">
      <c r="A1196" s="1">
        <v>1195</v>
      </c>
      <c r="B1196">
        <v>47</v>
      </c>
      <c r="C1196" s="1" t="s">
        <v>40</v>
      </c>
      <c r="D1196" s="1" t="s">
        <v>34</v>
      </c>
      <c r="E1196">
        <v>1225</v>
      </c>
      <c r="F1196" s="1" t="s">
        <v>35</v>
      </c>
      <c r="G1196">
        <v>2</v>
      </c>
      <c r="H1196">
        <v>4</v>
      </c>
      <c r="I1196" s="1" t="s">
        <v>36</v>
      </c>
      <c r="J1196">
        <v>1676</v>
      </c>
      <c r="K1196">
        <v>2</v>
      </c>
      <c r="L1196" s="1" t="s">
        <v>37</v>
      </c>
      <c r="M1196">
        <v>47</v>
      </c>
      <c r="N1196">
        <v>4</v>
      </c>
      <c r="O1196">
        <v>4</v>
      </c>
      <c r="P1196" s="1" t="s">
        <v>53</v>
      </c>
      <c r="Q1196">
        <v>2</v>
      </c>
      <c r="R1196" s="1" t="s">
        <v>49</v>
      </c>
      <c r="S1196">
        <v>15972</v>
      </c>
      <c r="T1196">
        <v>21086</v>
      </c>
      <c r="U1196">
        <v>6</v>
      </c>
      <c r="V1196" s="1" t="s">
        <v>40</v>
      </c>
      <c r="W1196">
        <v>14</v>
      </c>
      <c r="X1196">
        <v>3</v>
      </c>
      <c r="Y1196">
        <v>3</v>
      </c>
      <c r="Z1196">
        <v>80</v>
      </c>
      <c r="AA1196">
        <v>3</v>
      </c>
      <c r="AB1196">
        <v>29</v>
      </c>
      <c r="AC1196">
        <v>2</v>
      </c>
      <c r="AD1196">
        <v>3</v>
      </c>
      <c r="AE1196">
        <v>3</v>
      </c>
      <c r="AF1196">
        <v>2</v>
      </c>
      <c r="AG1196">
        <v>1</v>
      </c>
      <c r="AH1196">
        <v>2</v>
      </c>
      <c r="AI1196">
        <f>IF(tbl_HRData[[#This Row],[Attrition]] = "Yes",1,0)</f>
        <v>0</v>
      </c>
      <c r="AJ1196">
        <f>IF(tbl_HRData[[#This Row],[Attrition]] = "No",1,0)</f>
        <v>1</v>
      </c>
      <c r="AK1196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1196" s="1" t="str">
        <f>IF(tbl_HRData[[#This Row],[MonthlyIncome]]&lt;5000,"Low",
IF(tbl_HRData[[#This Row],[MonthlyIncome]]&lt;10000,"Medium",
IF(tbl_HRData[[#This Row],[MonthlyIncome]]&lt;15000,"Upper Medium","High")))</f>
        <v>High</v>
      </c>
      <c r="AM1196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197" spans="1:39" x14ac:dyDescent="0.35">
      <c r="A1197" s="1">
        <v>1196</v>
      </c>
      <c r="B1197">
        <v>49</v>
      </c>
      <c r="C1197" s="1" t="s">
        <v>40</v>
      </c>
      <c r="D1197" s="1" t="s">
        <v>34</v>
      </c>
      <c r="E1197">
        <v>809</v>
      </c>
      <c r="F1197" s="1" t="s">
        <v>42</v>
      </c>
      <c r="G1197">
        <v>1</v>
      </c>
      <c r="H1197">
        <v>3</v>
      </c>
      <c r="I1197" s="1" t="s">
        <v>36</v>
      </c>
      <c r="J1197">
        <v>1677</v>
      </c>
      <c r="K1197">
        <v>3</v>
      </c>
      <c r="L1197" s="1" t="s">
        <v>43</v>
      </c>
      <c r="M1197">
        <v>36</v>
      </c>
      <c r="N1197">
        <v>3</v>
      </c>
      <c r="O1197">
        <v>4</v>
      </c>
      <c r="P1197" s="1" t="s">
        <v>53</v>
      </c>
      <c r="Q1197">
        <v>3</v>
      </c>
      <c r="R1197" s="1" t="s">
        <v>39</v>
      </c>
      <c r="S1197">
        <v>15379</v>
      </c>
      <c r="T1197">
        <v>22384</v>
      </c>
      <c r="U1197">
        <v>4</v>
      </c>
      <c r="V1197" s="1" t="s">
        <v>40</v>
      </c>
      <c r="W1197">
        <v>14</v>
      </c>
      <c r="X1197">
        <v>3</v>
      </c>
      <c r="Y1197">
        <v>1</v>
      </c>
      <c r="Z1197">
        <v>80</v>
      </c>
      <c r="AA1197">
        <v>0</v>
      </c>
      <c r="AB1197">
        <v>23</v>
      </c>
      <c r="AC1197">
        <v>2</v>
      </c>
      <c r="AD1197">
        <v>3</v>
      </c>
      <c r="AE1197">
        <v>8</v>
      </c>
      <c r="AF1197">
        <v>7</v>
      </c>
      <c r="AG1197">
        <v>0</v>
      </c>
      <c r="AH1197">
        <v>0</v>
      </c>
      <c r="AI1197">
        <f>IF(tbl_HRData[[#This Row],[Attrition]] = "Yes",1,0)</f>
        <v>0</v>
      </c>
      <c r="AJ1197">
        <f>IF(tbl_HRData[[#This Row],[Attrition]] = "No",1,0)</f>
        <v>1</v>
      </c>
      <c r="AK1197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1197" s="1" t="str">
        <f>IF(tbl_HRData[[#This Row],[MonthlyIncome]]&lt;5000,"Low",
IF(tbl_HRData[[#This Row],[MonthlyIncome]]&lt;10000,"Medium",
IF(tbl_HRData[[#This Row],[MonthlyIncome]]&lt;15000,"Upper Medium","High")))</f>
        <v>High</v>
      </c>
      <c r="AM1197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198" spans="1:39" x14ac:dyDescent="0.35">
      <c r="A1198" s="1">
        <v>1197</v>
      </c>
      <c r="B1198">
        <v>41</v>
      </c>
      <c r="C1198" s="1" t="s">
        <v>40</v>
      </c>
      <c r="D1198" s="1" t="s">
        <v>34</v>
      </c>
      <c r="E1198">
        <v>1206</v>
      </c>
      <c r="F1198" s="1" t="s">
        <v>35</v>
      </c>
      <c r="G1198">
        <v>23</v>
      </c>
      <c r="H1198">
        <v>2</v>
      </c>
      <c r="I1198" s="1" t="s">
        <v>36</v>
      </c>
      <c r="J1198">
        <v>1678</v>
      </c>
      <c r="K1198">
        <v>4</v>
      </c>
      <c r="L1198" s="1" t="s">
        <v>43</v>
      </c>
      <c r="M1198">
        <v>80</v>
      </c>
      <c r="N1198">
        <v>3</v>
      </c>
      <c r="O1198">
        <v>3</v>
      </c>
      <c r="P1198" s="1" t="s">
        <v>38</v>
      </c>
      <c r="Q1198">
        <v>3</v>
      </c>
      <c r="R1198" s="1" t="s">
        <v>39</v>
      </c>
      <c r="S1198">
        <v>7082</v>
      </c>
      <c r="T1198">
        <v>11591</v>
      </c>
      <c r="U1198">
        <v>3</v>
      </c>
      <c r="V1198" s="1" t="s">
        <v>33</v>
      </c>
      <c r="W1198">
        <v>16</v>
      </c>
      <c r="X1198">
        <v>3</v>
      </c>
      <c r="Y1198">
        <v>4</v>
      </c>
      <c r="Z1198">
        <v>80</v>
      </c>
      <c r="AA1198">
        <v>0</v>
      </c>
      <c r="AB1198">
        <v>21</v>
      </c>
      <c r="AC1198">
        <v>2</v>
      </c>
      <c r="AD1198">
        <v>3</v>
      </c>
      <c r="AE1198">
        <v>2</v>
      </c>
      <c r="AF1198">
        <v>0</v>
      </c>
      <c r="AG1198">
        <v>0</v>
      </c>
      <c r="AH1198">
        <v>2</v>
      </c>
      <c r="AI1198">
        <f>IF(tbl_HRData[[#This Row],[Attrition]] = "Yes",1,0)</f>
        <v>0</v>
      </c>
      <c r="AJ1198">
        <f>IF(tbl_HRData[[#This Row],[Attrition]] = "No",1,0)</f>
        <v>1</v>
      </c>
      <c r="AK1198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198" s="1" t="str">
        <f>IF(tbl_HRData[[#This Row],[MonthlyIncome]]&lt;5000,"Low",
IF(tbl_HRData[[#This Row],[MonthlyIncome]]&lt;10000,"Medium",
IF(tbl_HRData[[#This Row],[MonthlyIncome]]&lt;15000,"Upper Medium","High")))</f>
        <v>Medium</v>
      </c>
      <c r="AM1198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199" spans="1:39" x14ac:dyDescent="0.35">
      <c r="A1199" s="1">
        <v>1198</v>
      </c>
      <c r="B1199">
        <v>20</v>
      </c>
      <c r="C1199" s="1" t="s">
        <v>40</v>
      </c>
      <c r="D1199" s="1" t="s">
        <v>34</v>
      </c>
      <c r="E1199">
        <v>727</v>
      </c>
      <c r="F1199" s="1" t="s">
        <v>35</v>
      </c>
      <c r="G1199">
        <v>9</v>
      </c>
      <c r="H1199">
        <v>1</v>
      </c>
      <c r="I1199" s="1" t="s">
        <v>36</v>
      </c>
      <c r="J1199">
        <v>1680</v>
      </c>
      <c r="K1199">
        <v>4</v>
      </c>
      <c r="L1199" s="1" t="s">
        <v>43</v>
      </c>
      <c r="M1199">
        <v>54</v>
      </c>
      <c r="N1199">
        <v>3</v>
      </c>
      <c r="O1199">
        <v>1</v>
      </c>
      <c r="P1199" s="1" t="s">
        <v>54</v>
      </c>
      <c r="Q1199">
        <v>1</v>
      </c>
      <c r="R1199" s="1" t="s">
        <v>39</v>
      </c>
      <c r="S1199">
        <v>2728</v>
      </c>
      <c r="T1199">
        <v>21082</v>
      </c>
      <c r="U1199">
        <v>1</v>
      </c>
      <c r="V1199" s="1" t="s">
        <v>40</v>
      </c>
      <c r="W1199">
        <v>11</v>
      </c>
      <c r="X1199">
        <v>3</v>
      </c>
      <c r="Y1199">
        <v>1</v>
      </c>
      <c r="Z1199">
        <v>80</v>
      </c>
      <c r="AA1199">
        <v>0</v>
      </c>
      <c r="AB1199">
        <v>2</v>
      </c>
      <c r="AC1199">
        <v>3</v>
      </c>
      <c r="AD1199">
        <v>3</v>
      </c>
      <c r="AE1199">
        <v>2</v>
      </c>
      <c r="AF1199">
        <v>2</v>
      </c>
      <c r="AG1199">
        <v>0</v>
      </c>
      <c r="AH1199">
        <v>2</v>
      </c>
      <c r="AI1199">
        <f>IF(tbl_HRData[[#This Row],[Attrition]] = "Yes",1,0)</f>
        <v>0</v>
      </c>
      <c r="AJ1199">
        <f>IF(tbl_HRData[[#This Row],[Attrition]] = "No",1,0)</f>
        <v>1</v>
      </c>
      <c r="AK1199" t="str">
        <f>IF(tbl_HRData[[#This Row],[Age]] &lt; 25, "Under 25", IF(tbl_HRData[[#This Row],[Age]] &lt;= 34, "25-34", IF(tbl_HRData[[#This Row],[Age]] &lt;= 44, "35-44", IF(tbl_HRData[[#This Row],[Age]] &lt;= 54, "45-54", "55+"))))</f>
        <v>Under 25</v>
      </c>
      <c r="AL1199" s="1" t="str">
        <f>IF(tbl_HRData[[#This Row],[MonthlyIncome]]&lt;5000,"Low",
IF(tbl_HRData[[#This Row],[MonthlyIncome]]&lt;10000,"Medium",
IF(tbl_HRData[[#This Row],[MonthlyIncome]]&lt;15000,"Upper Medium","High")))</f>
        <v>Low</v>
      </c>
      <c r="AM1199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200" spans="1:39" x14ac:dyDescent="0.35">
      <c r="A1200" s="1">
        <v>1199</v>
      </c>
      <c r="B1200">
        <v>33</v>
      </c>
      <c r="C1200" s="1" t="s">
        <v>40</v>
      </c>
      <c r="D1200" s="1" t="s">
        <v>52</v>
      </c>
      <c r="E1200">
        <v>530</v>
      </c>
      <c r="F1200" s="1" t="s">
        <v>35</v>
      </c>
      <c r="G1200">
        <v>16</v>
      </c>
      <c r="H1200">
        <v>3</v>
      </c>
      <c r="I1200" s="1" t="s">
        <v>36</v>
      </c>
      <c r="J1200">
        <v>1681</v>
      </c>
      <c r="K1200">
        <v>3</v>
      </c>
      <c r="L1200" s="1" t="s">
        <v>37</v>
      </c>
      <c r="M1200">
        <v>36</v>
      </c>
      <c r="N1200">
        <v>3</v>
      </c>
      <c r="O1200">
        <v>2</v>
      </c>
      <c r="P1200" s="1" t="s">
        <v>38</v>
      </c>
      <c r="Q1200">
        <v>4</v>
      </c>
      <c r="R1200" s="1" t="s">
        <v>49</v>
      </c>
      <c r="S1200">
        <v>5368</v>
      </c>
      <c r="T1200">
        <v>16130</v>
      </c>
      <c r="U1200">
        <v>1</v>
      </c>
      <c r="V1200" s="1" t="s">
        <v>33</v>
      </c>
      <c r="W1200">
        <v>25</v>
      </c>
      <c r="X1200">
        <v>4</v>
      </c>
      <c r="Y1200">
        <v>3</v>
      </c>
      <c r="Z1200">
        <v>80</v>
      </c>
      <c r="AA1200">
        <v>1</v>
      </c>
      <c r="AB1200">
        <v>7</v>
      </c>
      <c r="AC1200">
        <v>2</v>
      </c>
      <c r="AD1200">
        <v>3</v>
      </c>
      <c r="AE1200">
        <v>6</v>
      </c>
      <c r="AF1200">
        <v>5</v>
      </c>
      <c r="AG1200">
        <v>1</v>
      </c>
      <c r="AH1200">
        <v>2</v>
      </c>
      <c r="AI1200">
        <f>IF(tbl_HRData[[#This Row],[Attrition]] = "Yes",1,0)</f>
        <v>0</v>
      </c>
      <c r="AJ1200">
        <f>IF(tbl_HRData[[#This Row],[Attrition]] = "No",1,0)</f>
        <v>1</v>
      </c>
      <c r="AK1200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200" s="1" t="str">
        <f>IF(tbl_HRData[[#This Row],[MonthlyIncome]]&lt;5000,"Low",
IF(tbl_HRData[[#This Row],[MonthlyIncome]]&lt;10000,"Medium",
IF(tbl_HRData[[#This Row],[MonthlyIncome]]&lt;15000,"Upper Medium","High")))</f>
        <v>Medium</v>
      </c>
      <c r="AM1200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201" spans="1:39" x14ac:dyDescent="0.35">
      <c r="A1201" s="1">
        <v>1200</v>
      </c>
      <c r="B1201">
        <v>36</v>
      </c>
      <c r="C1201" s="1" t="s">
        <v>40</v>
      </c>
      <c r="D1201" s="1" t="s">
        <v>34</v>
      </c>
      <c r="E1201">
        <v>1351</v>
      </c>
      <c r="F1201" s="1" t="s">
        <v>42</v>
      </c>
      <c r="G1201">
        <v>26</v>
      </c>
      <c r="H1201">
        <v>4</v>
      </c>
      <c r="I1201" s="1" t="s">
        <v>36</v>
      </c>
      <c r="J1201">
        <v>1682</v>
      </c>
      <c r="K1201">
        <v>1</v>
      </c>
      <c r="L1201" s="1" t="s">
        <v>43</v>
      </c>
      <c r="M1201">
        <v>80</v>
      </c>
      <c r="N1201">
        <v>3</v>
      </c>
      <c r="O1201">
        <v>2</v>
      </c>
      <c r="P1201" s="1" t="s">
        <v>51</v>
      </c>
      <c r="Q1201">
        <v>3</v>
      </c>
      <c r="R1201" s="1" t="s">
        <v>45</v>
      </c>
      <c r="S1201">
        <v>5347</v>
      </c>
      <c r="T1201">
        <v>7419</v>
      </c>
      <c r="U1201">
        <v>6</v>
      </c>
      <c r="V1201" s="1" t="s">
        <v>40</v>
      </c>
      <c r="W1201">
        <v>14</v>
      </c>
      <c r="X1201">
        <v>3</v>
      </c>
      <c r="Y1201">
        <v>2</v>
      </c>
      <c r="Z1201">
        <v>80</v>
      </c>
      <c r="AA1201">
        <v>2</v>
      </c>
      <c r="AB1201">
        <v>10</v>
      </c>
      <c r="AC1201">
        <v>2</v>
      </c>
      <c r="AD1201">
        <v>2</v>
      </c>
      <c r="AE1201">
        <v>3</v>
      </c>
      <c r="AF1201">
        <v>2</v>
      </c>
      <c r="AG1201">
        <v>0</v>
      </c>
      <c r="AH1201">
        <v>2</v>
      </c>
      <c r="AI1201">
        <f>IF(tbl_HRData[[#This Row],[Attrition]] = "Yes",1,0)</f>
        <v>0</v>
      </c>
      <c r="AJ1201">
        <f>IF(tbl_HRData[[#This Row],[Attrition]] = "No",1,0)</f>
        <v>1</v>
      </c>
      <c r="AK1201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201" s="1" t="str">
        <f>IF(tbl_HRData[[#This Row],[MonthlyIncome]]&lt;5000,"Low",
IF(tbl_HRData[[#This Row],[MonthlyIncome]]&lt;10000,"Medium",
IF(tbl_HRData[[#This Row],[MonthlyIncome]]&lt;15000,"Upper Medium","High")))</f>
        <v>Medium</v>
      </c>
      <c r="AM1201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202" spans="1:39" x14ac:dyDescent="0.35">
      <c r="A1202" s="1">
        <v>1201</v>
      </c>
      <c r="B1202">
        <v>44</v>
      </c>
      <c r="C1202" s="1" t="s">
        <v>40</v>
      </c>
      <c r="D1202" s="1" t="s">
        <v>34</v>
      </c>
      <c r="E1202">
        <v>528</v>
      </c>
      <c r="F1202" s="1" t="s">
        <v>58</v>
      </c>
      <c r="G1202">
        <v>1</v>
      </c>
      <c r="H1202">
        <v>3</v>
      </c>
      <c r="I1202" s="1" t="s">
        <v>36</v>
      </c>
      <c r="J1202">
        <v>1683</v>
      </c>
      <c r="K1202">
        <v>3</v>
      </c>
      <c r="L1202" s="1" t="s">
        <v>37</v>
      </c>
      <c r="M1202">
        <v>44</v>
      </c>
      <c r="N1202">
        <v>3</v>
      </c>
      <c r="O1202">
        <v>1</v>
      </c>
      <c r="P1202" s="1" t="s">
        <v>58</v>
      </c>
      <c r="Q1202">
        <v>4</v>
      </c>
      <c r="R1202" s="1" t="s">
        <v>49</v>
      </c>
      <c r="S1202">
        <v>3195</v>
      </c>
      <c r="T1202">
        <v>4167</v>
      </c>
      <c r="U1202">
        <v>4</v>
      </c>
      <c r="V1202" s="1" t="s">
        <v>33</v>
      </c>
      <c r="W1202">
        <v>18</v>
      </c>
      <c r="X1202">
        <v>3</v>
      </c>
      <c r="Y1202">
        <v>1</v>
      </c>
      <c r="Z1202">
        <v>80</v>
      </c>
      <c r="AA1202">
        <v>3</v>
      </c>
      <c r="AB1202">
        <v>8</v>
      </c>
      <c r="AC1202">
        <v>2</v>
      </c>
      <c r="AD1202">
        <v>3</v>
      </c>
      <c r="AE1202">
        <v>2</v>
      </c>
      <c r="AF1202">
        <v>2</v>
      </c>
      <c r="AG1202">
        <v>2</v>
      </c>
      <c r="AH1202">
        <v>2</v>
      </c>
      <c r="AI1202">
        <f>IF(tbl_HRData[[#This Row],[Attrition]] = "Yes",1,0)</f>
        <v>0</v>
      </c>
      <c r="AJ1202">
        <f>IF(tbl_HRData[[#This Row],[Attrition]] = "No",1,0)</f>
        <v>1</v>
      </c>
      <c r="AK1202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202" s="1" t="str">
        <f>IF(tbl_HRData[[#This Row],[MonthlyIncome]]&lt;5000,"Low",
IF(tbl_HRData[[#This Row],[MonthlyIncome]]&lt;10000,"Medium",
IF(tbl_HRData[[#This Row],[MonthlyIncome]]&lt;15000,"Upper Medium","High")))</f>
        <v>Low</v>
      </c>
      <c r="AM1202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203" spans="1:39" x14ac:dyDescent="0.35">
      <c r="A1203" s="1">
        <v>1202</v>
      </c>
      <c r="B1203">
        <v>23</v>
      </c>
      <c r="C1203" s="1" t="s">
        <v>33</v>
      </c>
      <c r="D1203" s="1" t="s">
        <v>34</v>
      </c>
      <c r="E1203">
        <v>1320</v>
      </c>
      <c r="F1203" s="1" t="s">
        <v>42</v>
      </c>
      <c r="G1203">
        <v>8</v>
      </c>
      <c r="H1203">
        <v>1</v>
      </c>
      <c r="I1203" s="1" t="s">
        <v>48</v>
      </c>
      <c r="J1203">
        <v>1684</v>
      </c>
      <c r="K1203">
        <v>4</v>
      </c>
      <c r="L1203" s="1" t="s">
        <v>43</v>
      </c>
      <c r="M1203">
        <v>93</v>
      </c>
      <c r="N1203">
        <v>2</v>
      </c>
      <c r="O1203">
        <v>1</v>
      </c>
      <c r="P1203" s="1" t="s">
        <v>47</v>
      </c>
      <c r="Q1203">
        <v>3</v>
      </c>
      <c r="R1203" s="1" t="s">
        <v>39</v>
      </c>
      <c r="S1203">
        <v>3989</v>
      </c>
      <c r="T1203">
        <v>20586</v>
      </c>
      <c r="U1203">
        <v>1</v>
      </c>
      <c r="V1203" s="1" t="s">
        <v>33</v>
      </c>
      <c r="W1203">
        <v>11</v>
      </c>
      <c r="X1203">
        <v>3</v>
      </c>
      <c r="Y1203">
        <v>1</v>
      </c>
      <c r="Z1203">
        <v>80</v>
      </c>
      <c r="AA1203">
        <v>0</v>
      </c>
      <c r="AB1203">
        <v>5</v>
      </c>
      <c r="AC1203">
        <v>2</v>
      </c>
      <c r="AD1203">
        <v>3</v>
      </c>
      <c r="AE1203">
        <v>5</v>
      </c>
      <c r="AF1203">
        <v>4</v>
      </c>
      <c r="AG1203">
        <v>1</v>
      </c>
      <c r="AH1203">
        <v>2</v>
      </c>
      <c r="AI1203">
        <f>IF(tbl_HRData[[#This Row],[Attrition]] = "Yes",1,0)</f>
        <v>1</v>
      </c>
      <c r="AJ1203">
        <f>IF(tbl_HRData[[#This Row],[Attrition]] = "No",1,0)</f>
        <v>0</v>
      </c>
      <c r="AK1203" t="str">
        <f>IF(tbl_HRData[[#This Row],[Age]] &lt; 25, "Under 25", IF(tbl_HRData[[#This Row],[Age]] &lt;= 34, "25-34", IF(tbl_HRData[[#This Row],[Age]] &lt;= 44, "35-44", IF(tbl_HRData[[#This Row],[Age]] &lt;= 54, "45-54", "55+"))))</f>
        <v>Under 25</v>
      </c>
      <c r="AL1203" s="1" t="str">
        <f>IF(tbl_HRData[[#This Row],[MonthlyIncome]]&lt;5000,"Low",
IF(tbl_HRData[[#This Row],[MonthlyIncome]]&lt;10000,"Medium",
IF(tbl_HRData[[#This Row],[MonthlyIncome]]&lt;15000,"Upper Medium","High")))</f>
        <v>Low</v>
      </c>
      <c r="AM1203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204" spans="1:39" x14ac:dyDescent="0.35">
      <c r="A1204" s="1">
        <v>1203</v>
      </c>
      <c r="B1204">
        <v>38</v>
      </c>
      <c r="C1204" s="1" t="s">
        <v>40</v>
      </c>
      <c r="D1204" s="1" t="s">
        <v>34</v>
      </c>
      <c r="E1204">
        <v>1495</v>
      </c>
      <c r="F1204" s="1" t="s">
        <v>42</v>
      </c>
      <c r="G1204">
        <v>4</v>
      </c>
      <c r="H1204">
        <v>2</v>
      </c>
      <c r="I1204" s="1" t="s">
        <v>48</v>
      </c>
      <c r="J1204">
        <v>1687</v>
      </c>
      <c r="K1204">
        <v>4</v>
      </c>
      <c r="L1204" s="1" t="s">
        <v>37</v>
      </c>
      <c r="M1204">
        <v>87</v>
      </c>
      <c r="N1204">
        <v>3</v>
      </c>
      <c r="O1204">
        <v>1</v>
      </c>
      <c r="P1204" s="1" t="s">
        <v>47</v>
      </c>
      <c r="Q1204">
        <v>3</v>
      </c>
      <c r="R1204" s="1" t="s">
        <v>45</v>
      </c>
      <c r="S1204">
        <v>3306</v>
      </c>
      <c r="T1204">
        <v>26176</v>
      </c>
      <c r="U1204">
        <v>7</v>
      </c>
      <c r="V1204" s="1" t="s">
        <v>40</v>
      </c>
      <c r="W1204">
        <v>19</v>
      </c>
      <c r="X1204">
        <v>3</v>
      </c>
      <c r="Y1204">
        <v>4</v>
      </c>
      <c r="Z1204">
        <v>80</v>
      </c>
      <c r="AA1204">
        <v>1</v>
      </c>
      <c r="AB1204">
        <v>7</v>
      </c>
      <c r="AC1204">
        <v>5</v>
      </c>
      <c r="AD1204">
        <v>2</v>
      </c>
      <c r="AE1204">
        <v>0</v>
      </c>
      <c r="AF1204">
        <v>0</v>
      </c>
      <c r="AG1204">
        <v>0</v>
      </c>
      <c r="AH1204">
        <v>0</v>
      </c>
      <c r="AI1204">
        <f>IF(tbl_HRData[[#This Row],[Attrition]] = "Yes",1,0)</f>
        <v>0</v>
      </c>
      <c r="AJ1204">
        <f>IF(tbl_HRData[[#This Row],[Attrition]] = "No",1,0)</f>
        <v>1</v>
      </c>
      <c r="AK1204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204" s="1" t="str">
        <f>IF(tbl_HRData[[#This Row],[MonthlyIncome]]&lt;5000,"Low",
IF(tbl_HRData[[#This Row],[MonthlyIncome]]&lt;10000,"Medium",
IF(tbl_HRData[[#This Row],[MonthlyIncome]]&lt;15000,"Upper Medium","High")))</f>
        <v>Low</v>
      </c>
      <c r="AM1204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205" spans="1:39" x14ac:dyDescent="0.35">
      <c r="A1205" s="1">
        <v>1204</v>
      </c>
      <c r="B1205">
        <v>53</v>
      </c>
      <c r="C1205" s="1" t="s">
        <v>40</v>
      </c>
      <c r="D1205" s="1" t="s">
        <v>34</v>
      </c>
      <c r="E1205">
        <v>1395</v>
      </c>
      <c r="F1205" s="1" t="s">
        <v>42</v>
      </c>
      <c r="G1205">
        <v>24</v>
      </c>
      <c r="H1205">
        <v>4</v>
      </c>
      <c r="I1205" s="1" t="s">
        <v>48</v>
      </c>
      <c r="J1205">
        <v>1689</v>
      </c>
      <c r="K1205">
        <v>2</v>
      </c>
      <c r="L1205" s="1" t="s">
        <v>43</v>
      </c>
      <c r="M1205">
        <v>48</v>
      </c>
      <c r="N1205">
        <v>4</v>
      </c>
      <c r="O1205">
        <v>3</v>
      </c>
      <c r="P1205" s="1" t="s">
        <v>51</v>
      </c>
      <c r="Q1205">
        <v>4</v>
      </c>
      <c r="R1205" s="1" t="s">
        <v>45</v>
      </c>
      <c r="S1205">
        <v>7005</v>
      </c>
      <c r="T1205">
        <v>3458</v>
      </c>
      <c r="U1205">
        <v>3</v>
      </c>
      <c r="V1205" s="1" t="s">
        <v>40</v>
      </c>
      <c r="W1205">
        <v>15</v>
      </c>
      <c r="X1205">
        <v>3</v>
      </c>
      <c r="Y1205">
        <v>3</v>
      </c>
      <c r="Z1205">
        <v>80</v>
      </c>
      <c r="AA1205">
        <v>0</v>
      </c>
      <c r="AB1205">
        <v>11</v>
      </c>
      <c r="AC1205">
        <v>2</v>
      </c>
      <c r="AD1205">
        <v>3</v>
      </c>
      <c r="AE1205">
        <v>4</v>
      </c>
      <c r="AF1205">
        <v>3</v>
      </c>
      <c r="AG1205">
        <v>1</v>
      </c>
      <c r="AH1205">
        <v>2</v>
      </c>
      <c r="AI1205">
        <f>IF(tbl_HRData[[#This Row],[Attrition]] = "Yes",1,0)</f>
        <v>0</v>
      </c>
      <c r="AJ1205">
        <f>IF(tbl_HRData[[#This Row],[Attrition]] = "No",1,0)</f>
        <v>1</v>
      </c>
      <c r="AK1205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1205" s="1" t="str">
        <f>IF(tbl_HRData[[#This Row],[MonthlyIncome]]&lt;5000,"Low",
IF(tbl_HRData[[#This Row],[MonthlyIncome]]&lt;10000,"Medium",
IF(tbl_HRData[[#This Row],[MonthlyIncome]]&lt;15000,"Upper Medium","High")))</f>
        <v>Medium</v>
      </c>
      <c r="AM1205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206" spans="1:39" x14ac:dyDescent="0.35">
      <c r="A1206" s="1">
        <v>1205</v>
      </c>
      <c r="B1206">
        <v>48</v>
      </c>
      <c r="C1206" s="1" t="s">
        <v>33</v>
      </c>
      <c r="D1206" s="1" t="s">
        <v>41</v>
      </c>
      <c r="E1206">
        <v>708</v>
      </c>
      <c r="F1206" s="1" t="s">
        <v>35</v>
      </c>
      <c r="G1206">
        <v>7</v>
      </c>
      <c r="H1206">
        <v>2</v>
      </c>
      <c r="I1206" s="1" t="s">
        <v>48</v>
      </c>
      <c r="J1206">
        <v>1691</v>
      </c>
      <c r="K1206">
        <v>4</v>
      </c>
      <c r="L1206" s="1" t="s">
        <v>37</v>
      </c>
      <c r="M1206">
        <v>95</v>
      </c>
      <c r="N1206">
        <v>3</v>
      </c>
      <c r="O1206">
        <v>1</v>
      </c>
      <c r="P1206" s="1" t="s">
        <v>54</v>
      </c>
      <c r="Q1206">
        <v>3</v>
      </c>
      <c r="R1206" s="1" t="s">
        <v>45</v>
      </c>
      <c r="S1206">
        <v>2655</v>
      </c>
      <c r="T1206">
        <v>11740</v>
      </c>
      <c r="U1206">
        <v>2</v>
      </c>
      <c r="V1206" s="1" t="s">
        <v>33</v>
      </c>
      <c r="W1206">
        <v>11</v>
      </c>
      <c r="X1206">
        <v>3</v>
      </c>
      <c r="Y1206">
        <v>3</v>
      </c>
      <c r="Z1206">
        <v>80</v>
      </c>
      <c r="AA1206">
        <v>2</v>
      </c>
      <c r="AB1206">
        <v>19</v>
      </c>
      <c r="AC1206">
        <v>3</v>
      </c>
      <c r="AD1206">
        <v>3</v>
      </c>
      <c r="AE1206">
        <v>9</v>
      </c>
      <c r="AF1206">
        <v>7</v>
      </c>
      <c r="AG1206">
        <v>7</v>
      </c>
      <c r="AH1206">
        <v>7</v>
      </c>
      <c r="AI1206">
        <f>IF(tbl_HRData[[#This Row],[Attrition]] = "Yes",1,0)</f>
        <v>1</v>
      </c>
      <c r="AJ1206">
        <f>IF(tbl_HRData[[#This Row],[Attrition]] = "No",1,0)</f>
        <v>0</v>
      </c>
      <c r="AK1206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1206" s="1" t="str">
        <f>IF(tbl_HRData[[#This Row],[MonthlyIncome]]&lt;5000,"Low",
IF(tbl_HRData[[#This Row],[MonthlyIncome]]&lt;10000,"Medium",
IF(tbl_HRData[[#This Row],[MonthlyIncome]]&lt;15000,"Upper Medium","High")))</f>
        <v>Low</v>
      </c>
      <c r="AM1206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207" spans="1:39" x14ac:dyDescent="0.35">
      <c r="A1207" s="1">
        <v>1206</v>
      </c>
      <c r="B1207">
        <v>32</v>
      </c>
      <c r="C1207" s="1" t="s">
        <v>33</v>
      </c>
      <c r="D1207" s="1" t="s">
        <v>34</v>
      </c>
      <c r="E1207">
        <v>1259</v>
      </c>
      <c r="F1207" s="1" t="s">
        <v>42</v>
      </c>
      <c r="G1207">
        <v>2</v>
      </c>
      <c r="H1207">
        <v>4</v>
      </c>
      <c r="I1207" s="1" t="s">
        <v>36</v>
      </c>
      <c r="J1207">
        <v>1692</v>
      </c>
      <c r="K1207">
        <v>4</v>
      </c>
      <c r="L1207" s="1" t="s">
        <v>43</v>
      </c>
      <c r="M1207">
        <v>95</v>
      </c>
      <c r="N1207">
        <v>3</v>
      </c>
      <c r="O1207">
        <v>1</v>
      </c>
      <c r="P1207" s="1" t="s">
        <v>47</v>
      </c>
      <c r="Q1207">
        <v>2</v>
      </c>
      <c r="R1207" s="1" t="s">
        <v>39</v>
      </c>
      <c r="S1207">
        <v>1393</v>
      </c>
      <c r="T1207">
        <v>24852</v>
      </c>
      <c r="U1207">
        <v>1</v>
      </c>
      <c r="V1207" s="1" t="s">
        <v>40</v>
      </c>
      <c r="W1207">
        <v>12</v>
      </c>
      <c r="X1207">
        <v>3</v>
      </c>
      <c r="Y1207">
        <v>1</v>
      </c>
      <c r="Z1207">
        <v>80</v>
      </c>
      <c r="AA1207">
        <v>0</v>
      </c>
      <c r="AB1207">
        <v>1</v>
      </c>
      <c r="AC1207">
        <v>2</v>
      </c>
      <c r="AD1207">
        <v>3</v>
      </c>
      <c r="AE1207">
        <v>1</v>
      </c>
      <c r="AF1207">
        <v>0</v>
      </c>
      <c r="AG1207">
        <v>0</v>
      </c>
      <c r="AH1207">
        <v>0</v>
      </c>
      <c r="AI1207">
        <f>IF(tbl_HRData[[#This Row],[Attrition]] = "Yes",1,0)</f>
        <v>1</v>
      </c>
      <c r="AJ1207">
        <f>IF(tbl_HRData[[#This Row],[Attrition]] = "No",1,0)</f>
        <v>0</v>
      </c>
      <c r="AK1207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207" s="1" t="str">
        <f>IF(tbl_HRData[[#This Row],[MonthlyIncome]]&lt;5000,"Low",
IF(tbl_HRData[[#This Row],[MonthlyIncome]]&lt;10000,"Medium",
IF(tbl_HRData[[#This Row],[MonthlyIncome]]&lt;15000,"Upper Medium","High")))</f>
        <v>Low</v>
      </c>
      <c r="AM1207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208" spans="1:39" x14ac:dyDescent="0.35">
      <c r="A1208" s="1">
        <v>1207</v>
      </c>
      <c r="B1208">
        <v>26</v>
      </c>
      <c r="C1208" s="1" t="s">
        <v>40</v>
      </c>
      <c r="D1208" s="1" t="s">
        <v>52</v>
      </c>
      <c r="E1208">
        <v>786</v>
      </c>
      <c r="F1208" s="1" t="s">
        <v>42</v>
      </c>
      <c r="G1208">
        <v>7</v>
      </c>
      <c r="H1208">
        <v>3</v>
      </c>
      <c r="I1208" s="1" t="s">
        <v>48</v>
      </c>
      <c r="J1208">
        <v>1693</v>
      </c>
      <c r="K1208">
        <v>4</v>
      </c>
      <c r="L1208" s="1" t="s">
        <v>43</v>
      </c>
      <c r="M1208">
        <v>76</v>
      </c>
      <c r="N1208">
        <v>3</v>
      </c>
      <c r="O1208">
        <v>1</v>
      </c>
      <c r="P1208" s="1" t="s">
        <v>47</v>
      </c>
      <c r="Q1208">
        <v>4</v>
      </c>
      <c r="R1208" s="1" t="s">
        <v>39</v>
      </c>
      <c r="S1208">
        <v>2570</v>
      </c>
      <c r="T1208">
        <v>11925</v>
      </c>
      <c r="U1208">
        <v>1</v>
      </c>
      <c r="V1208" s="1" t="s">
        <v>40</v>
      </c>
      <c r="W1208">
        <v>20</v>
      </c>
      <c r="X1208">
        <v>4</v>
      </c>
      <c r="Y1208">
        <v>3</v>
      </c>
      <c r="Z1208">
        <v>80</v>
      </c>
      <c r="AA1208">
        <v>0</v>
      </c>
      <c r="AB1208">
        <v>7</v>
      </c>
      <c r="AC1208">
        <v>5</v>
      </c>
      <c r="AD1208">
        <v>3</v>
      </c>
      <c r="AE1208">
        <v>7</v>
      </c>
      <c r="AF1208">
        <v>7</v>
      </c>
      <c r="AG1208">
        <v>5</v>
      </c>
      <c r="AH1208">
        <v>7</v>
      </c>
      <c r="AI1208">
        <f>IF(tbl_HRData[[#This Row],[Attrition]] = "Yes",1,0)</f>
        <v>0</v>
      </c>
      <c r="AJ1208">
        <f>IF(tbl_HRData[[#This Row],[Attrition]] = "No",1,0)</f>
        <v>1</v>
      </c>
      <c r="AK1208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208" s="1" t="str">
        <f>IF(tbl_HRData[[#This Row],[MonthlyIncome]]&lt;5000,"Low",
IF(tbl_HRData[[#This Row],[MonthlyIncome]]&lt;10000,"Medium",
IF(tbl_HRData[[#This Row],[MonthlyIncome]]&lt;15000,"Upper Medium","High")))</f>
        <v>Low</v>
      </c>
      <c r="AM1208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209" spans="1:39" x14ac:dyDescent="0.35">
      <c r="A1209" s="1">
        <v>1208</v>
      </c>
      <c r="B1209">
        <v>55</v>
      </c>
      <c r="C1209" s="1" t="s">
        <v>40</v>
      </c>
      <c r="D1209" s="1" t="s">
        <v>34</v>
      </c>
      <c r="E1209">
        <v>1441</v>
      </c>
      <c r="F1209" s="1" t="s">
        <v>42</v>
      </c>
      <c r="G1209">
        <v>22</v>
      </c>
      <c r="H1209">
        <v>3</v>
      </c>
      <c r="I1209" s="1" t="s">
        <v>57</v>
      </c>
      <c r="J1209">
        <v>1694</v>
      </c>
      <c r="K1209">
        <v>1</v>
      </c>
      <c r="L1209" s="1" t="s">
        <v>43</v>
      </c>
      <c r="M1209">
        <v>94</v>
      </c>
      <c r="N1209">
        <v>2</v>
      </c>
      <c r="O1209">
        <v>1</v>
      </c>
      <c r="P1209" s="1" t="s">
        <v>44</v>
      </c>
      <c r="Q1209">
        <v>2</v>
      </c>
      <c r="R1209" s="1" t="s">
        <v>49</v>
      </c>
      <c r="S1209">
        <v>3537</v>
      </c>
      <c r="T1209">
        <v>23737</v>
      </c>
      <c r="U1209">
        <v>5</v>
      </c>
      <c r="V1209" s="1" t="s">
        <v>40</v>
      </c>
      <c r="W1209">
        <v>12</v>
      </c>
      <c r="X1209">
        <v>3</v>
      </c>
      <c r="Y1209">
        <v>4</v>
      </c>
      <c r="Z1209">
        <v>80</v>
      </c>
      <c r="AA1209">
        <v>1</v>
      </c>
      <c r="AB1209">
        <v>8</v>
      </c>
      <c r="AC1209">
        <v>1</v>
      </c>
      <c r="AD1209">
        <v>3</v>
      </c>
      <c r="AE1209">
        <v>4</v>
      </c>
      <c r="AF1209">
        <v>2</v>
      </c>
      <c r="AG1209">
        <v>1</v>
      </c>
      <c r="AH1209">
        <v>2</v>
      </c>
      <c r="AI1209">
        <f>IF(tbl_HRData[[#This Row],[Attrition]] = "Yes",1,0)</f>
        <v>0</v>
      </c>
      <c r="AJ1209">
        <f>IF(tbl_HRData[[#This Row],[Attrition]] = "No",1,0)</f>
        <v>1</v>
      </c>
      <c r="AK1209" t="str">
        <f>IF(tbl_HRData[[#This Row],[Age]] &lt; 25, "Under 25", IF(tbl_HRData[[#This Row],[Age]] &lt;= 34, "25-34", IF(tbl_HRData[[#This Row],[Age]] &lt;= 44, "35-44", IF(tbl_HRData[[#This Row],[Age]] &lt;= 54, "45-54", "55+"))))</f>
        <v>55+</v>
      </c>
      <c r="AL1209" s="1" t="str">
        <f>IF(tbl_HRData[[#This Row],[MonthlyIncome]]&lt;5000,"Low",
IF(tbl_HRData[[#This Row],[MonthlyIncome]]&lt;10000,"Medium",
IF(tbl_HRData[[#This Row],[MonthlyIncome]]&lt;15000,"Upper Medium","High")))</f>
        <v>Low</v>
      </c>
      <c r="AM1209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210" spans="1:39" x14ac:dyDescent="0.35">
      <c r="A1210" s="1">
        <v>1209</v>
      </c>
      <c r="B1210">
        <v>34</v>
      </c>
      <c r="C1210" s="1" t="s">
        <v>40</v>
      </c>
      <c r="D1210" s="1" t="s">
        <v>34</v>
      </c>
      <c r="E1210">
        <v>1157</v>
      </c>
      <c r="F1210" s="1" t="s">
        <v>42</v>
      </c>
      <c r="G1210">
        <v>5</v>
      </c>
      <c r="H1210">
        <v>2</v>
      </c>
      <c r="I1210" s="1" t="s">
        <v>48</v>
      </c>
      <c r="J1210">
        <v>1696</v>
      </c>
      <c r="K1210">
        <v>2</v>
      </c>
      <c r="L1210" s="1" t="s">
        <v>43</v>
      </c>
      <c r="M1210">
        <v>57</v>
      </c>
      <c r="N1210">
        <v>2</v>
      </c>
      <c r="O1210">
        <v>2</v>
      </c>
      <c r="P1210" s="1" t="s">
        <v>47</v>
      </c>
      <c r="Q1210">
        <v>4</v>
      </c>
      <c r="R1210" s="1" t="s">
        <v>45</v>
      </c>
      <c r="S1210">
        <v>3986</v>
      </c>
      <c r="T1210">
        <v>11912</v>
      </c>
      <c r="U1210">
        <v>1</v>
      </c>
      <c r="V1210" s="1" t="s">
        <v>40</v>
      </c>
      <c r="W1210">
        <v>14</v>
      </c>
      <c r="X1210">
        <v>3</v>
      </c>
      <c r="Y1210">
        <v>3</v>
      </c>
      <c r="Z1210">
        <v>80</v>
      </c>
      <c r="AA1210">
        <v>1</v>
      </c>
      <c r="AB1210">
        <v>15</v>
      </c>
      <c r="AC1210">
        <v>3</v>
      </c>
      <c r="AD1210">
        <v>4</v>
      </c>
      <c r="AE1210">
        <v>15</v>
      </c>
      <c r="AF1210">
        <v>10</v>
      </c>
      <c r="AG1210">
        <v>4</v>
      </c>
      <c r="AH1210">
        <v>13</v>
      </c>
      <c r="AI1210">
        <f>IF(tbl_HRData[[#This Row],[Attrition]] = "Yes",1,0)</f>
        <v>0</v>
      </c>
      <c r="AJ1210">
        <f>IF(tbl_HRData[[#This Row],[Attrition]] = "No",1,0)</f>
        <v>1</v>
      </c>
      <c r="AK1210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210" s="1" t="str">
        <f>IF(tbl_HRData[[#This Row],[MonthlyIncome]]&lt;5000,"Low",
IF(tbl_HRData[[#This Row],[MonthlyIncome]]&lt;10000,"Medium",
IF(tbl_HRData[[#This Row],[MonthlyIncome]]&lt;15000,"Upper Medium","High")))</f>
        <v>Low</v>
      </c>
      <c r="AM1210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1211" spans="1:39" x14ac:dyDescent="0.35">
      <c r="A1211" s="1">
        <v>1210</v>
      </c>
      <c r="B1211">
        <v>60</v>
      </c>
      <c r="C1211" s="1" t="s">
        <v>40</v>
      </c>
      <c r="D1211" s="1" t="s">
        <v>34</v>
      </c>
      <c r="E1211">
        <v>370</v>
      </c>
      <c r="F1211" s="1" t="s">
        <v>42</v>
      </c>
      <c r="G1211">
        <v>1</v>
      </c>
      <c r="H1211">
        <v>4</v>
      </c>
      <c r="I1211" s="1" t="s">
        <v>48</v>
      </c>
      <c r="J1211">
        <v>1697</v>
      </c>
      <c r="K1211">
        <v>3</v>
      </c>
      <c r="L1211" s="1" t="s">
        <v>43</v>
      </c>
      <c r="M1211">
        <v>92</v>
      </c>
      <c r="N1211">
        <v>1</v>
      </c>
      <c r="O1211">
        <v>3</v>
      </c>
      <c r="P1211" s="1" t="s">
        <v>51</v>
      </c>
      <c r="Q1211">
        <v>4</v>
      </c>
      <c r="R1211" s="1" t="s">
        <v>49</v>
      </c>
      <c r="S1211">
        <v>10883</v>
      </c>
      <c r="T1211">
        <v>20467</v>
      </c>
      <c r="U1211">
        <v>3</v>
      </c>
      <c r="V1211" s="1" t="s">
        <v>40</v>
      </c>
      <c r="W1211">
        <v>20</v>
      </c>
      <c r="X1211">
        <v>4</v>
      </c>
      <c r="Y1211">
        <v>3</v>
      </c>
      <c r="Z1211">
        <v>80</v>
      </c>
      <c r="AA1211">
        <v>1</v>
      </c>
      <c r="AB1211">
        <v>19</v>
      </c>
      <c r="AC1211">
        <v>2</v>
      </c>
      <c r="AD1211">
        <v>4</v>
      </c>
      <c r="AE1211">
        <v>1</v>
      </c>
      <c r="AF1211">
        <v>0</v>
      </c>
      <c r="AG1211">
        <v>0</v>
      </c>
      <c r="AH1211">
        <v>0</v>
      </c>
      <c r="AI1211">
        <f>IF(tbl_HRData[[#This Row],[Attrition]] = "Yes",1,0)</f>
        <v>0</v>
      </c>
      <c r="AJ1211">
        <f>IF(tbl_HRData[[#This Row],[Attrition]] = "No",1,0)</f>
        <v>1</v>
      </c>
      <c r="AK1211" t="str">
        <f>IF(tbl_HRData[[#This Row],[Age]] &lt; 25, "Under 25", IF(tbl_HRData[[#This Row],[Age]] &lt;= 34, "25-34", IF(tbl_HRData[[#This Row],[Age]] &lt;= 44, "35-44", IF(tbl_HRData[[#This Row],[Age]] &lt;= 54, "45-54", "55+"))))</f>
        <v>55+</v>
      </c>
      <c r="AL1211" s="1" t="str">
        <f>IF(tbl_HRData[[#This Row],[MonthlyIncome]]&lt;5000,"Low",
IF(tbl_HRData[[#This Row],[MonthlyIncome]]&lt;10000,"Medium",
IF(tbl_HRData[[#This Row],[MonthlyIncome]]&lt;15000,"Upper Medium","High")))</f>
        <v>Upper Medium</v>
      </c>
      <c r="AM1211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212" spans="1:39" x14ac:dyDescent="0.35">
      <c r="A1212" s="1">
        <v>1211</v>
      </c>
      <c r="B1212">
        <v>33</v>
      </c>
      <c r="C1212" s="1" t="s">
        <v>40</v>
      </c>
      <c r="D1212" s="1" t="s">
        <v>34</v>
      </c>
      <c r="E1212">
        <v>267</v>
      </c>
      <c r="F1212" s="1" t="s">
        <v>42</v>
      </c>
      <c r="G1212">
        <v>21</v>
      </c>
      <c r="H1212">
        <v>3</v>
      </c>
      <c r="I1212" s="1" t="s">
        <v>48</v>
      </c>
      <c r="J1212">
        <v>1698</v>
      </c>
      <c r="K1212">
        <v>2</v>
      </c>
      <c r="L1212" s="1" t="s">
        <v>43</v>
      </c>
      <c r="M1212">
        <v>79</v>
      </c>
      <c r="N1212">
        <v>4</v>
      </c>
      <c r="O1212">
        <v>1</v>
      </c>
      <c r="P1212" s="1" t="s">
        <v>47</v>
      </c>
      <c r="Q1212">
        <v>2</v>
      </c>
      <c r="R1212" s="1" t="s">
        <v>45</v>
      </c>
      <c r="S1212">
        <v>2028</v>
      </c>
      <c r="T1212">
        <v>13637</v>
      </c>
      <c r="U1212">
        <v>1</v>
      </c>
      <c r="V1212" s="1" t="s">
        <v>40</v>
      </c>
      <c r="W1212">
        <v>18</v>
      </c>
      <c r="X1212">
        <v>3</v>
      </c>
      <c r="Y1212">
        <v>4</v>
      </c>
      <c r="Z1212">
        <v>80</v>
      </c>
      <c r="AA1212">
        <v>3</v>
      </c>
      <c r="AB1212">
        <v>14</v>
      </c>
      <c r="AC1212">
        <v>6</v>
      </c>
      <c r="AD1212">
        <v>3</v>
      </c>
      <c r="AE1212">
        <v>14</v>
      </c>
      <c r="AF1212">
        <v>11</v>
      </c>
      <c r="AG1212">
        <v>2</v>
      </c>
      <c r="AH1212">
        <v>13</v>
      </c>
      <c r="AI1212">
        <f>IF(tbl_HRData[[#This Row],[Attrition]] = "Yes",1,0)</f>
        <v>0</v>
      </c>
      <c r="AJ1212">
        <f>IF(tbl_HRData[[#This Row],[Attrition]] = "No",1,0)</f>
        <v>1</v>
      </c>
      <c r="AK1212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212" s="1" t="str">
        <f>IF(tbl_HRData[[#This Row],[MonthlyIncome]]&lt;5000,"Low",
IF(tbl_HRData[[#This Row],[MonthlyIncome]]&lt;10000,"Medium",
IF(tbl_HRData[[#This Row],[MonthlyIncome]]&lt;15000,"Upper Medium","High")))</f>
        <v>Low</v>
      </c>
      <c r="AM1212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1213" spans="1:39" x14ac:dyDescent="0.35">
      <c r="A1213" s="1">
        <v>1212</v>
      </c>
      <c r="B1213">
        <v>37</v>
      </c>
      <c r="C1213" s="1" t="s">
        <v>40</v>
      </c>
      <c r="D1213" s="1" t="s">
        <v>41</v>
      </c>
      <c r="E1213">
        <v>1278</v>
      </c>
      <c r="F1213" s="1" t="s">
        <v>35</v>
      </c>
      <c r="G1213">
        <v>1</v>
      </c>
      <c r="H1213">
        <v>4</v>
      </c>
      <c r="I1213" s="1" t="s">
        <v>48</v>
      </c>
      <c r="J1213">
        <v>1700</v>
      </c>
      <c r="K1213">
        <v>3</v>
      </c>
      <c r="L1213" s="1" t="s">
        <v>43</v>
      </c>
      <c r="M1213">
        <v>31</v>
      </c>
      <c r="N1213">
        <v>1</v>
      </c>
      <c r="O1213">
        <v>2</v>
      </c>
      <c r="P1213" s="1" t="s">
        <v>38</v>
      </c>
      <c r="Q1213">
        <v>4</v>
      </c>
      <c r="R1213" s="1" t="s">
        <v>49</v>
      </c>
      <c r="S1213">
        <v>9525</v>
      </c>
      <c r="T1213">
        <v>7677</v>
      </c>
      <c r="U1213">
        <v>1</v>
      </c>
      <c r="V1213" s="1" t="s">
        <v>40</v>
      </c>
      <c r="W1213">
        <v>14</v>
      </c>
      <c r="X1213">
        <v>3</v>
      </c>
      <c r="Y1213">
        <v>3</v>
      </c>
      <c r="Z1213">
        <v>80</v>
      </c>
      <c r="AA1213">
        <v>2</v>
      </c>
      <c r="AB1213">
        <v>6</v>
      </c>
      <c r="AC1213">
        <v>2</v>
      </c>
      <c r="AD1213">
        <v>2</v>
      </c>
      <c r="AE1213">
        <v>6</v>
      </c>
      <c r="AF1213">
        <v>3</v>
      </c>
      <c r="AG1213">
        <v>1</v>
      </c>
      <c r="AH1213">
        <v>3</v>
      </c>
      <c r="AI1213">
        <f>IF(tbl_HRData[[#This Row],[Attrition]] = "Yes",1,0)</f>
        <v>0</v>
      </c>
      <c r="AJ1213">
        <f>IF(tbl_HRData[[#This Row],[Attrition]] = "No",1,0)</f>
        <v>1</v>
      </c>
      <c r="AK1213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213" s="1" t="str">
        <f>IF(tbl_HRData[[#This Row],[MonthlyIncome]]&lt;5000,"Low",
IF(tbl_HRData[[#This Row],[MonthlyIncome]]&lt;10000,"Medium",
IF(tbl_HRData[[#This Row],[MonthlyIncome]]&lt;15000,"Upper Medium","High")))</f>
        <v>Medium</v>
      </c>
      <c r="AM1213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214" spans="1:39" x14ac:dyDescent="0.35">
      <c r="A1214" s="1">
        <v>1213</v>
      </c>
      <c r="B1214">
        <v>34</v>
      </c>
      <c r="C1214" s="1" t="s">
        <v>40</v>
      </c>
      <c r="D1214" s="1" t="s">
        <v>34</v>
      </c>
      <c r="E1214">
        <v>678</v>
      </c>
      <c r="F1214" s="1" t="s">
        <v>42</v>
      </c>
      <c r="G1214">
        <v>19</v>
      </c>
      <c r="H1214">
        <v>3</v>
      </c>
      <c r="I1214" s="1" t="s">
        <v>36</v>
      </c>
      <c r="J1214">
        <v>1701</v>
      </c>
      <c r="K1214">
        <v>2</v>
      </c>
      <c r="L1214" s="1" t="s">
        <v>37</v>
      </c>
      <c r="M1214">
        <v>35</v>
      </c>
      <c r="N1214">
        <v>2</v>
      </c>
      <c r="O1214">
        <v>1</v>
      </c>
      <c r="P1214" s="1" t="s">
        <v>44</v>
      </c>
      <c r="Q1214">
        <v>4</v>
      </c>
      <c r="R1214" s="1" t="s">
        <v>45</v>
      </c>
      <c r="S1214">
        <v>2929</v>
      </c>
      <c r="T1214">
        <v>20338</v>
      </c>
      <c r="U1214">
        <v>1</v>
      </c>
      <c r="V1214" s="1" t="s">
        <v>40</v>
      </c>
      <c r="W1214">
        <v>12</v>
      </c>
      <c r="X1214">
        <v>3</v>
      </c>
      <c r="Y1214">
        <v>2</v>
      </c>
      <c r="Z1214">
        <v>80</v>
      </c>
      <c r="AA1214">
        <v>0</v>
      </c>
      <c r="AB1214">
        <v>10</v>
      </c>
      <c r="AC1214">
        <v>3</v>
      </c>
      <c r="AD1214">
        <v>3</v>
      </c>
      <c r="AE1214">
        <v>10</v>
      </c>
      <c r="AF1214">
        <v>9</v>
      </c>
      <c r="AG1214">
        <v>8</v>
      </c>
      <c r="AH1214">
        <v>7</v>
      </c>
      <c r="AI1214">
        <f>IF(tbl_HRData[[#This Row],[Attrition]] = "Yes",1,0)</f>
        <v>0</v>
      </c>
      <c r="AJ1214">
        <f>IF(tbl_HRData[[#This Row],[Attrition]] = "No",1,0)</f>
        <v>1</v>
      </c>
      <c r="AK1214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214" s="1" t="str">
        <f>IF(tbl_HRData[[#This Row],[MonthlyIncome]]&lt;5000,"Low",
IF(tbl_HRData[[#This Row],[MonthlyIncome]]&lt;10000,"Medium",
IF(tbl_HRData[[#This Row],[MonthlyIncome]]&lt;15000,"Upper Medium","High")))</f>
        <v>Low</v>
      </c>
      <c r="AM1214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215" spans="1:39" x14ac:dyDescent="0.35">
      <c r="A1215" s="1">
        <v>1214</v>
      </c>
      <c r="B1215">
        <v>23</v>
      </c>
      <c r="C1215" s="1" t="s">
        <v>33</v>
      </c>
      <c r="D1215" s="1" t="s">
        <v>34</v>
      </c>
      <c r="E1215">
        <v>427</v>
      </c>
      <c r="F1215" s="1" t="s">
        <v>35</v>
      </c>
      <c r="G1215">
        <v>7</v>
      </c>
      <c r="H1215">
        <v>3</v>
      </c>
      <c r="I1215" s="1" t="s">
        <v>36</v>
      </c>
      <c r="J1215">
        <v>1702</v>
      </c>
      <c r="K1215">
        <v>3</v>
      </c>
      <c r="L1215" s="1" t="s">
        <v>43</v>
      </c>
      <c r="M1215">
        <v>99</v>
      </c>
      <c r="N1215">
        <v>3</v>
      </c>
      <c r="O1215">
        <v>1</v>
      </c>
      <c r="P1215" s="1" t="s">
        <v>54</v>
      </c>
      <c r="Q1215">
        <v>4</v>
      </c>
      <c r="R1215" s="1" t="s">
        <v>49</v>
      </c>
      <c r="S1215">
        <v>2275</v>
      </c>
      <c r="T1215">
        <v>25103</v>
      </c>
      <c r="U1215">
        <v>1</v>
      </c>
      <c r="V1215" s="1" t="s">
        <v>33</v>
      </c>
      <c r="W1215">
        <v>21</v>
      </c>
      <c r="X1215">
        <v>4</v>
      </c>
      <c r="Y1215">
        <v>2</v>
      </c>
      <c r="Z1215">
        <v>80</v>
      </c>
      <c r="AA1215">
        <v>1</v>
      </c>
      <c r="AB1215">
        <v>3</v>
      </c>
      <c r="AC1215">
        <v>2</v>
      </c>
      <c r="AD1215">
        <v>3</v>
      </c>
      <c r="AE1215">
        <v>3</v>
      </c>
      <c r="AF1215">
        <v>2</v>
      </c>
      <c r="AG1215">
        <v>0</v>
      </c>
      <c r="AH1215">
        <v>2</v>
      </c>
      <c r="AI1215">
        <f>IF(tbl_HRData[[#This Row],[Attrition]] = "Yes",1,0)</f>
        <v>1</v>
      </c>
      <c r="AJ1215">
        <f>IF(tbl_HRData[[#This Row],[Attrition]] = "No",1,0)</f>
        <v>0</v>
      </c>
      <c r="AK1215" t="str">
        <f>IF(tbl_HRData[[#This Row],[Age]] &lt; 25, "Under 25", IF(tbl_HRData[[#This Row],[Age]] &lt;= 34, "25-34", IF(tbl_HRData[[#This Row],[Age]] &lt;= 44, "35-44", IF(tbl_HRData[[#This Row],[Age]] &lt;= 54, "45-54", "55+"))))</f>
        <v>Under 25</v>
      </c>
      <c r="AL1215" s="1" t="str">
        <f>IF(tbl_HRData[[#This Row],[MonthlyIncome]]&lt;5000,"Low",
IF(tbl_HRData[[#This Row],[MonthlyIncome]]&lt;10000,"Medium",
IF(tbl_HRData[[#This Row],[MonthlyIncome]]&lt;15000,"Upper Medium","High")))</f>
        <v>Low</v>
      </c>
      <c r="AM1215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216" spans="1:39" x14ac:dyDescent="0.35">
      <c r="A1216" s="1">
        <v>1215</v>
      </c>
      <c r="B1216">
        <v>44</v>
      </c>
      <c r="C1216" s="1" t="s">
        <v>40</v>
      </c>
      <c r="D1216" s="1" t="s">
        <v>34</v>
      </c>
      <c r="E1216">
        <v>921</v>
      </c>
      <c r="F1216" s="1" t="s">
        <v>42</v>
      </c>
      <c r="G1216">
        <v>2</v>
      </c>
      <c r="H1216">
        <v>3</v>
      </c>
      <c r="I1216" s="1" t="s">
        <v>36</v>
      </c>
      <c r="J1216">
        <v>1703</v>
      </c>
      <c r="K1216">
        <v>3</v>
      </c>
      <c r="L1216" s="1" t="s">
        <v>37</v>
      </c>
      <c r="M1216">
        <v>96</v>
      </c>
      <c r="N1216">
        <v>4</v>
      </c>
      <c r="O1216">
        <v>3</v>
      </c>
      <c r="P1216" s="1" t="s">
        <v>51</v>
      </c>
      <c r="Q1216">
        <v>4</v>
      </c>
      <c r="R1216" s="1" t="s">
        <v>45</v>
      </c>
      <c r="S1216">
        <v>7879</v>
      </c>
      <c r="T1216">
        <v>14810</v>
      </c>
      <c r="U1216">
        <v>1</v>
      </c>
      <c r="V1216" s="1" t="s">
        <v>33</v>
      </c>
      <c r="W1216">
        <v>19</v>
      </c>
      <c r="X1216">
        <v>3</v>
      </c>
      <c r="Y1216">
        <v>2</v>
      </c>
      <c r="Z1216">
        <v>80</v>
      </c>
      <c r="AA1216">
        <v>1</v>
      </c>
      <c r="AB1216">
        <v>9</v>
      </c>
      <c r="AC1216">
        <v>2</v>
      </c>
      <c r="AD1216">
        <v>3</v>
      </c>
      <c r="AE1216">
        <v>8</v>
      </c>
      <c r="AF1216">
        <v>7</v>
      </c>
      <c r="AG1216">
        <v>6</v>
      </c>
      <c r="AH1216">
        <v>7</v>
      </c>
      <c r="AI1216">
        <f>IF(tbl_HRData[[#This Row],[Attrition]] = "Yes",1,0)</f>
        <v>0</v>
      </c>
      <c r="AJ1216">
        <f>IF(tbl_HRData[[#This Row],[Attrition]] = "No",1,0)</f>
        <v>1</v>
      </c>
      <c r="AK1216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216" s="1" t="str">
        <f>IF(tbl_HRData[[#This Row],[MonthlyIncome]]&lt;5000,"Low",
IF(tbl_HRData[[#This Row],[MonthlyIncome]]&lt;10000,"Medium",
IF(tbl_HRData[[#This Row],[MonthlyIncome]]&lt;15000,"Upper Medium","High")))</f>
        <v>Medium</v>
      </c>
      <c r="AM1216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217" spans="1:39" x14ac:dyDescent="0.35">
      <c r="A1217" s="1">
        <v>1216</v>
      </c>
      <c r="B1217">
        <v>35</v>
      </c>
      <c r="C1217" s="1" t="s">
        <v>40</v>
      </c>
      <c r="D1217" s="1" t="s">
        <v>41</v>
      </c>
      <c r="E1217">
        <v>146</v>
      </c>
      <c r="F1217" s="1" t="s">
        <v>42</v>
      </c>
      <c r="G1217">
        <v>2</v>
      </c>
      <c r="H1217">
        <v>4</v>
      </c>
      <c r="I1217" s="1" t="s">
        <v>48</v>
      </c>
      <c r="J1217">
        <v>1704</v>
      </c>
      <c r="K1217">
        <v>1</v>
      </c>
      <c r="L1217" s="1" t="s">
        <v>43</v>
      </c>
      <c r="M1217">
        <v>79</v>
      </c>
      <c r="N1217">
        <v>2</v>
      </c>
      <c r="O1217">
        <v>1</v>
      </c>
      <c r="P1217" s="1" t="s">
        <v>44</v>
      </c>
      <c r="Q1217">
        <v>4</v>
      </c>
      <c r="R1217" s="1" t="s">
        <v>39</v>
      </c>
      <c r="S1217">
        <v>4930</v>
      </c>
      <c r="T1217">
        <v>13970</v>
      </c>
      <c r="U1217">
        <v>0</v>
      </c>
      <c r="V1217" s="1" t="s">
        <v>33</v>
      </c>
      <c r="W1217">
        <v>14</v>
      </c>
      <c r="X1217">
        <v>3</v>
      </c>
      <c r="Y1217">
        <v>3</v>
      </c>
      <c r="Z1217">
        <v>80</v>
      </c>
      <c r="AA1217">
        <v>0</v>
      </c>
      <c r="AB1217">
        <v>6</v>
      </c>
      <c r="AC1217">
        <v>2</v>
      </c>
      <c r="AD1217">
        <v>4</v>
      </c>
      <c r="AE1217">
        <v>5</v>
      </c>
      <c r="AF1217">
        <v>4</v>
      </c>
      <c r="AG1217">
        <v>1</v>
      </c>
      <c r="AH1217">
        <v>4</v>
      </c>
      <c r="AI1217">
        <f>IF(tbl_HRData[[#This Row],[Attrition]] = "Yes",1,0)</f>
        <v>0</v>
      </c>
      <c r="AJ1217">
        <f>IF(tbl_HRData[[#This Row],[Attrition]] = "No",1,0)</f>
        <v>1</v>
      </c>
      <c r="AK1217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217" s="1" t="str">
        <f>IF(tbl_HRData[[#This Row],[MonthlyIncome]]&lt;5000,"Low",
IF(tbl_HRData[[#This Row],[MonthlyIncome]]&lt;10000,"Medium",
IF(tbl_HRData[[#This Row],[MonthlyIncome]]&lt;15000,"Upper Medium","High")))</f>
        <v>Low</v>
      </c>
      <c r="AM1217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218" spans="1:39" x14ac:dyDescent="0.35">
      <c r="A1218" s="1">
        <v>1217</v>
      </c>
      <c r="B1218">
        <v>43</v>
      </c>
      <c r="C1218" s="1" t="s">
        <v>40</v>
      </c>
      <c r="D1218" s="1" t="s">
        <v>34</v>
      </c>
      <c r="E1218">
        <v>1179</v>
      </c>
      <c r="F1218" s="1" t="s">
        <v>35</v>
      </c>
      <c r="G1218">
        <v>2</v>
      </c>
      <c r="H1218">
        <v>3</v>
      </c>
      <c r="I1218" s="1" t="s">
        <v>48</v>
      </c>
      <c r="J1218">
        <v>1706</v>
      </c>
      <c r="K1218">
        <v>4</v>
      </c>
      <c r="L1218" s="1" t="s">
        <v>43</v>
      </c>
      <c r="M1218">
        <v>73</v>
      </c>
      <c r="N1218">
        <v>3</v>
      </c>
      <c r="O1218">
        <v>2</v>
      </c>
      <c r="P1218" s="1" t="s">
        <v>38</v>
      </c>
      <c r="Q1218">
        <v>4</v>
      </c>
      <c r="R1218" s="1" t="s">
        <v>45</v>
      </c>
      <c r="S1218">
        <v>7847</v>
      </c>
      <c r="T1218">
        <v>6069</v>
      </c>
      <c r="U1218">
        <v>1</v>
      </c>
      <c r="V1218" s="1" t="s">
        <v>33</v>
      </c>
      <c r="W1218">
        <v>17</v>
      </c>
      <c r="X1218">
        <v>3</v>
      </c>
      <c r="Y1218">
        <v>1</v>
      </c>
      <c r="Z1218">
        <v>80</v>
      </c>
      <c r="AA1218">
        <v>1</v>
      </c>
      <c r="AB1218">
        <v>10</v>
      </c>
      <c r="AC1218">
        <v>3</v>
      </c>
      <c r="AD1218">
        <v>3</v>
      </c>
      <c r="AE1218">
        <v>10</v>
      </c>
      <c r="AF1218">
        <v>9</v>
      </c>
      <c r="AG1218">
        <v>8</v>
      </c>
      <c r="AH1218">
        <v>8</v>
      </c>
      <c r="AI1218">
        <f>IF(tbl_HRData[[#This Row],[Attrition]] = "Yes",1,0)</f>
        <v>0</v>
      </c>
      <c r="AJ1218">
        <f>IF(tbl_HRData[[#This Row],[Attrition]] = "No",1,0)</f>
        <v>1</v>
      </c>
      <c r="AK1218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218" s="1" t="str">
        <f>IF(tbl_HRData[[#This Row],[MonthlyIncome]]&lt;5000,"Low",
IF(tbl_HRData[[#This Row],[MonthlyIncome]]&lt;10000,"Medium",
IF(tbl_HRData[[#This Row],[MonthlyIncome]]&lt;15000,"Upper Medium","High")))</f>
        <v>Medium</v>
      </c>
      <c r="AM1218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219" spans="1:39" x14ac:dyDescent="0.35">
      <c r="A1219" s="1">
        <v>1218</v>
      </c>
      <c r="B1219">
        <v>24</v>
      </c>
      <c r="C1219" s="1" t="s">
        <v>40</v>
      </c>
      <c r="D1219" s="1" t="s">
        <v>34</v>
      </c>
      <c r="E1219">
        <v>581</v>
      </c>
      <c r="F1219" s="1" t="s">
        <v>42</v>
      </c>
      <c r="G1219">
        <v>9</v>
      </c>
      <c r="H1219">
        <v>3</v>
      </c>
      <c r="I1219" s="1" t="s">
        <v>48</v>
      </c>
      <c r="J1219">
        <v>1707</v>
      </c>
      <c r="K1219">
        <v>3</v>
      </c>
      <c r="L1219" s="1" t="s">
        <v>43</v>
      </c>
      <c r="M1219">
        <v>62</v>
      </c>
      <c r="N1219">
        <v>4</v>
      </c>
      <c r="O1219">
        <v>1</v>
      </c>
      <c r="P1219" s="1" t="s">
        <v>44</v>
      </c>
      <c r="Q1219">
        <v>3</v>
      </c>
      <c r="R1219" s="1" t="s">
        <v>45</v>
      </c>
      <c r="S1219">
        <v>4401</v>
      </c>
      <c r="T1219">
        <v>17616</v>
      </c>
      <c r="U1219">
        <v>1</v>
      </c>
      <c r="V1219" s="1" t="s">
        <v>40</v>
      </c>
      <c r="W1219">
        <v>16</v>
      </c>
      <c r="X1219">
        <v>3</v>
      </c>
      <c r="Y1219">
        <v>4</v>
      </c>
      <c r="Z1219">
        <v>80</v>
      </c>
      <c r="AA1219">
        <v>1</v>
      </c>
      <c r="AB1219">
        <v>5</v>
      </c>
      <c r="AC1219">
        <v>1</v>
      </c>
      <c r="AD1219">
        <v>3</v>
      </c>
      <c r="AE1219">
        <v>5</v>
      </c>
      <c r="AF1219">
        <v>3</v>
      </c>
      <c r="AG1219">
        <v>0</v>
      </c>
      <c r="AH1219">
        <v>4</v>
      </c>
      <c r="AI1219">
        <f>IF(tbl_HRData[[#This Row],[Attrition]] = "Yes",1,0)</f>
        <v>0</v>
      </c>
      <c r="AJ1219">
        <f>IF(tbl_HRData[[#This Row],[Attrition]] = "No",1,0)</f>
        <v>1</v>
      </c>
      <c r="AK1219" t="str">
        <f>IF(tbl_HRData[[#This Row],[Age]] &lt; 25, "Under 25", IF(tbl_HRData[[#This Row],[Age]] &lt;= 34, "25-34", IF(tbl_HRData[[#This Row],[Age]] &lt;= 44, "35-44", IF(tbl_HRData[[#This Row],[Age]] &lt;= 54, "45-54", "55+"))))</f>
        <v>Under 25</v>
      </c>
      <c r="AL1219" s="1" t="str">
        <f>IF(tbl_HRData[[#This Row],[MonthlyIncome]]&lt;5000,"Low",
IF(tbl_HRData[[#This Row],[MonthlyIncome]]&lt;10000,"Medium",
IF(tbl_HRData[[#This Row],[MonthlyIncome]]&lt;15000,"Upper Medium","High")))</f>
        <v>Low</v>
      </c>
      <c r="AM1219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220" spans="1:39" x14ac:dyDescent="0.35">
      <c r="A1220" s="1">
        <v>1219</v>
      </c>
      <c r="B1220">
        <v>41</v>
      </c>
      <c r="C1220" s="1" t="s">
        <v>40</v>
      </c>
      <c r="D1220" s="1" t="s">
        <v>34</v>
      </c>
      <c r="E1220">
        <v>918</v>
      </c>
      <c r="F1220" s="1" t="s">
        <v>35</v>
      </c>
      <c r="G1220">
        <v>6</v>
      </c>
      <c r="H1220">
        <v>3</v>
      </c>
      <c r="I1220" s="1" t="s">
        <v>56</v>
      </c>
      <c r="J1220">
        <v>1708</v>
      </c>
      <c r="K1220">
        <v>4</v>
      </c>
      <c r="L1220" s="1" t="s">
        <v>43</v>
      </c>
      <c r="M1220">
        <v>35</v>
      </c>
      <c r="N1220">
        <v>3</v>
      </c>
      <c r="O1220">
        <v>3</v>
      </c>
      <c r="P1220" s="1" t="s">
        <v>38</v>
      </c>
      <c r="Q1220">
        <v>3</v>
      </c>
      <c r="R1220" s="1" t="s">
        <v>39</v>
      </c>
      <c r="S1220">
        <v>9241</v>
      </c>
      <c r="T1220">
        <v>15869</v>
      </c>
      <c r="U1220">
        <v>1</v>
      </c>
      <c r="V1220" s="1" t="s">
        <v>40</v>
      </c>
      <c r="W1220">
        <v>12</v>
      </c>
      <c r="X1220">
        <v>3</v>
      </c>
      <c r="Y1220">
        <v>2</v>
      </c>
      <c r="Z1220">
        <v>80</v>
      </c>
      <c r="AA1220">
        <v>0</v>
      </c>
      <c r="AB1220">
        <v>10</v>
      </c>
      <c r="AC1220">
        <v>3</v>
      </c>
      <c r="AD1220">
        <v>3</v>
      </c>
      <c r="AE1220">
        <v>10</v>
      </c>
      <c r="AF1220">
        <v>8</v>
      </c>
      <c r="AG1220">
        <v>8</v>
      </c>
      <c r="AH1220">
        <v>7</v>
      </c>
      <c r="AI1220">
        <f>IF(tbl_HRData[[#This Row],[Attrition]] = "Yes",1,0)</f>
        <v>0</v>
      </c>
      <c r="AJ1220">
        <f>IF(tbl_HRData[[#This Row],[Attrition]] = "No",1,0)</f>
        <v>1</v>
      </c>
      <c r="AK1220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220" s="1" t="str">
        <f>IF(tbl_HRData[[#This Row],[MonthlyIncome]]&lt;5000,"Low",
IF(tbl_HRData[[#This Row],[MonthlyIncome]]&lt;10000,"Medium",
IF(tbl_HRData[[#This Row],[MonthlyIncome]]&lt;15000,"Upper Medium","High")))</f>
        <v>Medium</v>
      </c>
      <c r="AM1220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221" spans="1:39" x14ac:dyDescent="0.35">
      <c r="A1221" s="1">
        <v>1220</v>
      </c>
      <c r="B1221">
        <v>29</v>
      </c>
      <c r="C1221" s="1" t="s">
        <v>40</v>
      </c>
      <c r="D1221" s="1" t="s">
        <v>34</v>
      </c>
      <c r="E1221">
        <v>1082</v>
      </c>
      <c r="F1221" s="1" t="s">
        <v>42</v>
      </c>
      <c r="G1221">
        <v>9</v>
      </c>
      <c r="H1221">
        <v>4</v>
      </c>
      <c r="I1221" s="1" t="s">
        <v>48</v>
      </c>
      <c r="J1221">
        <v>1709</v>
      </c>
      <c r="K1221">
        <v>4</v>
      </c>
      <c r="L1221" s="1" t="s">
        <v>37</v>
      </c>
      <c r="M1221">
        <v>43</v>
      </c>
      <c r="N1221">
        <v>3</v>
      </c>
      <c r="O1221">
        <v>1</v>
      </c>
      <c r="P1221" s="1" t="s">
        <v>47</v>
      </c>
      <c r="Q1221">
        <v>3</v>
      </c>
      <c r="R1221" s="1" t="s">
        <v>45</v>
      </c>
      <c r="S1221">
        <v>2974</v>
      </c>
      <c r="T1221">
        <v>25412</v>
      </c>
      <c r="U1221">
        <v>9</v>
      </c>
      <c r="V1221" s="1" t="s">
        <v>40</v>
      </c>
      <c r="W1221">
        <v>17</v>
      </c>
      <c r="X1221">
        <v>3</v>
      </c>
      <c r="Y1221">
        <v>3</v>
      </c>
      <c r="Z1221">
        <v>80</v>
      </c>
      <c r="AA1221">
        <v>1</v>
      </c>
      <c r="AB1221">
        <v>9</v>
      </c>
      <c r="AC1221">
        <v>2</v>
      </c>
      <c r="AD1221">
        <v>3</v>
      </c>
      <c r="AE1221">
        <v>5</v>
      </c>
      <c r="AF1221">
        <v>3</v>
      </c>
      <c r="AG1221">
        <v>1</v>
      </c>
      <c r="AH1221">
        <v>2</v>
      </c>
      <c r="AI1221">
        <f>IF(tbl_HRData[[#This Row],[Attrition]] = "Yes",1,0)</f>
        <v>0</v>
      </c>
      <c r="AJ1221">
        <f>IF(tbl_HRData[[#This Row],[Attrition]] = "No",1,0)</f>
        <v>1</v>
      </c>
      <c r="AK1221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221" s="1" t="str">
        <f>IF(tbl_HRData[[#This Row],[MonthlyIncome]]&lt;5000,"Low",
IF(tbl_HRData[[#This Row],[MonthlyIncome]]&lt;10000,"Medium",
IF(tbl_HRData[[#This Row],[MonthlyIncome]]&lt;15000,"Upper Medium","High")))</f>
        <v>Low</v>
      </c>
      <c r="AM1221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222" spans="1:39" x14ac:dyDescent="0.35">
      <c r="A1222" s="1">
        <v>1221</v>
      </c>
      <c r="B1222">
        <v>36</v>
      </c>
      <c r="C1222" s="1" t="s">
        <v>40</v>
      </c>
      <c r="D1222" s="1" t="s">
        <v>34</v>
      </c>
      <c r="E1222">
        <v>530</v>
      </c>
      <c r="F1222" s="1" t="s">
        <v>35</v>
      </c>
      <c r="G1222">
        <v>2</v>
      </c>
      <c r="H1222">
        <v>4</v>
      </c>
      <c r="I1222" s="1" t="s">
        <v>36</v>
      </c>
      <c r="J1222">
        <v>1710</v>
      </c>
      <c r="K1222">
        <v>3</v>
      </c>
      <c r="L1222" s="1" t="s">
        <v>37</v>
      </c>
      <c r="M1222">
        <v>51</v>
      </c>
      <c r="N1222">
        <v>3</v>
      </c>
      <c r="O1222">
        <v>2</v>
      </c>
      <c r="P1222" s="1" t="s">
        <v>54</v>
      </c>
      <c r="Q1222">
        <v>4</v>
      </c>
      <c r="R1222" s="1" t="s">
        <v>39</v>
      </c>
      <c r="S1222">
        <v>4502</v>
      </c>
      <c r="T1222">
        <v>7439</v>
      </c>
      <c r="U1222">
        <v>3</v>
      </c>
      <c r="V1222" s="1" t="s">
        <v>40</v>
      </c>
      <c r="W1222">
        <v>15</v>
      </c>
      <c r="X1222">
        <v>3</v>
      </c>
      <c r="Y1222">
        <v>3</v>
      </c>
      <c r="Z1222">
        <v>80</v>
      </c>
      <c r="AA1222">
        <v>0</v>
      </c>
      <c r="AB1222">
        <v>17</v>
      </c>
      <c r="AC1222">
        <v>2</v>
      </c>
      <c r="AD1222">
        <v>2</v>
      </c>
      <c r="AE1222">
        <v>13</v>
      </c>
      <c r="AF1222">
        <v>7</v>
      </c>
      <c r="AG1222">
        <v>6</v>
      </c>
      <c r="AH1222">
        <v>7</v>
      </c>
      <c r="AI1222">
        <f>IF(tbl_HRData[[#This Row],[Attrition]] = "Yes",1,0)</f>
        <v>0</v>
      </c>
      <c r="AJ1222">
        <f>IF(tbl_HRData[[#This Row],[Attrition]] = "No",1,0)</f>
        <v>1</v>
      </c>
      <c r="AK1222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222" s="1" t="str">
        <f>IF(tbl_HRData[[#This Row],[MonthlyIncome]]&lt;5000,"Low",
IF(tbl_HRData[[#This Row],[MonthlyIncome]]&lt;10000,"Medium",
IF(tbl_HRData[[#This Row],[MonthlyIncome]]&lt;15000,"Upper Medium","High")))</f>
        <v>Low</v>
      </c>
      <c r="AM1222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1223" spans="1:39" x14ac:dyDescent="0.35">
      <c r="A1223" s="1">
        <v>1222</v>
      </c>
      <c r="B1223">
        <v>45</v>
      </c>
      <c r="C1223" s="1" t="s">
        <v>40</v>
      </c>
      <c r="D1223" s="1" t="s">
        <v>52</v>
      </c>
      <c r="E1223">
        <v>1238</v>
      </c>
      <c r="F1223" s="1" t="s">
        <v>42</v>
      </c>
      <c r="G1223">
        <v>1</v>
      </c>
      <c r="H1223">
        <v>1</v>
      </c>
      <c r="I1223" s="1" t="s">
        <v>36</v>
      </c>
      <c r="J1223">
        <v>1712</v>
      </c>
      <c r="K1223">
        <v>3</v>
      </c>
      <c r="L1223" s="1" t="s">
        <v>43</v>
      </c>
      <c r="M1223">
        <v>74</v>
      </c>
      <c r="N1223">
        <v>2</v>
      </c>
      <c r="O1223">
        <v>3</v>
      </c>
      <c r="P1223" s="1" t="s">
        <v>51</v>
      </c>
      <c r="Q1223">
        <v>3</v>
      </c>
      <c r="R1223" s="1" t="s">
        <v>45</v>
      </c>
      <c r="S1223">
        <v>10748</v>
      </c>
      <c r="T1223">
        <v>3395</v>
      </c>
      <c r="U1223">
        <v>3</v>
      </c>
      <c r="V1223" s="1" t="s">
        <v>40</v>
      </c>
      <c r="W1223">
        <v>23</v>
      </c>
      <c r="X1223">
        <v>4</v>
      </c>
      <c r="Y1223">
        <v>4</v>
      </c>
      <c r="Z1223">
        <v>80</v>
      </c>
      <c r="AA1223">
        <v>1</v>
      </c>
      <c r="AB1223">
        <v>25</v>
      </c>
      <c r="AC1223">
        <v>3</v>
      </c>
      <c r="AD1223">
        <v>2</v>
      </c>
      <c r="AE1223">
        <v>23</v>
      </c>
      <c r="AF1223">
        <v>15</v>
      </c>
      <c r="AG1223">
        <v>14</v>
      </c>
      <c r="AH1223">
        <v>4</v>
      </c>
      <c r="AI1223">
        <f>IF(tbl_HRData[[#This Row],[Attrition]] = "Yes",1,0)</f>
        <v>0</v>
      </c>
      <c r="AJ1223">
        <f>IF(tbl_HRData[[#This Row],[Attrition]] = "No",1,0)</f>
        <v>1</v>
      </c>
      <c r="AK1223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1223" s="1" t="str">
        <f>IF(tbl_HRData[[#This Row],[MonthlyIncome]]&lt;5000,"Low",
IF(tbl_HRData[[#This Row],[MonthlyIncome]]&lt;10000,"Medium",
IF(tbl_HRData[[#This Row],[MonthlyIncome]]&lt;15000,"Upper Medium","High")))</f>
        <v>Upper Medium</v>
      </c>
      <c r="AM1223" s="1" t="str">
        <f>IF(tbl_HRData[[#This Row],[YearsAtCompany]]&lt;=5,"0-5 Years",
IF(tbl_HRData[[#This Row],[YearsAtCompany]]&lt;=10,"6-10 Years",
IF(tbl_HRData[[#This Row],[YearsAtCompany]]&lt;=20,"11-20 Years","21+ Years")))</f>
        <v>21+ Years</v>
      </c>
    </row>
    <row r="1224" spans="1:39" x14ac:dyDescent="0.35">
      <c r="A1224" s="1">
        <v>1223</v>
      </c>
      <c r="B1224">
        <v>24</v>
      </c>
      <c r="C1224" s="1" t="s">
        <v>33</v>
      </c>
      <c r="D1224" s="1" t="s">
        <v>34</v>
      </c>
      <c r="E1224">
        <v>240</v>
      </c>
      <c r="F1224" s="1" t="s">
        <v>58</v>
      </c>
      <c r="G1224">
        <v>22</v>
      </c>
      <c r="H1224">
        <v>1</v>
      </c>
      <c r="I1224" s="1" t="s">
        <v>58</v>
      </c>
      <c r="J1224">
        <v>1714</v>
      </c>
      <c r="K1224">
        <v>4</v>
      </c>
      <c r="L1224" s="1" t="s">
        <v>43</v>
      </c>
      <c r="M1224">
        <v>58</v>
      </c>
      <c r="N1224">
        <v>1</v>
      </c>
      <c r="O1224">
        <v>1</v>
      </c>
      <c r="P1224" s="1" t="s">
        <v>58</v>
      </c>
      <c r="Q1224">
        <v>3</v>
      </c>
      <c r="R1224" s="1" t="s">
        <v>45</v>
      </c>
      <c r="S1224">
        <v>1555</v>
      </c>
      <c r="T1224">
        <v>11585</v>
      </c>
      <c r="U1224">
        <v>1</v>
      </c>
      <c r="V1224" s="1" t="s">
        <v>40</v>
      </c>
      <c r="W1224">
        <v>11</v>
      </c>
      <c r="X1224">
        <v>3</v>
      </c>
      <c r="Y1224">
        <v>3</v>
      </c>
      <c r="Z1224">
        <v>80</v>
      </c>
      <c r="AA1224">
        <v>1</v>
      </c>
      <c r="AB1224">
        <v>1</v>
      </c>
      <c r="AC1224">
        <v>2</v>
      </c>
      <c r="AD1224">
        <v>3</v>
      </c>
      <c r="AE1224">
        <v>1</v>
      </c>
      <c r="AF1224">
        <v>0</v>
      </c>
      <c r="AG1224">
        <v>0</v>
      </c>
      <c r="AH1224">
        <v>0</v>
      </c>
      <c r="AI1224">
        <f>IF(tbl_HRData[[#This Row],[Attrition]] = "Yes",1,0)</f>
        <v>1</v>
      </c>
      <c r="AJ1224">
        <f>IF(tbl_HRData[[#This Row],[Attrition]] = "No",1,0)</f>
        <v>0</v>
      </c>
      <c r="AK1224" t="str">
        <f>IF(tbl_HRData[[#This Row],[Age]] &lt; 25, "Under 25", IF(tbl_HRData[[#This Row],[Age]] &lt;= 34, "25-34", IF(tbl_HRData[[#This Row],[Age]] &lt;= 44, "35-44", IF(tbl_HRData[[#This Row],[Age]] &lt;= 54, "45-54", "55+"))))</f>
        <v>Under 25</v>
      </c>
      <c r="AL1224" s="1" t="str">
        <f>IF(tbl_HRData[[#This Row],[MonthlyIncome]]&lt;5000,"Low",
IF(tbl_HRData[[#This Row],[MonthlyIncome]]&lt;10000,"Medium",
IF(tbl_HRData[[#This Row],[MonthlyIncome]]&lt;15000,"Upper Medium","High")))</f>
        <v>Low</v>
      </c>
      <c r="AM1224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225" spans="1:39" x14ac:dyDescent="0.35">
      <c r="A1225" s="1">
        <v>1224</v>
      </c>
      <c r="B1225">
        <v>47</v>
      </c>
      <c r="C1225" s="1" t="s">
        <v>33</v>
      </c>
      <c r="D1225" s="1" t="s">
        <v>41</v>
      </c>
      <c r="E1225">
        <v>1093</v>
      </c>
      <c r="F1225" s="1" t="s">
        <v>35</v>
      </c>
      <c r="G1225">
        <v>9</v>
      </c>
      <c r="H1225">
        <v>3</v>
      </c>
      <c r="I1225" s="1" t="s">
        <v>36</v>
      </c>
      <c r="J1225">
        <v>1716</v>
      </c>
      <c r="K1225">
        <v>3</v>
      </c>
      <c r="L1225" s="1" t="s">
        <v>43</v>
      </c>
      <c r="M1225">
        <v>82</v>
      </c>
      <c r="N1225">
        <v>1</v>
      </c>
      <c r="O1225">
        <v>4</v>
      </c>
      <c r="P1225" s="1" t="s">
        <v>38</v>
      </c>
      <c r="Q1225">
        <v>3</v>
      </c>
      <c r="R1225" s="1" t="s">
        <v>45</v>
      </c>
      <c r="S1225">
        <v>12936</v>
      </c>
      <c r="T1225">
        <v>24164</v>
      </c>
      <c r="U1225">
        <v>7</v>
      </c>
      <c r="V1225" s="1" t="s">
        <v>40</v>
      </c>
      <c r="W1225">
        <v>11</v>
      </c>
      <c r="X1225">
        <v>3</v>
      </c>
      <c r="Y1225">
        <v>3</v>
      </c>
      <c r="Z1225">
        <v>80</v>
      </c>
      <c r="AA1225">
        <v>0</v>
      </c>
      <c r="AB1225">
        <v>25</v>
      </c>
      <c r="AC1225">
        <v>3</v>
      </c>
      <c r="AD1225">
        <v>1</v>
      </c>
      <c r="AE1225">
        <v>23</v>
      </c>
      <c r="AF1225">
        <v>5</v>
      </c>
      <c r="AG1225">
        <v>14</v>
      </c>
      <c r="AH1225">
        <v>10</v>
      </c>
      <c r="AI1225">
        <f>IF(tbl_HRData[[#This Row],[Attrition]] = "Yes",1,0)</f>
        <v>1</v>
      </c>
      <c r="AJ1225">
        <f>IF(tbl_HRData[[#This Row],[Attrition]] = "No",1,0)</f>
        <v>0</v>
      </c>
      <c r="AK1225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1225" s="1" t="str">
        <f>IF(tbl_HRData[[#This Row],[MonthlyIncome]]&lt;5000,"Low",
IF(tbl_HRData[[#This Row],[MonthlyIncome]]&lt;10000,"Medium",
IF(tbl_HRData[[#This Row],[MonthlyIncome]]&lt;15000,"Upper Medium","High")))</f>
        <v>Upper Medium</v>
      </c>
      <c r="AM1225" s="1" t="str">
        <f>IF(tbl_HRData[[#This Row],[YearsAtCompany]]&lt;=5,"0-5 Years",
IF(tbl_HRData[[#This Row],[YearsAtCompany]]&lt;=10,"6-10 Years",
IF(tbl_HRData[[#This Row],[YearsAtCompany]]&lt;=20,"11-20 Years","21+ Years")))</f>
        <v>21+ Years</v>
      </c>
    </row>
    <row r="1226" spans="1:39" x14ac:dyDescent="0.35">
      <c r="A1226" s="1">
        <v>1225</v>
      </c>
      <c r="B1226">
        <v>26</v>
      </c>
      <c r="C1226" s="1" t="s">
        <v>40</v>
      </c>
      <c r="D1226" s="1" t="s">
        <v>34</v>
      </c>
      <c r="E1226">
        <v>390</v>
      </c>
      <c r="F1226" s="1" t="s">
        <v>42</v>
      </c>
      <c r="G1226">
        <v>17</v>
      </c>
      <c r="H1226">
        <v>4</v>
      </c>
      <c r="I1226" s="1" t="s">
        <v>48</v>
      </c>
      <c r="J1226">
        <v>1718</v>
      </c>
      <c r="K1226">
        <v>4</v>
      </c>
      <c r="L1226" s="1" t="s">
        <v>43</v>
      </c>
      <c r="M1226">
        <v>62</v>
      </c>
      <c r="N1226">
        <v>1</v>
      </c>
      <c r="O1226">
        <v>1</v>
      </c>
      <c r="P1226" s="1" t="s">
        <v>47</v>
      </c>
      <c r="Q1226">
        <v>3</v>
      </c>
      <c r="R1226" s="1" t="s">
        <v>45</v>
      </c>
      <c r="S1226">
        <v>2305</v>
      </c>
      <c r="T1226">
        <v>6217</v>
      </c>
      <c r="U1226">
        <v>1</v>
      </c>
      <c r="V1226" s="1" t="s">
        <v>40</v>
      </c>
      <c r="W1226">
        <v>15</v>
      </c>
      <c r="X1226">
        <v>3</v>
      </c>
      <c r="Y1226">
        <v>3</v>
      </c>
      <c r="Z1226">
        <v>80</v>
      </c>
      <c r="AA1226">
        <v>3</v>
      </c>
      <c r="AB1226">
        <v>3</v>
      </c>
      <c r="AC1226">
        <v>3</v>
      </c>
      <c r="AD1226">
        <v>4</v>
      </c>
      <c r="AE1226">
        <v>3</v>
      </c>
      <c r="AF1226">
        <v>2</v>
      </c>
      <c r="AG1226">
        <v>0</v>
      </c>
      <c r="AH1226">
        <v>2</v>
      </c>
      <c r="AI1226">
        <f>IF(tbl_HRData[[#This Row],[Attrition]] = "Yes",1,0)</f>
        <v>0</v>
      </c>
      <c r="AJ1226">
        <f>IF(tbl_HRData[[#This Row],[Attrition]] = "No",1,0)</f>
        <v>1</v>
      </c>
      <c r="AK1226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226" s="1" t="str">
        <f>IF(tbl_HRData[[#This Row],[MonthlyIncome]]&lt;5000,"Low",
IF(tbl_HRData[[#This Row],[MonthlyIncome]]&lt;10000,"Medium",
IF(tbl_HRData[[#This Row],[MonthlyIncome]]&lt;15000,"Upper Medium","High")))</f>
        <v>Low</v>
      </c>
      <c r="AM1226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227" spans="1:39" x14ac:dyDescent="0.35">
      <c r="A1227" s="1">
        <v>1226</v>
      </c>
      <c r="B1227">
        <v>45</v>
      </c>
      <c r="C1227" s="1" t="s">
        <v>40</v>
      </c>
      <c r="D1227" s="1" t="s">
        <v>34</v>
      </c>
      <c r="E1227">
        <v>1005</v>
      </c>
      <c r="F1227" s="1" t="s">
        <v>42</v>
      </c>
      <c r="G1227">
        <v>28</v>
      </c>
      <c r="H1227">
        <v>2</v>
      </c>
      <c r="I1227" s="1" t="s">
        <v>57</v>
      </c>
      <c r="J1227">
        <v>1719</v>
      </c>
      <c r="K1227">
        <v>4</v>
      </c>
      <c r="L1227" s="1" t="s">
        <v>37</v>
      </c>
      <c r="M1227">
        <v>48</v>
      </c>
      <c r="N1227">
        <v>2</v>
      </c>
      <c r="O1227">
        <v>4</v>
      </c>
      <c r="P1227" s="1" t="s">
        <v>55</v>
      </c>
      <c r="Q1227">
        <v>2</v>
      </c>
      <c r="R1227" s="1" t="s">
        <v>39</v>
      </c>
      <c r="S1227">
        <v>16704</v>
      </c>
      <c r="T1227">
        <v>17119</v>
      </c>
      <c r="U1227">
        <v>1</v>
      </c>
      <c r="V1227" s="1" t="s">
        <v>40</v>
      </c>
      <c r="W1227">
        <v>11</v>
      </c>
      <c r="X1227">
        <v>3</v>
      </c>
      <c r="Y1227">
        <v>3</v>
      </c>
      <c r="Z1227">
        <v>80</v>
      </c>
      <c r="AA1227">
        <v>0</v>
      </c>
      <c r="AB1227">
        <v>21</v>
      </c>
      <c r="AC1227">
        <v>2</v>
      </c>
      <c r="AD1227">
        <v>3</v>
      </c>
      <c r="AE1227">
        <v>21</v>
      </c>
      <c r="AF1227">
        <v>6</v>
      </c>
      <c r="AG1227">
        <v>8</v>
      </c>
      <c r="AH1227">
        <v>6</v>
      </c>
      <c r="AI1227">
        <f>IF(tbl_HRData[[#This Row],[Attrition]] = "Yes",1,0)</f>
        <v>0</v>
      </c>
      <c r="AJ1227">
        <f>IF(tbl_HRData[[#This Row],[Attrition]] = "No",1,0)</f>
        <v>1</v>
      </c>
      <c r="AK1227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1227" s="1" t="str">
        <f>IF(tbl_HRData[[#This Row],[MonthlyIncome]]&lt;5000,"Low",
IF(tbl_HRData[[#This Row],[MonthlyIncome]]&lt;10000,"Medium",
IF(tbl_HRData[[#This Row],[MonthlyIncome]]&lt;15000,"Upper Medium","High")))</f>
        <v>High</v>
      </c>
      <c r="AM1227" s="1" t="str">
        <f>IF(tbl_HRData[[#This Row],[YearsAtCompany]]&lt;=5,"0-5 Years",
IF(tbl_HRData[[#This Row],[YearsAtCompany]]&lt;=10,"6-10 Years",
IF(tbl_HRData[[#This Row],[YearsAtCompany]]&lt;=20,"11-20 Years","21+ Years")))</f>
        <v>21+ Years</v>
      </c>
    </row>
    <row r="1228" spans="1:39" x14ac:dyDescent="0.35">
      <c r="A1228" s="1">
        <v>1227</v>
      </c>
      <c r="B1228">
        <v>32</v>
      </c>
      <c r="C1228" s="1" t="s">
        <v>40</v>
      </c>
      <c r="D1228" s="1" t="s">
        <v>41</v>
      </c>
      <c r="E1228">
        <v>585</v>
      </c>
      <c r="F1228" s="1" t="s">
        <v>42</v>
      </c>
      <c r="G1228">
        <v>10</v>
      </c>
      <c r="H1228">
        <v>3</v>
      </c>
      <c r="I1228" s="1" t="s">
        <v>36</v>
      </c>
      <c r="J1228">
        <v>1720</v>
      </c>
      <c r="K1228">
        <v>1</v>
      </c>
      <c r="L1228" s="1" t="s">
        <v>43</v>
      </c>
      <c r="M1228">
        <v>56</v>
      </c>
      <c r="N1228">
        <v>3</v>
      </c>
      <c r="O1228">
        <v>1</v>
      </c>
      <c r="P1228" s="1" t="s">
        <v>44</v>
      </c>
      <c r="Q1228">
        <v>3</v>
      </c>
      <c r="R1228" s="1" t="s">
        <v>45</v>
      </c>
      <c r="S1228">
        <v>3433</v>
      </c>
      <c r="T1228">
        <v>17360</v>
      </c>
      <c r="U1228">
        <v>6</v>
      </c>
      <c r="V1228" s="1" t="s">
        <v>40</v>
      </c>
      <c r="W1228">
        <v>13</v>
      </c>
      <c r="X1228">
        <v>3</v>
      </c>
      <c r="Y1228">
        <v>1</v>
      </c>
      <c r="Z1228">
        <v>80</v>
      </c>
      <c r="AA1228">
        <v>1</v>
      </c>
      <c r="AB1228">
        <v>10</v>
      </c>
      <c r="AC1228">
        <v>3</v>
      </c>
      <c r="AD1228">
        <v>2</v>
      </c>
      <c r="AE1228">
        <v>5</v>
      </c>
      <c r="AF1228">
        <v>2</v>
      </c>
      <c r="AG1228">
        <v>1</v>
      </c>
      <c r="AH1228">
        <v>3</v>
      </c>
      <c r="AI1228">
        <f>IF(tbl_HRData[[#This Row],[Attrition]] = "Yes",1,0)</f>
        <v>0</v>
      </c>
      <c r="AJ1228">
        <f>IF(tbl_HRData[[#This Row],[Attrition]] = "No",1,0)</f>
        <v>1</v>
      </c>
      <c r="AK1228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228" s="1" t="str">
        <f>IF(tbl_HRData[[#This Row],[MonthlyIncome]]&lt;5000,"Low",
IF(tbl_HRData[[#This Row],[MonthlyIncome]]&lt;10000,"Medium",
IF(tbl_HRData[[#This Row],[MonthlyIncome]]&lt;15000,"Upper Medium","High")))</f>
        <v>Low</v>
      </c>
      <c r="AM1228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229" spans="1:39" x14ac:dyDescent="0.35">
      <c r="A1229" s="1">
        <v>1228</v>
      </c>
      <c r="B1229">
        <v>31</v>
      </c>
      <c r="C1229" s="1" t="s">
        <v>40</v>
      </c>
      <c r="D1229" s="1" t="s">
        <v>34</v>
      </c>
      <c r="E1229">
        <v>741</v>
      </c>
      <c r="F1229" s="1" t="s">
        <v>42</v>
      </c>
      <c r="G1229">
        <v>2</v>
      </c>
      <c r="H1229">
        <v>4</v>
      </c>
      <c r="I1229" s="1" t="s">
        <v>36</v>
      </c>
      <c r="J1229">
        <v>1721</v>
      </c>
      <c r="K1229">
        <v>2</v>
      </c>
      <c r="L1229" s="1" t="s">
        <v>43</v>
      </c>
      <c r="M1229">
        <v>69</v>
      </c>
      <c r="N1229">
        <v>3</v>
      </c>
      <c r="O1229">
        <v>1</v>
      </c>
      <c r="P1229" s="1" t="s">
        <v>47</v>
      </c>
      <c r="Q1229">
        <v>3</v>
      </c>
      <c r="R1229" s="1" t="s">
        <v>45</v>
      </c>
      <c r="S1229">
        <v>3477</v>
      </c>
      <c r="T1229">
        <v>18103</v>
      </c>
      <c r="U1229">
        <v>1</v>
      </c>
      <c r="V1229" s="1" t="s">
        <v>40</v>
      </c>
      <c r="W1229">
        <v>14</v>
      </c>
      <c r="X1229">
        <v>3</v>
      </c>
      <c r="Y1229">
        <v>4</v>
      </c>
      <c r="Z1229">
        <v>80</v>
      </c>
      <c r="AA1229">
        <v>1</v>
      </c>
      <c r="AB1229">
        <v>6</v>
      </c>
      <c r="AC1229">
        <v>2</v>
      </c>
      <c r="AD1229">
        <v>4</v>
      </c>
      <c r="AE1229">
        <v>5</v>
      </c>
      <c r="AF1229">
        <v>2</v>
      </c>
      <c r="AG1229">
        <v>0</v>
      </c>
      <c r="AH1229">
        <v>3</v>
      </c>
      <c r="AI1229">
        <f>IF(tbl_HRData[[#This Row],[Attrition]] = "Yes",1,0)</f>
        <v>0</v>
      </c>
      <c r="AJ1229">
        <f>IF(tbl_HRData[[#This Row],[Attrition]] = "No",1,0)</f>
        <v>1</v>
      </c>
      <c r="AK1229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229" s="1" t="str">
        <f>IF(tbl_HRData[[#This Row],[MonthlyIncome]]&lt;5000,"Low",
IF(tbl_HRData[[#This Row],[MonthlyIncome]]&lt;10000,"Medium",
IF(tbl_HRData[[#This Row],[MonthlyIncome]]&lt;15000,"Upper Medium","High")))</f>
        <v>Low</v>
      </c>
      <c r="AM1229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230" spans="1:39" x14ac:dyDescent="0.35">
      <c r="A1230" s="1">
        <v>1229</v>
      </c>
      <c r="B1230">
        <v>41</v>
      </c>
      <c r="C1230" s="1" t="s">
        <v>40</v>
      </c>
      <c r="D1230" s="1" t="s">
        <v>52</v>
      </c>
      <c r="E1230">
        <v>552</v>
      </c>
      <c r="F1230" s="1" t="s">
        <v>58</v>
      </c>
      <c r="G1230">
        <v>4</v>
      </c>
      <c r="H1230">
        <v>3</v>
      </c>
      <c r="I1230" s="1" t="s">
        <v>58</v>
      </c>
      <c r="J1230">
        <v>1722</v>
      </c>
      <c r="K1230">
        <v>3</v>
      </c>
      <c r="L1230" s="1" t="s">
        <v>43</v>
      </c>
      <c r="M1230">
        <v>60</v>
      </c>
      <c r="N1230">
        <v>1</v>
      </c>
      <c r="O1230">
        <v>2</v>
      </c>
      <c r="P1230" s="1" t="s">
        <v>58</v>
      </c>
      <c r="Q1230">
        <v>2</v>
      </c>
      <c r="R1230" s="1" t="s">
        <v>45</v>
      </c>
      <c r="S1230">
        <v>6430</v>
      </c>
      <c r="T1230">
        <v>20794</v>
      </c>
      <c r="U1230">
        <v>6</v>
      </c>
      <c r="V1230" s="1" t="s">
        <v>40</v>
      </c>
      <c r="W1230">
        <v>19</v>
      </c>
      <c r="X1230">
        <v>3</v>
      </c>
      <c r="Y1230">
        <v>2</v>
      </c>
      <c r="Z1230">
        <v>80</v>
      </c>
      <c r="AA1230">
        <v>1</v>
      </c>
      <c r="AB1230">
        <v>10</v>
      </c>
      <c r="AC1230">
        <v>4</v>
      </c>
      <c r="AD1230">
        <v>3</v>
      </c>
      <c r="AE1230">
        <v>3</v>
      </c>
      <c r="AF1230">
        <v>2</v>
      </c>
      <c r="AG1230">
        <v>1</v>
      </c>
      <c r="AH1230">
        <v>2</v>
      </c>
      <c r="AI1230">
        <f>IF(tbl_HRData[[#This Row],[Attrition]] = "Yes",1,0)</f>
        <v>0</v>
      </c>
      <c r="AJ1230">
        <f>IF(tbl_HRData[[#This Row],[Attrition]] = "No",1,0)</f>
        <v>1</v>
      </c>
      <c r="AK1230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230" s="1" t="str">
        <f>IF(tbl_HRData[[#This Row],[MonthlyIncome]]&lt;5000,"Low",
IF(tbl_HRData[[#This Row],[MonthlyIncome]]&lt;10000,"Medium",
IF(tbl_HRData[[#This Row],[MonthlyIncome]]&lt;15000,"Upper Medium","High")))</f>
        <v>Medium</v>
      </c>
      <c r="AM1230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231" spans="1:39" x14ac:dyDescent="0.35">
      <c r="A1231" s="1">
        <v>1230</v>
      </c>
      <c r="B1231">
        <v>40</v>
      </c>
      <c r="C1231" s="1" t="s">
        <v>40</v>
      </c>
      <c r="D1231" s="1" t="s">
        <v>34</v>
      </c>
      <c r="E1231">
        <v>369</v>
      </c>
      <c r="F1231" s="1" t="s">
        <v>42</v>
      </c>
      <c r="G1231">
        <v>8</v>
      </c>
      <c r="H1231">
        <v>2</v>
      </c>
      <c r="I1231" s="1" t="s">
        <v>36</v>
      </c>
      <c r="J1231">
        <v>1724</v>
      </c>
      <c r="K1231">
        <v>2</v>
      </c>
      <c r="L1231" s="1" t="s">
        <v>37</v>
      </c>
      <c r="M1231">
        <v>92</v>
      </c>
      <c r="N1231">
        <v>3</v>
      </c>
      <c r="O1231">
        <v>2</v>
      </c>
      <c r="P1231" s="1" t="s">
        <v>50</v>
      </c>
      <c r="Q1231">
        <v>1</v>
      </c>
      <c r="R1231" s="1" t="s">
        <v>45</v>
      </c>
      <c r="S1231">
        <v>6516</v>
      </c>
      <c r="T1231">
        <v>5041</v>
      </c>
      <c r="U1231">
        <v>2</v>
      </c>
      <c r="V1231" s="1" t="s">
        <v>33</v>
      </c>
      <c r="W1231">
        <v>16</v>
      </c>
      <c r="X1231">
        <v>3</v>
      </c>
      <c r="Y1231">
        <v>2</v>
      </c>
      <c r="Z1231">
        <v>80</v>
      </c>
      <c r="AA1231">
        <v>1</v>
      </c>
      <c r="AB1231">
        <v>18</v>
      </c>
      <c r="AC1231">
        <v>3</v>
      </c>
      <c r="AD1231">
        <v>3</v>
      </c>
      <c r="AE1231">
        <v>1</v>
      </c>
      <c r="AF1231">
        <v>0</v>
      </c>
      <c r="AG1231">
        <v>0</v>
      </c>
      <c r="AH1231">
        <v>0</v>
      </c>
      <c r="AI1231">
        <f>IF(tbl_HRData[[#This Row],[Attrition]] = "Yes",1,0)</f>
        <v>0</v>
      </c>
      <c r="AJ1231">
        <f>IF(tbl_HRData[[#This Row],[Attrition]] = "No",1,0)</f>
        <v>1</v>
      </c>
      <c r="AK1231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231" s="1" t="str">
        <f>IF(tbl_HRData[[#This Row],[MonthlyIncome]]&lt;5000,"Low",
IF(tbl_HRData[[#This Row],[MonthlyIncome]]&lt;10000,"Medium",
IF(tbl_HRData[[#This Row],[MonthlyIncome]]&lt;15000,"Upper Medium","High")))</f>
        <v>Medium</v>
      </c>
      <c r="AM1231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232" spans="1:39" x14ac:dyDescent="0.35">
      <c r="A1232" s="1">
        <v>1231</v>
      </c>
      <c r="B1232">
        <v>24</v>
      </c>
      <c r="C1232" s="1" t="s">
        <v>40</v>
      </c>
      <c r="D1232" s="1" t="s">
        <v>34</v>
      </c>
      <c r="E1232">
        <v>506</v>
      </c>
      <c r="F1232" s="1" t="s">
        <v>42</v>
      </c>
      <c r="G1232">
        <v>29</v>
      </c>
      <c r="H1232">
        <v>1</v>
      </c>
      <c r="I1232" s="1" t="s">
        <v>48</v>
      </c>
      <c r="J1232">
        <v>1725</v>
      </c>
      <c r="K1232">
        <v>2</v>
      </c>
      <c r="L1232" s="1" t="s">
        <v>43</v>
      </c>
      <c r="M1232">
        <v>91</v>
      </c>
      <c r="N1232">
        <v>3</v>
      </c>
      <c r="O1232">
        <v>1</v>
      </c>
      <c r="P1232" s="1" t="s">
        <v>47</v>
      </c>
      <c r="Q1232">
        <v>1</v>
      </c>
      <c r="R1232" s="1" t="s">
        <v>49</v>
      </c>
      <c r="S1232">
        <v>3907</v>
      </c>
      <c r="T1232">
        <v>3622</v>
      </c>
      <c r="U1232">
        <v>1</v>
      </c>
      <c r="V1232" s="1" t="s">
        <v>40</v>
      </c>
      <c r="W1232">
        <v>13</v>
      </c>
      <c r="X1232">
        <v>3</v>
      </c>
      <c r="Y1232">
        <v>2</v>
      </c>
      <c r="Z1232">
        <v>80</v>
      </c>
      <c r="AA1232">
        <v>3</v>
      </c>
      <c r="AB1232">
        <v>6</v>
      </c>
      <c r="AC1232">
        <v>2</v>
      </c>
      <c r="AD1232">
        <v>4</v>
      </c>
      <c r="AE1232">
        <v>6</v>
      </c>
      <c r="AF1232">
        <v>2</v>
      </c>
      <c r="AG1232">
        <v>1</v>
      </c>
      <c r="AH1232">
        <v>2</v>
      </c>
      <c r="AI1232">
        <f>IF(tbl_HRData[[#This Row],[Attrition]] = "Yes",1,0)</f>
        <v>0</v>
      </c>
      <c r="AJ1232">
        <f>IF(tbl_HRData[[#This Row],[Attrition]] = "No",1,0)</f>
        <v>1</v>
      </c>
      <c r="AK1232" t="str">
        <f>IF(tbl_HRData[[#This Row],[Age]] &lt; 25, "Under 25", IF(tbl_HRData[[#This Row],[Age]] &lt;= 34, "25-34", IF(tbl_HRData[[#This Row],[Age]] &lt;= 44, "35-44", IF(tbl_HRData[[#This Row],[Age]] &lt;= 54, "45-54", "55+"))))</f>
        <v>Under 25</v>
      </c>
      <c r="AL1232" s="1" t="str">
        <f>IF(tbl_HRData[[#This Row],[MonthlyIncome]]&lt;5000,"Low",
IF(tbl_HRData[[#This Row],[MonthlyIncome]]&lt;10000,"Medium",
IF(tbl_HRData[[#This Row],[MonthlyIncome]]&lt;15000,"Upper Medium","High")))</f>
        <v>Low</v>
      </c>
      <c r="AM1232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233" spans="1:39" x14ac:dyDescent="0.35">
      <c r="A1233" s="1">
        <v>1232</v>
      </c>
      <c r="B1233">
        <v>46</v>
      </c>
      <c r="C1233" s="1" t="s">
        <v>40</v>
      </c>
      <c r="D1233" s="1" t="s">
        <v>34</v>
      </c>
      <c r="E1233">
        <v>717</v>
      </c>
      <c r="F1233" s="1" t="s">
        <v>42</v>
      </c>
      <c r="G1233">
        <v>13</v>
      </c>
      <c r="H1233">
        <v>4</v>
      </c>
      <c r="I1233" s="1" t="s">
        <v>36</v>
      </c>
      <c r="J1233">
        <v>1727</v>
      </c>
      <c r="K1233">
        <v>3</v>
      </c>
      <c r="L1233" s="1" t="s">
        <v>43</v>
      </c>
      <c r="M1233">
        <v>34</v>
      </c>
      <c r="N1233">
        <v>3</v>
      </c>
      <c r="O1233">
        <v>2</v>
      </c>
      <c r="P1233" s="1" t="s">
        <v>51</v>
      </c>
      <c r="Q1233">
        <v>2</v>
      </c>
      <c r="R1233" s="1" t="s">
        <v>39</v>
      </c>
      <c r="S1233">
        <v>5562</v>
      </c>
      <c r="T1233">
        <v>9697</v>
      </c>
      <c r="U1233">
        <v>6</v>
      </c>
      <c r="V1233" s="1" t="s">
        <v>40</v>
      </c>
      <c r="W1233">
        <v>14</v>
      </c>
      <c r="X1233">
        <v>3</v>
      </c>
      <c r="Y1233">
        <v>4</v>
      </c>
      <c r="Z1233">
        <v>80</v>
      </c>
      <c r="AA1233">
        <v>0</v>
      </c>
      <c r="AB1233">
        <v>19</v>
      </c>
      <c r="AC1233">
        <v>3</v>
      </c>
      <c r="AD1233">
        <v>3</v>
      </c>
      <c r="AE1233">
        <v>10</v>
      </c>
      <c r="AF1233">
        <v>7</v>
      </c>
      <c r="AG1233">
        <v>0</v>
      </c>
      <c r="AH1233">
        <v>9</v>
      </c>
      <c r="AI1233">
        <f>IF(tbl_HRData[[#This Row],[Attrition]] = "Yes",1,0)</f>
        <v>0</v>
      </c>
      <c r="AJ1233">
        <f>IF(tbl_HRData[[#This Row],[Attrition]] = "No",1,0)</f>
        <v>1</v>
      </c>
      <c r="AK1233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1233" s="1" t="str">
        <f>IF(tbl_HRData[[#This Row],[MonthlyIncome]]&lt;5000,"Low",
IF(tbl_HRData[[#This Row],[MonthlyIncome]]&lt;10000,"Medium",
IF(tbl_HRData[[#This Row],[MonthlyIncome]]&lt;15000,"Upper Medium","High")))</f>
        <v>Medium</v>
      </c>
      <c r="AM1233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234" spans="1:39" x14ac:dyDescent="0.35">
      <c r="A1234" s="1">
        <v>1233</v>
      </c>
      <c r="B1234">
        <v>35</v>
      </c>
      <c r="C1234" s="1" t="s">
        <v>40</v>
      </c>
      <c r="D1234" s="1" t="s">
        <v>34</v>
      </c>
      <c r="E1234">
        <v>1370</v>
      </c>
      <c r="F1234" s="1" t="s">
        <v>42</v>
      </c>
      <c r="G1234">
        <v>27</v>
      </c>
      <c r="H1234">
        <v>4</v>
      </c>
      <c r="I1234" s="1" t="s">
        <v>36</v>
      </c>
      <c r="J1234">
        <v>1728</v>
      </c>
      <c r="K1234">
        <v>4</v>
      </c>
      <c r="L1234" s="1" t="s">
        <v>43</v>
      </c>
      <c r="M1234">
        <v>49</v>
      </c>
      <c r="N1234">
        <v>3</v>
      </c>
      <c r="O1234">
        <v>2</v>
      </c>
      <c r="P1234" s="1" t="s">
        <v>50</v>
      </c>
      <c r="Q1234">
        <v>3</v>
      </c>
      <c r="R1234" s="1" t="s">
        <v>45</v>
      </c>
      <c r="S1234">
        <v>6883</v>
      </c>
      <c r="T1234">
        <v>5151</v>
      </c>
      <c r="U1234">
        <v>2</v>
      </c>
      <c r="V1234" s="1" t="s">
        <v>40</v>
      </c>
      <c r="W1234">
        <v>16</v>
      </c>
      <c r="X1234">
        <v>3</v>
      </c>
      <c r="Y1234">
        <v>2</v>
      </c>
      <c r="Z1234">
        <v>80</v>
      </c>
      <c r="AA1234">
        <v>1</v>
      </c>
      <c r="AB1234">
        <v>17</v>
      </c>
      <c r="AC1234">
        <v>3</v>
      </c>
      <c r="AD1234">
        <v>3</v>
      </c>
      <c r="AE1234">
        <v>7</v>
      </c>
      <c r="AF1234">
        <v>7</v>
      </c>
      <c r="AG1234">
        <v>0</v>
      </c>
      <c r="AH1234">
        <v>7</v>
      </c>
      <c r="AI1234">
        <f>IF(tbl_HRData[[#This Row],[Attrition]] = "Yes",1,0)</f>
        <v>0</v>
      </c>
      <c r="AJ1234">
        <f>IF(tbl_HRData[[#This Row],[Attrition]] = "No",1,0)</f>
        <v>1</v>
      </c>
      <c r="AK1234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234" s="1" t="str">
        <f>IF(tbl_HRData[[#This Row],[MonthlyIncome]]&lt;5000,"Low",
IF(tbl_HRData[[#This Row],[MonthlyIncome]]&lt;10000,"Medium",
IF(tbl_HRData[[#This Row],[MonthlyIncome]]&lt;15000,"Upper Medium","High")))</f>
        <v>Medium</v>
      </c>
      <c r="AM1234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235" spans="1:39" x14ac:dyDescent="0.35">
      <c r="A1235" s="1">
        <v>1234</v>
      </c>
      <c r="B1235">
        <v>30</v>
      </c>
      <c r="C1235" s="1" t="s">
        <v>40</v>
      </c>
      <c r="D1235" s="1" t="s">
        <v>34</v>
      </c>
      <c r="E1235">
        <v>793</v>
      </c>
      <c r="F1235" s="1" t="s">
        <v>42</v>
      </c>
      <c r="G1235">
        <v>16</v>
      </c>
      <c r="H1235">
        <v>1</v>
      </c>
      <c r="I1235" s="1" t="s">
        <v>36</v>
      </c>
      <c r="J1235">
        <v>1729</v>
      </c>
      <c r="K1235">
        <v>2</v>
      </c>
      <c r="L1235" s="1" t="s">
        <v>43</v>
      </c>
      <c r="M1235">
        <v>33</v>
      </c>
      <c r="N1235">
        <v>3</v>
      </c>
      <c r="O1235">
        <v>1</v>
      </c>
      <c r="P1235" s="1" t="s">
        <v>44</v>
      </c>
      <c r="Q1235">
        <v>4</v>
      </c>
      <c r="R1235" s="1" t="s">
        <v>45</v>
      </c>
      <c r="S1235">
        <v>2862</v>
      </c>
      <c r="T1235">
        <v>3811</v>
      </c>
      <c r="U1235">
        <v>1</v>
      </c>
      <c r="V1235" s="1" t="s">
        <v>40</v>
      </c>
      <c r="W1235">
        <v>12</v>
      </c>
      <c r="X1235">
        <v>3</v>
      </c>
      <c r="Y1235">
        <v>2</v>
      </c>
      <c r="Z1235">
        <v>80</v>
      </c>
      <c r="AA1235">
        <v>1</v>
      </c>
      <c r="AB1235">
        <v>10</v>
      </c>
      <c r="AC1235">
        <v>2</v>
      </c>
      <c r="AD1235">
        <v>2</v>
      </c>
      <c r="AE1235">
        <v>10</v>
      </c>
      <c r="AF1235">
        <v>0</v>
      </c>
      <c r="AG1235">
        <v>0</v>
      </c>
      <c r="AH1235">
        <v>8</v>
      </c>
      <c r="AI1235">
        <f>IF(tbl_HRData[[#This Row],[Attrition]] = "Yes",1,0)</f>
        <v>0</v>
      </c>
      <c r="AJ1235">
        <f>IF(tbl_HRData[[#This Row],[Attrition]] = "No",1,0)</f>
        <v>1</v>
      </c>
      <c r="AK1235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235" s="1" t="str">
        <f>IF(tbl_HRData[[#This Row],[MonthlyIncome]]&lt;5000,"Low",
IF(tbl_HRData[[#This Row],[MonthlyIncome]]&lt;10000,"Medium",
IF(tbl_HRData[[#This Row],[MonthlyIncome]]&lt;15000,"Upper Medium","High")))</f>
        <v>Low</v>
      </c>
      <c r="AM1235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236" spans="1:39" x14ac:dyDescent="0.35">
      <c r="A1236" s="1">
        <v>1235</v>
      </c>
      <c r="B1236">
        <v>47</v>
      </c>
      <c r="C1236" s="1" t="s">
        <v>40</v>
      </c>
      <c r="D1236" s="1" t="s">
        <v>52</v>
      </c>
      <c r="E1236">
        <v>543</v>
      </c>
      <c r="F1236" s="1" t="s">
        <v>35</v>
      </c>
      <c r="G1236">
        <v>2</v>
      </c>
      <c r="H1236">
        <v>4</v>
      </c>
      <c r="I1236" s="1" t="s">
        <v>56</v>
      </c>
      <c r="J1236">
        <v>1731</v>
      </c>
      <c r="K1236">
        <v>3</v>
      </c>
      <c r="L1236" s="1" t="s">
        <v>43</v>
      </c>
      <c r="M1236">
        <v>87</v>
      </c>
      <c r="N1236">
        <v>3</v>
      </c>
      <c r="O1236">
        <v>2</v>
      </c>
      <c r="P1236" s="1" t="s">
        <v>38</v>
      </c>
      <c r="Q1236">
        <v>2</v>
      </c>
      <c r="R1236" s="1" t="s">
        <v>45</v>
      </c>
      <c r="S1236">
        <v>4978</v>
      </c>
      <c r="T1236">
        <v>3536</v>
      </c>
      <c r="U1236">
        <v>7</v>
      </c>
      <c r="V1236" s="1" t="s">
        <v>40</v>
      </c>
      <c r="W1236">
        <v>11</v>
      </c>
      <c r="X1236">
        <v>3</v>
      </c>
      <c r="Y1236">
        <v>4</v>
      </c>
      <c r="Z1236">
        <v>80</v>
      </c>
      <c r="AA1236">
        <v>1</v>
      </c>
      <c r="AB1236">
        <v>4</v>
      </c>
      <c r="AC1236">
        <v>3</v>
      </c>
      <c r="AD1236">
        <v>1</v>
      </c>
      <c r="AE1236">
        <v>1</v>
      </c>
      <c r="AF1236">
        <v>0</v>
      </c>
      <c r="AG1236">
        <v>0</v>
      </c>
      <c r="AH1236">
        <v>0</v>
      </c>
      <c r="AI1236">
        <f>IF(tbl_HRData[[#This Row],[Attrition]] = "Yes",1,0)</f>
        <v>0</v>
      </c>
      <c r="AJ1236">
        <f>IF(tbl_HRData[[#This Row],[Attrition]] = "No",1,0)</f>
        <v>1</v>
      </c>
      <c r="AK1236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1236" s="1" t="str">
        <f>IF(tbl_HRData[[#This Row],[MonthlyIncome]]&lt;5000,"Low",
IF(tbl_HRData[[#This Row],[MonthlyIncome]]&lt;10000,"Medium",
IF(tbl_HRData[[#This Row],[MonthlyIncome]]&lt;15000,"Upper Medium","High")))</f>
        <v>Low</v>
      </c>
      <c r="AM1236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237" spans="1:39" x14ac:dyDescent="0.35">
      <c r="A1237" s="1">
        <v>1236</v>
      </c>
      <c r="B1237">
        <v>46</v>
      </c>
      <c r="C1237" s="1" t="s">
        <v>40</v>
      </c>
      <c r="D1237" s="1" t="s">
        <v>34</v>
      </c>
      <c r="E1237">
        <v>1277</v>
      </c>
      <c r="F1237" s="1" t="s">
        <v>35</v>
      </c>
      <c r="G1237">
        <v>2</v>
      </c>
      <c r="H1237">
        <v>3</v>
      </c>
      <c r="I1237" s="1" t="s">
        <v>36</v>
      </c>
      <c r="J1237">
        <v>1732</v>
      </c>
      <c r="K1237">
        <v>3</v>
      </c>
      <c r="L1237" s="1" t="s">
        <v>43</v>
      </c>
      <c r="M1237">
        <v>74</v>
      </c>
      <c r="N1237">
        <v>3</v>
      </c>
      <c r="O1237">
        <v>3</v>
      </c>
      <c r="P1237" s="1" t="s">
        <v>38</v>
      </c>
      <c r="Q1237">
        <v>4</v>
      </c>
      <c r="R1237" s="1" t="s">
        <v>49</v>
      </c>
      <c r="S1237">
        <v>10368</v>
      </c>
      <c r="T1237">
        <v>5596</v>
      </c>
      <c r="U1237">
        <v>4</v>
      </c>
      <c r="V1237" s="1" t="s">
        <v>33</v>
      </c>
      <c r="W1237">
        <v>12</v>
      </c>
      <c r="X1237">
        <v>3</v>
      </c>
      <c r="Y1237">
        <v>2</v>
      </c>
      <c r="Z1237">
        <v>80</v>
      </c>
      <c r="AA1237">
        <v>1</v>
      </c>
      <c r="AB1237">
        <v>13</v>
      </c>
      <c r="AC1237">
        <v>5</v>
      </c>
      <c r="AD1237">
        <v>2</v>
      </c>
      <c r="AE1237">
        <v>10</v>
      </c>
      <c r="AF1237">
        <v>6</v>
      </c>
      <c r="AG1237">
        <v>0</v>
      </c>
      <c r="AH1237">
        <v>3</v>
      </c>
      <c r="AI1237">
        <f>IF(tbl_HRData[[#This Row],[Attrition]] = "Yes",1,0)</f>
        <v>0</v>
      </c>
      <c r="AJ1237">
        <f>IF(tbl_HRData[[#This Row],[Attrition]] = "No",1,0)</f>
        <v>1</v>
      </c>
      <c r="AK1237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1237" s="1" t="str">
        <f>IF(tbl_HRData[[#This Row],[MonthlyIncome]]&lt;5000,"Low",
IF(tbl_HRData[[#This Row],[MonthlyIncome]]&lt;10000,"Medium",
IF(tbl_HRData[[#This Row],[MonthlyIncome]]&lt;15000,"Upper Medium","High")))</f>
        <v>Upper Medium</v>
      </c>
      <c r="AM1237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238" spans="1:39" x14ac:dyDescent="0.35">
      <c r="A1238" s="1">
        <v>1237</v>
      </c>
      <c r="B1238">
        <v>36</v>
      </c>
      <c r="C1238" s="1" t="s">
        <v>33</v>
      </c>
      <c r="D1238" s="1" t="s">
        <v>34</v>
      </c>
      <c r="E1238">
        <v>1456</v>
      </c>
      <c r="F1238" s="1" t="s">
        <v>35</v>
      </c>
      <c r="G1238">
        <v>13</v>
      </c>
      <c r="H1238">
        <v>5</v>
      </c>
      <c r="I1238" s="1" t="s">
        <v>56</v>
      </c>
      <c r="J1238">
        <v>1733</v>
      </c>
      <c r="K1238">
        <v>2</v>
      </c>
      <c r="L1238" s="1" t="s">
        <v>43</v>
      </c>
      <c r="M1238">
        <v>96</v>
      </c>
      <c r="N1238">
        <v>2</v>
      </c>
      <c r="O1238">
        <v>2</v>
      </c>
      <c r="P1238" s="1" t="s">
        <v>38</v>
      </c>
      <c r="Q1238">
        <v>1</v>
      </c>
      <c r="R1238" s="1" t="s">
        <v>49</v>
      </c>
      <c r="S1238">
        <v>6134</v>
      </c>
      <c r="T1238">
        <v>8658</v>
      </c>
      <c r="U1238">
        <v>5</v>
      </c>
      <c r="V1238" s="1" t="s">
        <v>33</v>
      </c>
      <c r="W1238">
        <v>13</v>
      </c>
      <c r="X1238">
        <v>3</v>
      </c>
      <c r="Y1238">
        <v>2</v>
      </c>
      <c r="Z1238">
        <v>80</v>
      </c>
      <c r="AA1238">
        <v>3</v>
      </c>
      <c r="AB1238">
        <v>16</v>
      </c>
      <c r="AC1238">
        <v>3</v>
      </c>
      <c r="AD1238">
        <v>3</v>
      </c>
      <c r="AE1238">
        <v>2</v>
      </c>
      <c r="AF1238">
        <v>2</v>
      </c>
      <c r="AG1238">
        <v>2</v>
      </c>
      <c r="AH1238">
        <v>2</v>
      </c>
      <c r="AI1238">
        <f>IF(tbl_HRData[[#This Row],[Attrition]] = "Yes",1,0)</f>
        <v>1</v>
      </c>
      <c r="AJ1238">
        <f>IF(tbl_HRData[[#This Row],[Attrition]] = "No",1,0)</f>
        <v>0</v>
      </c>
      <c r="AK1238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238" s="1" t="str">
        <f>IF(tbl_HRData[[#This Row],[MonthlyIncome]]&lt;5000,"Low",
IF(tbl_HRData[[#This Row],[MonthlyIncome]]&lt;10000,"Medium",
IF(tbl_HRData[[#This Row],[MonthlyIncome]]&lt;15000,"Upper Medium","High")))</f>
        <v>Medium</v>
      </c>
      <c r="AM1238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239" spans="1:39" x14ac:dyDescent="0.35">
      <c r="A1239" s="1">
        <v>1238</v>
      </c>
      <c r="B1239">
        <v>32</v>
      </c>
      <c r="C1239" s="1" t="s">
        <v>33</v>
      </c>
      <c r="D1239" s="1" t="s">
        <v>34</v>
      </c>
      <c r="E1239">
        <v>964</v>
      </c>
      <c r="F1239" s="1" t="s">
        <v>35</v>
      </c>
      <c r="G1239">
        <v>1</v>
      </c>
      <c r="H1239">
        <v>2</v>
      </c>
      <c r="I1239" s="1" t="s">
        <v>36</v>
      </c>
      <c r="J1239">
        <v>1734</v>
      </c>
      <c r="K1239">
        <v>1</v>
      </c>
      <c r="L1239" s="1" t="s">
        <v>43</v>
      </c>
      <c r="M1239">
        <v>34</v>
      </c>
      <c r="N1239">
        <v>1</v>
      </c>
      <c r="O1239">
        <v>2</v>
      </c>
      <c r="P1239" s="1" t="s">
        <v>38</v>
      </c>
      <c r="Q1239">
        <v>2</v>
      </c>
      <c r="R1239" s="1" t="s">
        <v>39</v>
      </c>
      <c r="S1239">
        <v>6735</v>
      </c>
      <c r="T1239">
        <v>12147</v>
      </c>
      <c r="U1239">
        <v>6</v>
      </c>
      <c r="V1239" s="1" t="s">
        <v>40</v>
      </c>
      <c r="W1239">
        <v>15</v>
      </c>
      <c r="X1239">
        <v>3</v>
      </c>
      <c r="Y1239">
        <v>2</v>
      </c>
      <c r="Z1239">
        <v>80</v>
      </c>
      <c r="AA1239">
        <v>0</v>
      </c>
      <c r="AB1239">
        <v>10</v>
      </c>
      <c r="AC1239">
        <v>2</v>
      </c>
      <c r="AD1239">
        <v>3</v>
      </c>
      <c r="AE1239">
        <v>0</v>
      </c>
      <c r="AF1239">
        <v>0</v>
      </c>
      <c r="AG1239">
        <v>0</v>
      </c>
      <c r="AH1239">
        <v>0</v>
      </c>
      <c r="AI1239">
        <f>IF(tbl_HRData[[#This Row],[Attrition]] = "Yes",1,0)</f>
        <v>1</v>
      </c>
      <c r="AJ1239">
        <f>IF(tbl_HRData[[#This Row],[Attrition]] = "No",1,0)</f>
        <v>0</v>
      </c>
      <c r="AK1239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239" s="1" t="str">
        <f>IF(tbl_HRData[[#This Row],[MonthlyIncome]]&lt;5000,"Low",
IF(tbl_HRData[[#This Row],[MonthlyIncome]]&lt;10000,"Medium",
IF(tbl_HRData[[#This Row],[MonthlyIncome]]&lt;15000,"Upper Medium","High")))</f>
        <v>Medium</v>
      </c>
      <c r="AM1239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240" spans="1:39" x14ac:dyDescent="0.35">
      <c r="A1240" s="1">
        <v>1239</v>
      </c>
      <c r="B1240">
        <v>23</v>
      </c>
      <c r="C1240" s="1" t="s">
        <v>40</v>
      </c>
      <c r="D1240" s="1" t="s">
        <v>34</v>
      </c>
      <c r="E1240">
        <v>160</v>
      </c>
      <c r="F1240" s="1" t="s">
        <v>42</v>
      </c>
      <c r="G1240">
        <v>4</v>
      </c>
      <c r="H1240">
        <v>1</v>
      </c>
      <c r="I1240" s="1" t="s">
        <v>48</v>
      </c>
      <c r="J1240">
        <v>1735</v>
      </c>
      <c r="K1240">
        <v>3</v>
      </c>
      <c r="L1240" s="1" t="s">
        <v>37</v>
      </c>
      <c r="M1240">
        <v>51</v>
      </c>
      <c r="N1240">
        <v>3</v>
      </c>
      <c r="O1240">
        <v>1</v>
      </c>
      <c r="P1240" s="1" t="s">
        <v>47</v>
      </c>
      <c r="Q1240">
        <v>2</v>
      </c>
      <c r="R1240" s="1" t="s">
        <v>39</v>
      </c>
      <c r="S1240">
        <v>3295</v>
      </c>
      <c r="T1240">
        <v>12862</v>
      </c>
      <c r="U1240">
        <v>1</v>
      </c>
      <c r="V1240" s="1" t="s">
        <v>40</v>
      </c>
      <c r="W1240">
        <v>13</v>
      </c>
      <c r="X1240">
        <v>3</v>
      </c>
      <c r="Y1240">
        <v>3</v>
      </c>
      <c r="Z1240">
        <v>80</v>
      </c>
      <c r="AA1240">
        <v>0</v>
      </c>
      <c r="AB1240">
        <v>3</v>
      </c>
      <c r="AC1240">
        <v>3</v>
      </c>
      <c r="AD1240">
        <v>1</v>
      </c>
      <c r="AE1240">
        <v>3</v>
      </c>
      <c r="AF1240">
        <v>2</v>
      </c>
      <c r="AG1240">
        <v>1</v>
      </c>
      <c r="AH1240">
        <v>2</v>
      </c>
      <c r="AI1240">
        <f>IF(tbl_HRData[[#This Row],[Attrition]] = "Yes",1,0)</f>
        <v>0</v>
      </c>
      <c r="AJ1240">
        <f>IF(tbl_HRData[[#This Row],[Attrition]] = "No",1,0)</f>
        <v>1</v>
      </c>
      <c r="AK1240" t="str">
        <f>IF(tbl_HRData[[#This Row],[Age]] &lt; 25, "Under 25", IF(tbl_HRData[[#This Row],[Age]] &lt;= 34, "25-34", IF(tbl_HRData[[#This Row],[Age]] &lt;= 44, "35-44", IF(tbl_HRData[[#This Row],[Age]] &lt;= 54, "45-54", "55+"))))</f>
        <v>Under 25</v>
      </c>
      <c r="AL1240" s="1" t="str">
        <f>IF(tbl_HRData[[#This Row],[MonthlyIncome]]&lt;5000,"Low",
IF(tbl_HRData[[#This Row],[MonthlyIncome]]&lt;10000,"Medium",
IF(tbl_HRData[[#This Row],[MonthlyIncome]]&lt;15000,"Upper Medium","High")))</f>
        <v>Low</v>
      </c>
      <c r="AM1240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241" spans="1:39" x14ac:dyDescent="0.35">
      <c r="A1241" s="1">
        <v>1240</v>
      </c>
      <c r="B1241">
        <v>31</v>
      </c>
      <c r="C1241" s="1" t="s">
        <v>40</v>
      </c>
      <c r="D1241" s="1" t="s">
        <v>41</v>
      </c>
      <c r="E1241">
        <v>163</v>
      </c>
      <c r="F1241" s="1" t="s">
        <v>42</v>
      </c>
      <c r="G1241">
        <v>24</v>
      </c>
      <c r="H1241">
        <v>1</v>
      </c>
      <c r="I1241" s="1" t="s">
        <v>57</v>
      </c>
      <c r="J1241">
        <v>1736</v>
      </c>
      <c r="K1241">
        <v>4</v>
      </c>
      <c r="L1241" s="1" t="s">
        <v>37</v>
      </c>
      <c r="M1241">
        <v>30</v>
      </c>
      <c r="N1241">
        <v>3</v>
      </c>
      <c r="O1241">
        <v>2</v>
      </c>
      <c r="P1241" s="1" t="s">
        <v>50</v>
      </c>
      <c r="Q1241">
        <v>4</v>
      </c>
      <c r="R1241" s="1" t="s">
        <v>39</v>
      </c>
      <c r="S1241">
        <v>5238</v>
      </c>
      <c r="T1241">
        <v>6670</v>
      </c>
      <c r="U1241">
        <v>2</v>
      </c>
      <c r="V1241" s="1" t="s">
        <v>40</v>
      </c>
      <c r="W1241">
        <v>20</v>
      </c>
      <c r="X1241">
        <v>4</v>
      </c>
      <c r="Y1241">
        <v>4</v>
      </c>
      <c r="Z1241">
        <v>80</v>
      </c>
      <c r="AA1241">
        <v>0</v>
      </c>
      <c r="AB1241">
        <v>9</v>
      </c>
      <c r="AC1241">
        <v>3</v>
      </c>
      <c r="AD1241">
        <v>2</v>
      </c>
      <c r="AE1241">
        <v>5</v>
      </c>
      <c r="AF1241">
        <v>4</v>
      </c>
      <c r="AG1241">
        <v>1</v>
      </c>
      <c r="AH1241">
        <v>4</v>
      </c>
      <c r="AI1241">
        <f>IF(tbl_HRData[[#This Row],[Attrition]] = "Yes",1,0)</f>
        <v>0</v>
      </c>
      <c r="AJ1241">
        <f>IF(tbl_HRData[[#This Row],[Attrition]] = "No",1,0)</f>
        <v>1</v>
      </c>
      <c r="AK1241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241" s="1" t="str">
        <f>IF(tbl_HRData[[#This Row],[MonthlyIncome]]&lt;5000,"Low",
IF(tbl_HRData[[#This Row],[MonthlyIncome]]&lt;10000,"Medium",
IF(tbl_HRData[[#This Row],[MonthlyIncome]]&lt;15000,"Upper Medium","High")))</f>
        <v>Medium</v>
      </c>
      <c r="AM1241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242" spans="1:39" x14ac:dyDescent="0.35">
      <c r="A1242" s="1">
        <v>1241</v>
      </c>
      <c r="B1242">
        <v>39</v>
      </c>
      <c r="C1242" s="1" t="s">
        <v>40</v>
      </c>
      <c r="D1242" s="1" t="s">
        <v>52</v>
      </c>
      <c r="E1242">
        <v>792</v>
      </c>
      <c r="F1242" s="1" t="s">
        <v>42</v>
      </c>
      <c r="G1242">
        <v>1</v>
      </c>
      <c r="H1242">
        <v>3</v>
      </c>
      <c r="I1242" s="1" t="s">
        <v>36</v>
      </c>
      <c r="J1242">
        <v>1737</v>
      </c>
      <c r="K1242">
        <v>4</v>
      </c>
      <c r="L1242" s="1" t="s">
        <v>43</v>
      </c>
      <c r="M1242">
        <v>77</v>
      </c>
      <c r="N1242">
        <v>3</v>
      </c>
      <c r="O1242">
        <v>2</v>
      </c>
      <c r="P1242" s="1" t="s">
        <v>47</v>
      </c>
      <c r="Q1242">
        <v>4</v>
      </c>
      <c r="R1242" s="1" t="s">
        <v>45</v>
      </c>
      <c r="S1242">
        <v>6472</v>
      </c>
      <c r="T1242">
        <v>8989</v>
      </c>
      <c r="U1242">
        <v>1</v>
      </c>
      <c r="V1242" s="1" t="s">
        <v>33</v>
      </c>
      <c r="W1242">
        <v>15</v>
      </c>
      <c r="X1242">
        <v>3</v>
      </c>
      <c r="Y1242">
        <v>4</v>
      </c>
      <c r="Z1242">
        <v>80</v>
      </c>
      <c r="AA1242">
        <v>1</v>
      </c>
      <c r="AB1242">
        <v>9</v>
      </c>
      <c r="AC1242">
        <v>2</v>
      </c>
      <c r="AD1242">
        <v>3</v>
      </c>
      <c r="AE1242">
        <v>9</v>
      </c>
      <c r="AF1242">
        <v>8</v>
      </c>
      <c r="AG1242">
        <v>5</v>
      </c>
      <c r="AH1242">
        <v>8</v>
      </c>
      <c r="AI1242">
        <f>IF(tbl_HRData[[#This Row],[Attrition]] = "Yes",1,0)</f>
        <v>0</v>
      </c>
      <c r="AJ1242">
        <f>IF(tbl_HRData[[#This Row],[Attrition]] = "No",1,0)</f>
        <v>1</v>
      </c>
      <c r="AK1242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242" s="1" t="str">
        <f>IF(tbl_HRData[[#This Row],[MonthlyIncome]]&lt;5000,"Low",
IF(tbl_HRData[[#This Row],[MonthlyIncome]]&lt;10000,"Medium",
IF(tbl_HRData[[#This Row],[MonthlyIncome]]&lt;15000,"Upper Medium","High")))</f>
        <v>Medium</v>
      </c>
      <c r="AM1242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243" spans="1:39" x14ac:dyDescent="0.35">
      <c r="A1243" s="1">
        <v>1242</v>
      </c>
      <c r="B1243">
        <v>32</v>
      </c>
      <c r="C1243" s="1" t="s">
        <v>40</v>
      </c>
      <c r="D1243" s="1" t="s">
        <v>34</v>
      </c>
      <c r="E1243">
        <v>371</v>
      </c>
      <c r="F1243" s="1" t="s">
        <v>35</v>
      </c>
      <c r="G1243">
        <v>19</v>
      </c>
      <c r="H1243">
        <v>3</v>
      </c>
      <c r="I1243" s="1" t="s">
        <v>36</v>
      </c>
      <c r="J1243">
        <v>1739</v>
      </c>
      <c r="K1243">
        <v>4</v>
      </c>
      <c r="L1243" s="1" t="s">
        <v>43</v>
      </c>
      <c r="M1243">
        <v>80</v>
      </c>
      <c r="N1243">
        <v>1</v>
      </c>
      <c r="O1243">
        <v>3</v>
      </c>
      <c r="P1243" s="1" t="s">
        <v>38</v>
      </c>
      <c r="Q1243">
        <v>3</v>
      </c>
      <c r="R1243" s="1" t="s">
        <v>45</v>
      </c>
      <c r="S1243">
        <v>9610</v>
      </c>
      <c r="T1243">
        <v>3840</v>
      </c>
      <c r="U1243">
        <v>3</v>
      </c>
      <c r="V1243" s="1" t="s">
        <v>40</v>
      </c>
      <c r="W1243">
        <v>13</v>
      </c>
      <c r="X1243">
        <v>3</v>
      </c>
      <c r="Y1243">
        <v>3</v>
      </c>
      <c r="Z1243">
        <v>80</v>
      </c>
      <c r="AA1243">
        <v>1</v>
      </c>
      <c r="AB1243">
        <v>10</v>
      </c>
      <c r="AC1243">
        <v>2</v>
      </c>
      <c r="AD1243">
        <v>1</v>
      </c>
      <c r="AE1243">
        <v>4</v>
      </c>
      <c r="AF1243">
        <v>3</v>
      </c>
      <c r="AG1243">
        <v>0</v>
      </c>
      <c r="AH1243">
        <v>2</v>
      </c>
      <c r="AI1243">
        <f>IF(tbl_HRData[[#This Row],[Attrition]] = "Yes",1,0)</f>
        <v>0</v>
      </c>
      <c r="AJ1243">
        <f>IF(tbl_HRData[[#This Row],[Attrition]] = "No",1,0)</f>
        <v>1</v>
      </c>
      <c r="AK1243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243" s="1" t="str">
        <f>IF(tbl_HRData[[#This Row],[MonthlyIncome]]&lt;5000,"Low",
IF(tbl_HRData[[#This Row],[MonthlyIncome]]&lt;10000,"Medium",
IF(tbl_HRData[[#This Row],[MonthlyIncome]]&lt;15000,"Upper Medium","High")))</f>
        <v>Medium</v>
      </c>
      <c r="AM1243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244" spans="1:39" x14ac:dyDescent="0.35">
      <c r="A1244" s="1">
        <v>1243</v>
      </c>
      <c r="B1244">
        <v>40</v>
      </c>
      <c r="C1244" s="1" t="s">
        <v>40</v>
      </c>
      <c r="D1244" s="1" t="s">
        <v>34</v>
      </c>
      <c r="E1244">
        <v>611</v>
      </c>
      <c r="F1244" s="1" t="s">
        <v>35</v>
      </c>
      <c r="G1244">
        <v>7</v>
      </c>
      <c r="H1244">
        <v>4</v>
      </c>
      <c r="I1244" s="1" t="s">
        <v>48</v>
      </c>
      <c r="J1244">
        <v>1740</v>
      </c>
      <c r="K1244">
        <v>2</v>
      </c>
      <c r="L1244" s="1" t="s">
        <v>43</v>
      </c>
      <c r="M1244">
        <v>88</v>
      </c>
      <c r="N1244">
        <v>3</v>
      </c>
      <c r="O1244">
        <v>5</v>
      </c>
      <c r="P1244" s="1" t="s">
        <v>53</v>
      </c>
      <c r="Q1244">
        <v>2</v>
      </c>
      <c r="R1244" s="1" t="s">
        <v>39</v>
      </c>
      <c r="S1244">
        <v>19833</v>
      </c>
      <c r="T1244">
        <v>4349</v>
      </c>
      <c r="U1244">
        <v>1</v>
      </c>
      <c r="V1244" s="1" t="s">
        <v>40</v>
      </c>
      <c r="W1244">
        <v>14</v>
      </c>
      <c r="X1244">
        <v>3</v>
      </c>
      <c r="Y1244">
        <v>2</v>
      </c>
      <c r="Z1244">
        <v>80</v>
      </c>
      <c r="AA1244">
        <v>0</v>
      </c>
      <c r="AB1244">
        <v>21</v>
      </c>
      <c r="AC1244">
        <v>3</v>
      </c>
      <c r="AD1244">
        <v>2</v>
      </c>
      <c r="AE1244">
        <v>21</v>
      </c>
      <c r="AF1244">
        <v>8</v>
      </c>
      <c r="AG1244">
        <v>12</v>
      </c>
      <c r="AH1244">
        <v>8</v>
      </c>
      <c r="AI1244">
        <f>IF(tbl_HRData[[#This Row],[Attrition]] = "Yes",1,0)</f>
        <v>0</v>
      </c>
      <c r="AJ1244">
        <f>IF(tbl_HRData[[#This Row],[Attrition]] = "No",1,0)</f>
        <v>1</v>
      </c>
      <c r="AK1244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244" s="1" t="str">
        <f>IF(tbl_HRData[[#This Row],[MonthlyIncome]]&lt;5000,"Low",
IF(tbl_HRData[[#This Row],[MonthlyIncome]]&lt;10000,"Medium",
IF(tbl_HRData[[#This Row],[MonthlyIncome]]&lt;15000,"Upper Medium","High")))</f>
        <v>High</v>
      </c>
      <c r="AM1244" s="1" t="str">
        <f>IF(tbl_HRData[[#This Row],[YearsAtCompany]]&lt;=5,"0-5 Years",
IF(tbl_HRData[[#This Row],[YearsAtCompany]]&lt;=10,"6-10 Years",
IF(tbl_HRData[[#This Row],[YearsAtCompany]]&lt;=20,"11-20 Years","21+ Years")))</f>
        <v>21+ Years</v>
      </c>
    </row>
    <row r="1245" spans="1:39" x14ac:dyDescent="0.35">
      <c r="A1245" s="1">
        <v>1244</v>
      </c>
      <c r="B1245">
        <v>45</v>
      </c>
      <c r="C1245" s="1" t="s">
        <v>40</v>
      </c>
      <c r="D1245" s="1" t="s">
        <v>34</v>
      </c>
      <c r="E1245">
        <v>176</v>
      </c>
      <c r="F1245" s="1" t="s">
        <v>58</v>
      </c>
      <c r="G1245">
        <v>4</v>
      </c>
      <c r="H1245">
        <v>3</v>
      </c>
      <c r="I1245" s="1" t="s">
        <v>36</v>
      </c>
      <c r="J1245">
        <v>1744</v>
      </c>
      <c r="K1245">
        <v>3</v>
      </c>
      <c r="L1245" s="1" t="s">
        <v>37</v>
      </c>
      <c r="M1245">
        <v>56</v>
      </c>
      <c r="N1245">
        <v>1</v>
      </c>
      <c r="O1245">
        <v>3</v>
      </c>
      <c r="P1245" s="1" t="s">
        <v>58</v>
      </c>
      <c r="Q1245">
        <v>3</v>
      </c>
      <c r="R1245" s="1" t="s">
        <v>45</v>
      </c>
      <c r="S1245">
        <v>9756</v>
      </c>
      <c r="T1245">
        <v>6595</v>
      </c>
      <c r="U1245">
        <v>4</v>
      </c>
      <c r="V1245" s="1" t="s">
        <v>40</v>
      </c>
      <c r="W1245">
        <v>21</v>
      </c>
      <c r="X1245">
        <v>4</v>
      </c>
      <c r="Y1245">
        <v>3</v>
      </c>
      <c r="Z1245">
        <v>80</v>
      </c>
      <c r="AA1245">
        <v>2</v>
      </c>
      <c r="AB1245">
        <v>9</v>
      </c>
      <c r="AC1245">
        <v>2</v>
      </c>
      <c r="AD1245">
        <v>4</v>
      </c>
      <c r="AE1245">
        <v>5</v>
      </c>
      <c r="AF1245">
        <v>0</v>
      </c>
      <c r="AG1245">
        <v>0</v>
      </c>
      <c r="AH1245">
        <v>3</v>
      </c>
      <c r="AI1245">
        <f>IF(tbl_HRData[[#This Row],[Attrition]] = "Yes",1,0)</f>
        <v>0</v>
      </c>
      <c r="AJ1245">
        <f>IF(tbl_HRData[[#This Row],[Attrition]] = "No",1,0)</f>
        <v>1</v>
      </c>
      <c r="AK1245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1245" s="1" t="str">
        <f>IF(tbl_HRData[[#This Row],[MonthlyIncome]]&lt;5000,"Low",
IF(tbl_HRData[[#This Row],[MonthlyIncome]]&lt;10000,"Medium",
IF(tbl_HRData[[#This Row],[MonthlyIncome]]&lt;15000,"Upper Medium","High")))</f>
        <v>Medium</v>
      </c>
      <c r="AM1245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246" spans="1:39" x14ac:dyDescent="0.35">
      <c r="A1246" s="1">
        <v>1245</v>
      </c>
      <c r="B1246">
        <v>30</v>
      </c>
      <c r="C1246" s="1" t="s">
        <v>40</v>
      </c>
      <c r="D1246" s="1" t="s">
        <v>41</v>
      </c>
      <c r="E1246">
        <v>1312</v>
      </c>
      <c r="F1246" s="1" t="s">
        <v>42</v>
      </c>
      <c r="G1246">
        <v>2</v>
      </c>
      <c r="H1246">
        <v>4</v>
      </c>
      <c r="I1246" s="1" t="s">
        <v>57</v>
      </c>
      <c r="J1246">
        <v>1745</v>
      </c>
      <c r="K1246">
        <v>4</v>
      </c>
      <c r="L1246" s="1" t="s">
        <v>37</v>
      </c>
      <c r="M1246">
        <v>78</v>
      </c>
      <c r="N1246">
        <v>2</v>
      </c>
      <c r="O1246">
        <v>1</v>
      </c>
      <c r="P1246" s="1" t="s">
        <v>44</v>
      </c>
      <c r="Q1246">
        <v>1</v>
      </c>
      <c r="R1246" s="1" t="s">
        <v>39</v>
      </c>
      <c r="S1246">
        <v>4968</v>
      </c>
      <c r="T1246">
        <v>26427</v>
      </c>
      <c r="U1246">
        <v>0</v>
      </c>
      <c r="V1246" s="1" t="s">
        <v>40</v>
      </c>
      <c r="W1246">
        <v>16</v>
      </c>
      <c r="X1246">
        <v>3</v>
      </c>
      <c r="Y1246">
        <v>4</v>
      </c>
      <c r="Z1246">
        <v>80</v>
      </c>
      <c r="AA1246">
        <v>0</v>
      </c>
      <c r="AB1246">
        <v>10</v>
      </c>
      <c r="AC1246">
        <v>2</v>
      </c>
      <c r="AD1246">
        <v>3</v>
      </c>
      <c r="AE1246">
        <v>9</v>
      </c>
      <c r="AF1246">
        <v>7</v>
      </c>
      <c r="AG1246">
        <v>0</v>
      </c>
      <c r="AH1246">
        <v>7</v>
      </c>
      <c r="AI1246">
        <f>IF(tbl_HRData[[#This Row],[Attrition]] = "Yes",1,0)</f>
        <v>0</v>
      </c>
      <c r="AJ1246">
        <f>IF(tbl_HRData[[#This Row],[Attrition]] = "No",1,0)</f>
        <v>1</v>
      </c>
      <c r="AK1246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246" s="1" t="str">
        <f>IF(tbl_HRData[[#This Row],[MonthlyIncome]]&lt;5000,"Low",
IF(tbl_HRData[[#This Row],[MonthlyIncome]]&lt;10000,"Medium",
IF(tbl_HRData[[#This Row],[MonthlyIncome]]&lt;15000,"Upper Medium","High")))</f>
        <v>Low</v>
      </c>
      <c r="AM1246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247" spans="1:39" x14ac:dyDescent="0.35">
      <c r="A1247" s="1">
        <v>1246</v>
      </c>
      <c r="B1247">
        <v>24</v>
      </c>
      <c r="C1247" s="1" t="s">
        <v>40</v>
      </c>
      <c r="D1247" s="1" t="s">
        <v>41</v>
      </c>
      <c r="E1247">
        <v>897</v>
      </c>
      <c r="F1247" s="1" t="s">
        <v>58</v>
      </c>
      <c r="G1247">
        <v>10</v>
      </c>
      <c r="H1247">
        <v>3</v>
      </c>
      <c r="I1247" s="1" t="s">
        <v>48</v>
      </c>
      <c r="J1247">
        <v>1746</v>
      </c>
      <c r="K1247">
        <v>1</v>
      </c>
      <c r="L1247" s="1" t="s">
        <v>43</v>
      </c>
      <c r="M1247">
        <v>59</v>
      </c>
      <c r="N1247">
        <v>3</v>
      </c>
      <c r="O1247">
        <v>1</v>
      </c>
      <c r="P1247" s="1" t="s">
        <v>58</v>
      </c>
      <c r="Q1247">
        <v>4</v>
      </c>
      <c r="R1247" s="1" t="s">
        <v>45</v>
      </c>
      <c r="S1247">
        <v>2145</v>
      </c>
      <c r="T1247">
        <v>2097</v>
      </c>
      <c r="U1247">
        <v>0</v>
      </c>
      <c r="V1247" s="1" t="s">
        <v>40</v>
      </c>
      <c r="W1247">
        <v>14</v>
      </c>
      <c r="X1247">
        <v>3</v>
      </c>
      <c r="Y1247">
        <v>4</v>
      </c>
      <c r="Z1247">
        <v>80</v>
      </c>
      <c r="AA1247">
        <v>1</v>
      </c>
      <c r="AB1247">
        <v>3</v>
      </c>
      <c r="AC1247">
        <v>2</v>
      </c>
      <c r="AD1247">
        <v>3</v>
      </c>
      <c r="AE1247">
        <v>2</v>
      </c>
      <c r="AF1247">
        <v>2</v>
      </c>
      <c r="AG1247">
        <v>2</v>
      </c>
      <c r="AH1247">
        <v>1</v>
      </c>
      <c r="AI1247">
        <f>IF(tbl_HRData[[#This Row],[Attrition]] = "Yes",1,0)</f>
        <v>0</v>
      </c>
      <c r="AJ1247">
        <f>IF(tbl_HRData[[#This Row],[Attrition]] = "No",1,0)</f>
        <v>1</v>
      </c>
      <c r="AK1247" t="str">
        <f>IF(tbl_HRData[[#This Row],[Age]] &lt; 25, "Under 25", IF(tbl_HRData[[#This Row],[Age]] &lt;= 34, "25-34", IF(tbl_HRData[[#This Row],[Age]] &lt;= 44, "35-44", IF(tbl_HRData[[#This Row],[Age]] &lt;= 54, "45-54", "55+"))))</f>
        <v>Under 25</v>
      </c>
      <c r="AL1247" s="1" t="str">
        <f>IF(tbl_HRData[[#This Row],[MonthlyIncome]]&lt;5000,"Low",
IF(tbl_HRData[[#This Row],[MonthlyIncome]]&lt;10000,"Medium",
IF(tbl_HRData[[#This Row],[MonthlyIncome]]&lt;15000,"Upper Medium","High")))</f>
        <v>Low</v>
      </c>
      <c r="AM1247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248" spans="1:39" x14ac:dyDescent="0.35">
      <c r="A1248" s="1">
        <v>1247</v>
      </c>
      <c r="B1248">
        <v>30</v>
      </c>
      <c r="C1248" s="1" t="s">
        <v>33</v>
      </c>
      <c r="D1248" s="1" t="s">
        <v>41</v>
      </c>
      <c r="E1248">
        <v>600</v>
      </c>
      <c r="F1248" s="1" t="s">
        <v>58</v>
      </c>
      <c r="G1248">
        <v>8</v>
      </c>
      <c r="H1248">
        <v>3</v>
      </c>
      <c r="I1248" s="1" t="s">
        <v>58</v>
      </c>
      <c r="J1248">
        <v>1747</v>
      </c>
      <c r="K1248">
        <v>3</v>
      </c>
      <c r="L1248" s="1" t="s">
        <v>37</v>
      </c>
      <c r="M1248">
        <v>66</v>
      </c>
      <c r="N1248">
        <v>2</v>
      </c>
      <c r="O1248">
        <v>1</v>
      </c>
      <c r="P1248" s="1" t="s">
        <v>58</v>
      </c>
      <c r="Q1248">
        <v>4</v>
      </c>
      <c r="R1248" s="1" t="s">
        <v>49</v>
      </c>
      <c r="S1248">
        <v>2180</v>
      </c>
      <c r="T1248">
        <v>9732</v>
      </c>
      <c r="U1248">
        <v>6</v>
      </c>
      <c r="V1248" s="1" t="s">
        <v>40</v>
      </c>
      <c r="W1248">
        <v>11</v>
      </c>
      <c r="X1248">
        <v>3</v>
      </c>
      <c r="Y1248">
        <v>3</v>
      </c>
      <c r="Z1248">
        <v>80</v>
      </c>
      <c r="AA1248">
        <v>1</v>
      </c>
      <c r="AB1248">
        <v>6</v>
      </c>
      <c r="AC1248">
        <v>0</v>
      </c>
      <c r="AD1248">
        <v>2</v>
      </c>
      <c r="AE1248">
        <v>4</v>
      </c>
      <c r="AF1248">
        <v>2</v>
      </c>
      <c r="AG1248">
        <v>1</v>
      </c>
      <c r="AH1248">
        <v>2</v>
      </c>
      <c r="AI1248">
        <f>IF(tbl_HRData[[#This Row],[Attrition]] = "Yes",1,0)</f>
        <v>1</v>
      </c>
      <c r="AJ1248">
        <f>IF(tbl_HRData[[#This Row],[Attrition]] = "No",1,0)</f>
        <v>0</v>
      </c>
      <c r="AK1248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248" s="1" t="str">
        <f>IF(tbl_HRData[[#This Row],[MonthlyIncome]]&lt;5000,"Low",
IF(tbl_HRData[[#This Row],[MonthlyIncome]]&lt;10000,"Medium",
IF(tbl_HRData[[#This Row],[MonthlyIncome]]&lt;15000,"Upper Medium","High")))</f>
        <v>Low</v>
      </c>
      <c r="AM1248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249" spans="1:39" x14ac:dyDescent="0.35">
      <c r="A1249" s="1">
        <v>1248</v>
      </c>
      <c r="B1249">
        <v>31</v>
      </c>
      <c r="C1249" s="1" t="s">
        <v>40</v>
      </c>
      <c r="D1249" s="1" t="s">
        <v>34</v>
      </c>
      <c r="E1249">
        <v>1003</v>
      </c>
      <c r="F1249" s="1" t="s">
        <v>35</v>
      </c>
      <c r="G1249">
        <v>5</v>
      </c>
      <c r="H1249">
        <v>3</v>
      </c>
      <c r="I1249" s="1" t="s">
        <v>57</v>
      </c>
      <c r="J1249">
        <v>1749</v>
      </c>
      <c r="K1249">
        <v>1</v>
      </c>
      <c r="L1249" s="1" t="s">
        <v>43</v>
      </c>
      <c r="M1249">
        <v>51</v>
      </c>
      <c r="N1249">
        <v>3</v>
      </c>
      <c r="O1249">
        <v>2</v>
      </c>
      <c r="P1249" s="1" t="s">
        <v>38</v>
      </c>
      <c r="Q1249">
        <v>3</v>
      </c>
      <c r="R1249" s="1" t="s">
        <v>45</v>
      </c>
      <c r="S1249">
        <v>8346</v>
      </c>
      <c r="T1249">
        <v>20943</v>
      </c>
      <c r="U1249">
        <v>1</v>
      </c>
      <c r="V1249" s="1" t="s">
        <v>40</v>
      </c>
      <c r="W1249">
        <v>19</v>
      </c>
      <c r="X1249">
        <v>3</v>
      </c>
      <c r="Y1249">
        <v>3</v>
      </c>
      <c r="Z1249">
        <v>80</v>
      </c>
      <c r="AA1249">
        <v>1</v>
      </c>
      <c r="AB1249">
        <v>6</v>
      </c>
      <c r="AC1249">
        <v>3</v>
      </c>
      <c r="AD1249">
        <v>3</v>
      </c>
      <c r="AE1249">
        <v>5</v>
      </c>
      <c r="AF1249">
        <v>2</v>
      </c>
      <c r="AG1249">
        <v>0</v>
      </c>
      <c r="AH1249">
        <v>2</v>
      </c>
      <c r="AI1249">
        <f>IF(tbl_HRData[[#This Row],[Attrition]] = "Yes",1,0)</f>
        <v>0</v>
      </c>
      <c r="AJ1249">
        <f>IF(tbl_HRData[[#This Row],[Attrition]] = "No",1,0)</f>
        <v>1</v>
      </c>
      <c r="AK1249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249" s="1" t="str">
        <f>IF(tbl_HRData[[#This Row],[MonthlyIncome]]&lt;5000,"Low",
IF(tbl_HRData[[#This Row],[MonthlyIncome]]&lt;10000,"Medium",
IF(tbl_HRData[[#This Row],[MonthlyIncome]]&lt;15000,"Upper Medium","High")))</f>
        <v>Medium</v>
      </c>
      <c r="AM1249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250" spans="1:39" x14ac:dyDescent="0.35">
      <c r="A1250" s="1">
        <v>1249</v>
      </c>
      <c r="B1250">
        <v>27</v>
      </c>
      <c r="C1250" s="1" t="s">
        <v>40</v>
      </c>
      <c r="D1250" s="1" t="s">
        <v>34</v>
      </c>
      <c r="E1250">
        <v>1054</v>
      </c>
      <c r="F1250" s="1" t="s">
        <v>42</v>
      </c>
      <c r="G1250">
        <v>8</v>
      </c>
      <c r="H1250">
        <v>3</v>
      </c>
      <c r="I1250" s="1" t="s">
        <v>48</v>
      </c>
      <c r="J1250">
        <v>1751</v>
      </c>
      <c r="K1250">
        <v>3</v>
      </c>
      <c r="L1250" s="1" t="s">
        <v>37</v>
      </c>
      <c r="M1250">
        <v>67</v>
      </c>
      <c r="N1250">
        <v>3</v>
      </c>
      <c r="O1250">
        <v>1</v>
      </c>
      <c r="P1250" s="1" t="s">
        <v>44</v>
      </c>
      <c r="Q1250">
        <v>4</v>
      </c>
      <c r="R1250" s="1" t="s">
        <v>39</v>
      </c>
      <c r="S1250">
        <v>3445</v>
      </c>
      <c r="T1250">
        <v>6152</v>
      </c>
      <c r="U1250">
        <v>1</v>
      </c>
      <c r="V1250" s="1" t="s">
        <v>40</v>
      </c>
      <c r="W1250">
        <v>11</v>
      </c>
      <c r="X1250">
        <v>3</v>
      </c>
      <c r="Y1250">
        <v>3</v>
      </c>
      <c r="Z1250">
        <v>80</v>
      </c>
      <c r="AA1250">
        <v>0</v>
      </c>
      <c r="AB1250">
        <v>6</v>
      </c>
      <c r="AC1250">
        <v>5</v>
      </c>
      <c r="AD1250">
        <v>2</v>
      </c>
      <c r="AE1250">
        <v>6</v>
      </c>
      <c r="AF1250">
        <v>2</v>
      </c>
      <c r="AG1250">
        <v>1</v>
      </c>
      <c r="AH1250">
        <v>4</v>
      </c>
      <c r="AI1250">
        <f>IF(tbl_HRData[[#This Row],[Attrition]] = "Yes",1,0)</f>
        <v>0</v>
      </c>
      <c r="AJ1250">
        <f>IF(tbl_HRData[[#This Row],[Attrition]] = "No",1,0)</f>
        <v>1</v>
      </c>
      <c r="AK1250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250" s="1" t="str">
        <f>IF(tbl_HRData[[#This Row],[MonthlyIncome]]&lt;5000,"Low",
IF(tbl_HRData[[#This Row],[MonthlyIncome]]&lt;10000,"Medium",
IF(tbl_HRData[[#This Row],[MonthlyIncome]]&lt;15000,"Upper Medium","High")))</f>
        <v>Low</v>
      </c>
      <c r="AM1250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251" spans="1:39" x14ac:dyDescent="0.35">
      <c r="A1251" s="1">
        <v>1250</v>
      </c>
      <c r="B1251">
        <v>29</v>
      </c>
      <c r="C1251" s="1" t="s">
        <v>33</v>
      </c>
      <c r="D1251" s="1" t="s">
        <v>34</v>
      </c>
      <c r="E1251">
        <v>428</v>
      </c>
      <c r="F1251" s="1" t="s">
        <v>35</v>
      </c>
      <c r="G1251">
        <v>9</v>
      </c>
      <c r="H1251">
        <v>3</v>
      </c>
      <c r="I1251" s="1" t="s">
        <v>56</v>
      </c>
      <c r="J1251">
        <v>1752</v>
      </c>
      <c r="K1251">
        <v>2</v>
      </c>
      <c r="L1251" s="1" t="s">
        <v>37</v>
      </c>
      <c r="M1251">
        <v>52</v>
      </c>
      <c r="N1251">
        <v>1</v>
      </c>
      <c r="O1251">
        <v>1</v>
      </c>
      <c r="P1251" s="1" t="s">
        <v>54</v>
      </c>
      <c r="Q1251">
        <v>2</v>
      </c>
      <c r="R1251" s="1" t="s">
        <v>39</v>
      </c>
      <c r="S1251">
        <v>2760</v>
      </c>
      <c r="T1251">
        <v>14630</v>
      </c>
      <c r="U1251">
        <v>1</v>
      </c>
      <c r="V1251" s="1" t="s">
        <v>40</v>
      </c>
      <c r="W1251">
        <v>13</v>
      </c>
      <c r="X1251">
        <v>3</v>
      </c>
      <c r="Y1251">
        <v>3</v>
      </c>
      <c r="Z1251">
        <v>80</v>
      </c>
      <c r="AA1251">
        <v>0</v>
      </c>
      <c r="AB1251">
        <v>2</v>
      </c>
      <c r="AC1251">
        <v>3</v>
      </c>
      <c r="AD1251">
        <v>3</v>
      </c>
      <c r="AE1251">
        <v>2</v>
      </c>
      <c r="AF1251">
        <v>2</v>
      </c>
      <c r="AG1251">
        <v>2</v>
      </c>
      <c r="AH1251">
        <v>2</v>
      </c>
      <c r="AI1251">
        <f>IF(tbl_HRData[[#This Row],[Attrition]] = "Yes",1,0)</f>
        <v>1</v>
      </c>
      <c r="AJ1251">
        <f>IF(tbl_HRData[[#This Row],[Attrition]] = "No",1,0)</f>
        <v>0</v>
      </c>
      <c r="AK1251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251" s="1" t="str">
        <f>IF(tbl_HRData[[#This Row],[MonthlyIncome]]&lt;5000,"Low",
IF(tbl_HRData[[#This Row],[MonthlyIncome]]&lt;10000,"Medium",
IF(tbl_HRData[[#This Row],[MonthlyIncome]]&lt;15000,"Upper Medium","High")))</f>
        <v>Low</v>
      </c>
      <c r="AM1251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252" spans="1:39" x14ac:dyDescent="0.35">
      <c r="A1252" s="1">
        <v>1251</v>
      </c>
      <c r="B1252">
        <v>29</v>
      </c>
      <c r="C1252" s="1" t="s">
        <v>40</v>
      </c>
      <c r="D1252" s="1" t="s">
        <v>41</v>
      </c>
      <c r="E1252">
        <v>461</v>
      </c>
      <c r="F1252" s="1" t="s">
        <v>42</v>
      </c>
      <c r="G1252">
        <v>1</v>
      </c>
      <c r="H1252">
        <v>3</v>
      </c>
      <c r="I1252" s="1" t="s">
        <v>36</v>
      </c>
      <c r="J1252">
        <v>1753</v>
      </c>
      <c r="K1252">
        <v>4</v>
      </c>
      <c r="L1252" s="1" t="s">
        <v>43</v>
      </c>
      <c r="M1252">
        <v>70</v>
      </c>
      <c r="N1252">
        <v>4</v>
      </c>
      <c r="O1252">
        <v>2</v>
      </c>
      <c r="P1252" s="1" t="s">
        <v>51</v>
      </c>
      <c r="Q1252">
        <v>3</v>
      </c>
      <c r="R1252" s="1" t="s">
        <v>39</v>
      </c>
      <c r="S1252">
        <v>6294</v>
      </c>
      <c r="T1252">
        <v>23060</v>
      </c>
      <c r="U1252">
        <v>8</v>
      </c>
      <c r="V1252" s="1" t="s">
        <v>33</v>
      </c>
      <c r="W1252">
        <v>12</v>
      </c>
      <c r="X1252">
        <v>3</v>
      </c>
      <c r="Y1252">
        <v>4</v>
      </c>
      <c r="Z1252">
        <v>80</v>
      </c>
      <c r="AA1252">
        <v>0</v>
      </c>
      <c r="AB1252">
        <v>10</v>
      </c>
      <c r="AC1252">
        <v>5</v>
      </c>
      <c r="AD1252">
        <v>4</v>
      </c>
      <c r="AE1252">
        <v>3</v>
      </c>
      <c r="AF1252">
        <v>2</v>
      </c>
      <c r="AG1252">
        <v>0</v>
      </c>
      <c r="AH1252">
        <v>2</v>
      </c>
      <c r="AI1252">
        <f>IF(tbl_HRData[[#This Row],[Attrition]] = "Yes",1,0)</f>
        <v>0</v>
      </c>
      <c r="AJ1252">
        <f>IF(tbl_HRData[[#This Row],[Attrition]] = "No",1,0)</f>
        <v>1</v>
      </c>
      <c r="AK1252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252" s="1" t="str">
        <f>IF(tbl_HRData[[#This Row],[MonthlyIncome]]&lt;5000,"Low",
IF(tbl_HRData[[#This Row],[MonthlyIncome]]&lt;10000,"Medium",
IF(tbl_HRData[[#This Row],[MonthlyIncome]]&lt;15000,"Upper Medium","High")))</f>
        <v>Medium</v>
      </c>
      <c r="AM1252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253" spans="1:39" x14ac:dyDescent="0.35">
      <c r="A1253" s="1">
        <v>1252</v>
      </c>
      <c r="B1253">
        <v>30</v>
      </c>
      <c r="C1253" s="1" t="s">
        <v>40</v>
      </c>
      <c r="D1253" s="1" t="s">
        <v>34</v>
      </c>
      <c r="E1253">
        <v>979</v>
      </c>
      <c r="F1253" s="1" t="s">
        <v>35</v>
      </c>
      <c r="G1253">
        <v>15</v>
      </c>
      <c r="H1253">
        <v>2</v>
      </c>
      <c r="I1253" s="1" t="s">
        <v>56</v>
      </c>
      <c r="J1253">
        <v>1754</v>
      </c>
      <c r="K1253">
        <v>3</v>
      </c>
      <c r="L1253" s="1" t="s">
        <v>43</v>
      </c>
      <c r="M1253">
        <v>94</v>
      </c>
      <c r="N1253">
        <v>2</v>
      </c>
      <c r="O1253">
        <v>3</v>
      </c>
      <c r="P1253" s="1" t="s">
        <v>38</v>
      </c>
      <c r="Q1253">
        <v>1</v>
      </c>
      <c r="R1253" s="1" t="s">
        <v>49</v>
      </c>
      <c r="S1253">
        <v>7140</v>
      </c>
      <c r="T1253">
        <v>3088</v>
      </c>
      <c r="U1253">
        <v>2</v>
      </c>
      <c r="V1253" s="1" t="s">
        <v>40</v>
      </c>
      <c r="W1253">
        <v>11</v>
      </c>
      <c r="X1253">
        <v>3</v>
      </c>
      <c r="Y1253">
        <v>1</v>
      </c>
      <c r="Z1253">
        <v>80</v>
      </c>
      <c r="AA1253">
        <v>1</v>
      </c>
      <c r="AB1253">
        <v>12</v>
      </c>
      <c r="AC1253">
        <v>2</v>
      </c>
      <c r="AD1253">
        <v>3</v>
      </c>
      <c r="AE1253">
        <v>7</v>
      </c>
      <c r="AF1253">
        <v>7</v>
      </c>
      <c r="AG1253">
        <v>1</v>
      </c>
      <c r="AH1253">
        <v>7</v>
      </c>
      <c r="AI1253">
        <f>IF(tbl_HRData[[#This Row],[Attrition]] = "Yes",1,0)</f>
        <v>0</v>
      </c>
      <c r="AJ1253">
        <f>IF(tbl_HRData[[#This Row],[Attrition]] = "No",1,0)</f>
        <v>1</v>
      </c>
      <c r="AK1253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253" s="1" t="str">
        <f>IF(tbl_HRData[[#This Row],[MonthlyIncome]]&lt;5000,"Low",
IF(tbl_HRData[[#This Row],[MonthlyIncome]]&lt;10000,"Medium",
IF(tbl_HRData[[#This Row],[MonthlyIncome]]&lt;15000,"Upper Medium","High")))</f>
        <v>Medium</v>
      </c>
      <c r="AM1253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254" spans="1:39" x14ac:dyDescent="0.35">
      <c r="A1254" s="1">
        <v>1253</v>
      </c>
      <c r="B1254">
        <v>34</v>
      </c>
      <c r="C1254" s="1" t="s">
        <v>40</v>
      </c>
      <c r="D1254" s="1" t="s">
        <v>34</v>
      </c>
      <c r="E1254">
        <v>181</v>
      </c>
      <c r="F1254" s="1" t="s">
        <v>42</v>
      </c>
      <c r="G1254">
        <v>2</v>
      </c>
      <c r="H1254">
        <v>4</v>
      </c>
      <c r="I1254" s="1" t="s">
        <v>48</v>
      </c>
      <c r="J1254">
        <v>1755</v>
      </c>
      <c r="K1254">
        <v>4</v>
      </c>
      <c r="L1254" s="1" t="s">
        <v>43</v>
      </c>
      <c r="M1254">
        <v>97</v>
      </c>
      <c r="N1254">
        <v>4</v>
      </c>
      <c r="O1254">
        <v>1</v>
      </c>
      <c r="P1254" s="1" t="s">
        <v>44</v>
      </c>
      <c r="Q1254">
        <v>4</v>
      </c>
      <c r="R1254" s="1" t="s">
        <v>45</v>
      </c>
      <c r="S1254">
        <v>2932</v>
      </c>
      <c r="T1254">
        <v>5586</v>
      </c>
      <c r="U1254">
        <v>0</v>
      </c>
      <c r="V1254" s="1" t="s">
        <v>33</v>
      </c>
      <c r="W1254">
        <v>14</v>
      </c>
      <c r="X1254">
        <v>3</v>
      </c>
      <c r="Y1254">
        <v>1</v>
      </c>
      <c r="Z1254">
        <v>80</v>
      </c>
      <c r="AA1254">
        <v>3</v>
      </c>
      <c r="AB1254">
        <v>6</v>
      </c>
      <c r="AC1254">
        <v>3</v>
      </c>
      <c r="AD1254">
        <v>3</v>
      </c>
      <c r="AE1254">
        <v>5</v>
      </c>
      <c r="AF1254">
        <v>0</v>
      </c>
      <c r="AG1254">
        <v>1</v>
      </c>
      <c r="AH1254">
        <v>2</v>
      </c>
      <c r="AI1254">
        <f>IF(tbl_HRData[[#This Row],[Attrition]] = "Yes",1,0)</f>
        <v>0</v>
      </c>
      <c r="AJ1254">
        <f>IF(tbl_HRData[[#This Row],[Attrition]] = "No",1,0)</f>
        <v>1</v>
      </c>
      <c r="AK1254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254" s="1" t="str">
        <f>IF(tbl_HRData[[#This Row],[MonthlyIncome]]&lt;5000,"Low",
IF(tbl_HRData[[#This Row],[MonthlyIncome]]&lt;10000,"Medium",
IF(tbl_HRData[[#This Row],[MonthlyIncome]]&lt;15000,"Upper Medium","High")))</f>
        <v>Low</v>
      </c>
      <c r="AM1254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255" spans="1:39" x14ac:dyDescent="0.35">
      <c r="A1255" s="1">
        <v>1254</v>
      </c>
      <c r="B1255">
        <v>33</v>
      </c>
      <c r="C1255" s="1" t="s">
        <v>40</v>
      </c>
      <c r="D1255" s="1" t="s">
        <v>52</v>
      </c>
      <c r="E1255">
        <v>1283</v>
      </c>
      <c r="F1255" s="1" t="s">
        <v>35</v>
      </c>
      <c r="G1255">
        <v>2</v>
      </c>
      <c r="H1255">
        <v>3</v>
      </c>
      <c r="I1255" s="1" t="s">
        <v>56</v>
      </c>
      <c r="J1255">
        <v>1756</v>
      </c>
      <c r="K1255">
        <v>4</v>
      </c>
      <c r="L1255" s="1" t="s">
        <v>37</v>
      </c>
      <c r="M1255">
        <v>62</v>
      </c>
      <c r="N1255">
        <v>3</v>
      </c>
      <c r="O1255">
        <v>2</v>
      </c>
      <c r="P1255" s="1" t="s">
        <v>38</v>
      </c>
      <c r="Q1255">
        <v>2</v>
      </c>
      <c r="R1255" s="1" t="s">
        <v>39</v>
      </c>
      <c r="S1255">
        <v>5147</v>
      </c>
      <c r="T1255">
        <v>10697</v>
      </c>
      <c r="U1255">
        <v>8</v>
      </c>
      <c r="V1255" s="1" t="s">
        <v>40</v>
      </c>
      <c r="W1255">
        <v>15</v>
      </c>
      <c r="X1255">
        <v>3</v>
      </c>
      <c r="Y1255">
        <v>4</v>
      </c>
      <c r="Z1255">
        <v>80</v>
      </c>
      <c r="AA1255">
        <v>0</v>
      </c>
      <c r="AB1255">
        <v>13</v>
      </c>
      <c r="AC1255">
        <v>2</v>
      </c>
      <c r="AD1255">
        <v>2</v>
      </c>
      <c r="AE1255">
        <v>11</v>
      </c>
      <c r="AF1255">
        <v>7</v>
      </c>
      <c r="AG1255">
        <v>1</v>
      </c>
      <c r="AH1255">
        <v>7</v>
      </c>
      <c r="AI1255">
        <f>IF(tbl_HRData[[#This Row],[Attrition]] = "Yes",1,0)</f>
        <v>0</v>
      </c>
      <c r="AJ1255">
        <f>IF(tbl_HRData[[#This Row],[Attrition]] = "No",1,0)</f>
        <v>1</v>
      </c>
      <c r="AK1255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255" s="1" t="str">
        <f>IF(tbl_HRData[[#This Row],[MonthlyIncome]]&lt;5000,"Low",
IF(tbl_HRData[[#This Row],[MonthlyIncome]]&lt;10000,"Medium",
IF(tbl_HRData[[#This Row],[MonthlyIncome]]&lt;15000,"Upper Medium","High")))</f>
        <v>Medium</v>
      </c>
      <c r="AM1255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1256" spans="1:39" x14ac:dyDescent="0.35">
      <c r="A1256" s="1">
        <v>1255</v>
      </c>
      <c r="B1256">
        <v>49</v>
      </c>
      <c r="C1256" s="1" t="s">
        <v>40</v>
      </c>
      <c r="D1256" s="1" t="s">
        <v>34</v>
      </c>
      <c r="E1256">
        <v>1313</v>
      </c>
      <c r="F1256" s="1" t="s">
        <v>35</v>
      </c>
      <c r="G1256">
        <v>11</v>
      </c>
      <c r="H1256">
        <v>4</v>
      </c>
      <c r="I1256" s="1" t="s">
        <v>56</v>
      </c>
      <c r="J1256">
        <v>1757</v>
      </c>
      <c r="K1256">
        <v>4</v>
      </c>
      <c r="L1256" s="1" t="s">
        <v>37</v>
      </c>
      <c r="M1256">
        <v>80</v>
      </c>
      <c r="N1256">
        <v>3</v>
      </c>
      <c r="O1256">
        <v>2</v>
      </c>
      <c r="P1256" s="1" t="s">
        <v>38</v>
      </c>
      <c r="Q1256">
        <v>4</v>
      </c>
      <c r="R1256" s="1" t="s">
        <v>39</v>
      </c>
      <c r="S1256">
        <v>4507</v>
      </c>
      <c r="T1256">
        <v>8191</v>
      </c>
      <c r="U1256">
        <v>3</v>
      </c>
      <c r="V1256" s="1" t="s">
        <v>40</v>
      </c>
      <c r="W1256">
        <v>12</v>
      </c>
      <c r="X1256">
        <v>3</v>
      </c>
      <c r="Y1256">
        <v>3</v>
      </c>
      <c r="Z1256">
        <v>80</v>
      </c>
      <c r="AA1256">
        <v>0</v>
      </c>
      <c r="AB1256">
        <v>8</v>
      </c>
      <c r="AC1256">
        <v>1</v>
      </c>
      <c r="AD1256">
        <v>4</v>
      </c>
      <c r="AE1256">
        <v>5</v>
      </c>
      <c r="AF1256">
        <v>1</v>
      </c>
      <c r="AG1256">
        <v>0</v>
      </c>
      <c r="AH1256">
        <v>4</v>
      </c>
      <c r="AI1256">
        <f>IF(tbl_HRData[[#This Row],[Attrition]] = "Yes",1,0)</f>
        <v>0</v>
      </c>
      <c r="AJ1256">
        <f>IF(tbl_HRData[[#This Row],[Attrition]] = "No",1,0)</f>
        <v>1</v>
      </c>
      <c r="AK1256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1256" s="1" t="str">
        <f>IF(tbl_HRData[[#This Row],[MonthlyIncome]]&lt;5000,"Low",
IF(tbl_HRData[[#This Row],[MonthlyIncome]]&lt;10000,"Medium",
IF(tbl_HRData[[#This Row],[MonthlyIncome]]&lt;15000,"Upper Medium","High")))</f>
        <v>Low</v>
      </c>
      <c r="AM1256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257" spans="1:39" x14ac:dyDescent="0.35">
      <c r="A1257" s="1">
        <v>1256</v>
      </c>
      <c r="B1257">
        <v>33</v>
      </c>
      <c r="C1257" s="1" t="s">
        <v>33</v>
      </c>
      <c r="D1257" s="1" t="s">
        <v>34</v>
      </c>
      <c r="E1257">
        <v>211</v>
      </c>
      <c r="F1257" s="1" t="s">
        <v>35</v>
      </c>
      <c r="G1257">
        <v>16</v>
      </c>
      <c r="H1257">
        <v>3</v>
      </c>
      <c r="I1257" s="1" t="s">
        <v>36</v>
      </c>
      <c r="J1257">
        <v>1758</v>
      </c>
      <c r="K1257">
        <v>1</v>
      </c>
      <c r="L1257" s="1" t="s">
        <v>37</v>
      </c>
      <c r="M1257">
        <v>74</v>
      </c>
      <c r="N1257">
        <v>3</v>
      </c>
      <c r="O1257">
        <v>3</v>
      </c>
      <c r="P1257" s="1" t="s">
        <v>38</v>
      </c>
      <c r="Q1257">
        <v>1</v>
      </c>
      <c r="R1257" s="1" t="s">
        <v>39</v>
      </c>
      <c r="S1257">
        <v>8564</v>
      </c>
      <c r="T1257">
        <v>10092</v>
      </c>
      <c r="U1257">
        <v>2</v>
      </c>
      <c r="V1257" s="1" t="s">
        <v>33</v>
      </c>
      <c r="W1257">
        <v>20</v>
      </c>
      <c r="X1257">
        <v>4</v>
      </c>
      <c r="Y1257">
        <v>3</v>
      </c>
      <c r="Z1257">
        <v>80</v>
      </c>
      <c r="AA1257">
        <v>0</v>
      </c>
      <c r="AB1257">
        <v>11</v>
      </c>
      <c r="AC1257">
        <v>2</v>
      </c>
      <c r="AD1257">
        <v>2</v>
      </c>
      <c r="AE1257">
        <v>0</v>
      </c>
      <c r="AF1257">
        <v>0</v>
      </c>
      <c r="AG1257">
        <v>0</v>
      </c>
      <c r="AH1257">
        <v>0</v>
      </c>
      <c r="AI1257">
        <f>IF(tbl_HRData[[#This Row],[Attrition]] = "Yes",1,0)</f>
        <v>1</v>
      </c>
      <c r="AJ1257">
        <f>IF(tbl_HRData[[#This Row],[Attrition]] = "No",1,0)</f>
        <v>0</v>
      </c>
      <c r="AK1257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257" s="1" t="str">
        <f>IF(tbl_HRData[[#This Row],[MonthlyIncome]]&lt;5000,"Low",
IF(tbl_HRData[[#This Row],[MonthlyIncome]]&lt;10000,"Medium",
IF(tbl_HRData[[#This Row],[MonthlyIncome]]&lt;15000,"Upper Medium","High")))</f>
        <v>Medium</v>
      </c>
      <c r="AM1257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258" spans="1:39" x14ac:dyDescent="0.35">
      <c r="A1258" s="1">
        <v>1257</v>
      </c>
      <c r="B1258">
        <v>38</v>
      </c>
      <c r="C1258" s="1" t="s">
        <v>40</v>
      </c>
      <c r="D1258" s="1" t="s">
        <v>41</v>
      </c>
      <c r="E1258">
        <v>594</v>
      </c>
      <c r="F1258" s="1" t="s">
        <v>42</v>
      </c>
      <c r="G1258">
        <v>2</v>
      </c>
      <c r="H1258">
        <v>2</v>
      </c>
      <c r="I1258" s="1" t="s">
        <v>48</v>
      </c>
      <c r="J1258">
        <v>1760</v>
      </c>
      <c r="K1258">
        <v>3</v>
      </c>
      <c r="L1258" s="1" t="s">
        <v>37</v>
      </c>
      <c r="M1258">
        <v>75</v>
      </c>
      <c r="N1258">
        <v>2</v>
      </c>
      <c r="O1258">
        <v>1</v>
      </c>
      <c r="P1258" s="1" t="s">
        <v>47</v>
      </c>
      <c r="Q1258">
        <v>2</v>
      </c>
      <c r="R1258" s="1" t="s">
        <v>45</v>
      </c>
      <c r="S1258">
        <v>2468</v>
      </c>
      <c r="T1258">
        <v>15963</v>
      </c>
      <c r="U1258">
        <v>4</v>
      </c>
      <c r="V1258" s="1" t="s">
        <v>40</v>
      </c>
      <c r="W1258">
        <v>14</v>
      </c>
      <c r="X1258">
        <v>3</v>
      </c>
      <c r="Y1258">
        <v>2</v>
      </c>
      <c r="Z1258">
        <v>80</v>
      </c>
      <c r="AA1258">
        <v>1</v>
      </c>
      <c r="AB1258">
        <v>9</v>
      </c>
      <c r="AC1258">
        <v>4</v>
      </c>
      <c r="AD1258">
        <v>2</v>
      </c>
      <c r="AE1258">
        <v>6</v>
      </c>
      <c r="AF1258">
        <v>1</v>
      </c>
      <c r="AG1258">
        <v>0</v>
      </c>
      <c r="AH1258">
        <v>5</v>
      </c>
      <c r="AI1258">
        <f>IF(tbl_HRData[[#This Row],[Attrition]] = "Yes",1,0)</f>
        <v>0</v>
      </c>
      <c r="AJ1258">
        <f>IF(tbl_HRData[[#This Row],[Attrition]] = "No",1,0)</f>
        <v>1</v>
      </c>
      <c r="AK1258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258" s="1" t="str">
        <f>IF(tbl_HRData[[#This Row],[MonthlyIncome]]&lt;5000,"Low",
IF(tbl_HRData[[#This Row],[MonthlyIncome]]&lt;10000,"Medium",
IF(tbl_HRData[[#This Row],[MonthlyIncome]]&lt;15000,"Upper Medium","High")))</f>
        <v>Low</v>
      </c>
      <c r="AM1258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259" spans="1:39" x14ac:dyDescent="0.35">
      <c r="A1259" s="1">
        <v>1258</v>
      </c>
      <c r="B1259">
        <v>31</v>
      </c>
      <c r="C1259" s="1" t="s">
        <v>33</v>
      </c>
      <c r="D1259" s="1" t="s">
        <v>34</v>
      </c>
      <c r="E1259">
        <v>1079</v>
      </c>
      <c r="F1259" s="1" t="s">
        <v>35</v>
      </c>
      <c r="G1259">
        <v>16</v>
      </c>
      <c r="H1259">
        <v>4</v>
      </c>
      <c r="I1259" s="1" t="s">
        <v>56</v>
      </c>
      <c r="J1259">
        <v>1761</v>
      </c>
      <c r="K1259">
        <v>1</v>
      </c>
      <c r="L1259" s="1" t="s">
        <v>43</v>
      </c>
      <c r="M1259">
        <v>70</v>
      </c>
      <c r="N1259">
        <v>3</v>
      </c>
      <c r="O1259">
        <v>3</v>
      </c>
      <c r="P1259" s="1" t="s">
        <v>38</v>
      </c>
      <c r="Q1259">
        <v>3</v>
      </c>
      <c r="R1259" s="1" t="s">
        <v>45</v>
      </c>
      <c r="S1259">
        <v>8161</v>
      </c>
      <c r="T1259">
        <v>19002</v>
      </c>
      <c r="U1259">
        <v>2</v>
      </c>
      <c r="V1259" s="1" t="s">
        <v>40</v>
      </c>
      <c r="W1259">
        <v>13</v>
      </c>
      <c r="X1259">
        <v>3</v>
      </c>
      <c r="Y1259">
        <v>1</v>
      </c>
      <c r="Z1259">
        <v>80</v>
      </c>
      <c r="AA1259">
        <v>3</v>
      </c>
      <c r="AB1259">
        <v>10</v>
      </c>
      <c r="AC1259">
        <v>2</v>
      </c>
      <c r="AD1259">
        <v>3</v>
      </c>
      <c r="AE1259">
        <v>1</v>
      </c>
      <c r="AF1259">
        <v>0</v>
      </c>
      <c r="AG1259">
        <v>0</v>
      </c>
      <c r="AH1259">
        <v>0</v>
      </c>
      <c r="AI1259">
        <f>IF(tbl_HRData[[#This Row],[Attrition]] = "Yes",1,0)</f>
        <v>1</v>
      </c>
      <c r="AJ1259">
        <f>IF(tbl_HRData[[#This Row],[Attrition]] = "No",1,0)</f>
        <v>0</v>
      </c>
      <c r="AK1259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259" s="1" t="str">
        <f>IF(tbl_HRData[[#This Row],[MonthlyIncome]]&lt;5000,"Low",
IF(tbl_HRData[[#This Row],[MonthlyIncome]]&lt;10000,"Medium",
IF(tbl_HRData[[#This Row],[MonthlyIncome]]&lt;15000,"Upper Medium","High")))</f>
        <v>Medium</v>
      </c>
      <c r="AM1259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260" spans="1:39" x14ac:dyDescent="0.35">
      <c r="A1260" s="1">
        <v>1259</v>
      </c>
      <c r="B1260">
        <v>29</v>
      </c>
      <c r="C1260" s="1" t="s">
        <v>40</v>
      </c>
      <c r="D1260" s="1" t="s">
        <v>34</v>
      </c>
      <c r="E1260">
        <v>590</v>
      </c>
      <c r="F1260" s="1" t="s">
        <v>42</v>
      </c>
      <c r="G1260">
        <v>4</v>
      </c>
      <c r="H1260">
        <v>3</v>
      </c>
      <c r="I1260" s="1" t="s">
        <v>57</v>
      </c>
      <c r="J1260">
        <v>1762</v>
      </c>
      <c r="K1260">
        <v>4</v>
      </c>
      <c r="L1260" s="1" t="s">
        <v>37</v>
      </c>
      <c r="M1260">
        <v>91</v>
      </c>
      <c r="N1260">
        <v>2</v>
      </c>
      <c r="O1260">
        <v>1</v>
      </c>
      <c r="P1260" s="1" t="s">
        <v>44</v>
      </c>
      <c r="Q1260">
        <v>1</v>
      </c>
      <c r="R1260" s="1" t="s">
        <v>49</v>
      </c>
      <c r="S1260">
        <v>2109</v>
      </c>
      <c r="T1260">
        <v>10007</v>
      </c>
      <c r="U1260">
        <v>1</v>
      </c>
      <c r="V1260" s="1" t="s">
        <v>40</v>
      </c>
      <c r="W1260">
        <v>13</v>
      </c>
      <c r="X1260">
        <v>3</v>
      </c>
      <c r="Y1260">
        <v>3</v>
      </c>
      <c r="Z1260">
        <v>80</v>
      </c>
      <c r="AA1260">
        <v>1</v>
      </c>
      <c r="AB1260">
        <v>1</v>
      </c>
      <c r="AC1260">
        <v>2</v>
      </c>
      <c r="AD1260">
        <v>3</v>
      </c>
      <c r="AE1260">
        <v>1</v>
      </c>
      <c r="AF1260">
        <v>0</v>
      </c>
      <c r="AG1260">
        <v>0</v>
      </c>
      <c r="AH1260">
        <v>0</v>
      </c>
      <c r="AI1260">
        <f>IF(tbl_HRData[[#This Row],[Attrition]] = "Yes",1,0)</f>
        <v>0</v>
      </c>
      <c r="AJ1260">
        <f>IF(tbl_HRData[[#This Row],[Attrition]] = "No",1,0)</f>
        <v>1</v>
      </c>
      <c r="AK1260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260" s="1" t="str">
        <f>IF(tbl_HRData[[#This Row],[MonthlyIncome]]&lt;5000,"Low",
IF(tbl_HRData[[#This Row],[MonthlyIncome]]&lt;10000,"Medium",
IF(tbl_HRData[[#This Row],[MonthlyIncome]]&lt;15000,"Upper Medium","High")))</f>
        <v>Low</v>
      </c>
      <c r="AM1260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261" spans="1:39" x14ac:dyDescent="0.35">
      <c r="A1261" s="1">
        <v>1260</v>
      </c>
      <c r="B1261">
        <v>30</v>
      </c>
      <c r="C1261" s="1" t="s">
        <v>40</v>
      </c>
      <c r="D1261" s="1" t="s">
        <v>34</v>
      </c>
      <c r="E1261">
        <v>305</v>
      </c>
      <c r="F1261" s="1" t="s">
        <v>42</v>
      </c>
      <c r="G1261">
        <v>16</v>
      </c>
      <c r="H1261">
        <v>3</v>
      </c>
      <c r="I1261" s="1" t="s">
        <v>36</v>
      </c>
      <c r="J1261">
        <v>1763</v>
      </c>
      <c r="K1261">
        <v>3</v>
      </c>
      <c r="L1261" s="1" t="s">
        <v>43</v>
      </c>
      <c r="M1261">
        <v>58</v>
      </c>
      <c r="N1261">
        <v>4</v>
      </c>
      <c r="O1261">
        <v>2</v>
      </c>
      <c r="P1261" s="1" t="s">
        <v>51</v>
      </c>
      <c r="Q1261">
        <v>3</v>
      </c>
      <c r="R1261" s="1" t="s">
        <v>45</v>
      </c>
      <c r="S1261">
        <v>5294</v>
      </c>
      <c r="T1261">
        <v>9128</v>
      </c>
      <c r="U1261">
        <v>3</v>
      </c>
      <c r="V1261" s="1" t="s">
        <v>40</v>
      </c>
      <c r="W1261">
        <v>16</v>
      </c>
      <c r="X1261">
        <v>3</v>
      </c>
      <c r="Y1261">
        <v>3</v>
      </c>
      <c r="Z1261">
        <v>80</v>
      </c>
      <c r="AA1261">
        <v>1</v>
      </c>
      <c r="AB1261">
        <v>10</v>
      </c>
      <c r="AC1261">
        <v>3</v>
      </c>
      <c r="AD1261">
        <v>3</v>
      </c>
      <c r="AE1261">
        <v>7</v>
      </c>
      <c r="AF1261">
        <v>0</v>
      </c>
      <c r="AG1261">
        <v>1</v>
      </c>
      <c r="AH1261">
        <v>7</v>
      </c>
      <c r="AI1261">
        <f>IF(tbl_HRData[[#This Row],[Attrition]] = "Yes",1,0)</f>
        <v>0</v>
      </c>
      <c r="AJ1261">
        <f>IF(tbl_HRData[[#This Row],[Attrition]] = "No",1,0)</f>
        <v>1</v>
      </c>
      <c r="AK1261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261" s="1" t="str">
        <f>IF(tbl_HRData[[#This Row],[MonthlyIncome]]&lt;5000,"Low",
IF(tbl_HRData[[#This Row],[MonthlyIncome]]&lt;10000,"Medium",
IF(tbl_HRData[[#This Row],[MonthlyIncome]]&lt;15000,"Upper Medium","High")))</f>
        <v>Medium</v>
      </c>
      <c r="AM1261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262" spans="1:39" x14ac:dyDescent="0.35">
      <c r="A1262" s="1">
        <v>1261</v>
      </c>
      <c r="B1262">
        <v>32</v>
      </c>
      <c r="C1262" s="1" t="s">
        <v>40</v>
      </c>
      <c r="D1262" s="1" t="s">
        <v>52</v>
      </c>
      <c r="E1262">
        <v>953</v>
      </c>
      <c r="F1262" s="1" t="s">
        <v>42</v>
      </c>
      <c r="G1262">
        <v>5</v>
      </c>
      <c r="H1262">
        <v>4</v>
      </c>
      <c r="I1262" s="1" t="s">
        <v>57</v>
      </c>
      <c r="J1262">
        <v>1764</v>
      </c>
      <c r="K1262">
        <v>2</v>
      </c>
      <c r="L1262" s="1" t="s">
        <v>43</v>
      </c>
      <c r="M1262">
        <v>65</v>
      </c>
      <c r="N1262">
        <v>3</v>
      </c>
      <c r="O1262">
        <v>1</v>
      </c>
      <c r="P1262" s="1" t="s">
        <v>44</v>
      </c>
      <c r="Q1262">
        <v>2</v>
      </c>
      <c r="R1262" s="1" t="s">
        <v>39</v>
      </c>
      <c r="S1262">
        <v>2718</v>
      </c>
      <c r="T1262">
        <v>17674</v>
      </c>
      <c r="U1262">
        <v>2</v>
      </c>
      <c r="V1262" s="1" t="s">
        <v>40</v>
      </c>
      <c r="W1262">
        <v>14</v>
      </c>
      <c r="X1262">
        <v>3</v>
      </c>
      <c r="Y1262">
        <v>2</v>
      </c>
      <c r="Z1262">
        <v>80</v>
      </c>
      <c r="AA1262">
        <v>0</v>
      </c>
      <c r="AB1262">
        <v>12</v>
      </c>
      <c r="AC1262">
        <v>3</v>
      </c>
      <c r="AD1262">
        <v>3</v>
      </c>
      <c r="AE1262">
        <v>7</v>
      </c>
      <c r="AF1262">
        <v>7</v>
      </c>
      <c r="AG1262">
        <v>0</v>
      </c>
      <c r="AH1262">
        <v>7</v>
      </c>
      <c r="AI1262">
        <f>IF(tbl_HRData[[#This Row],[Attrition]] = "Yes",1,0)</f>
        <v>0</v>
      </c>
      <c r="AJ1262">
        <f>IF(tbl_HRData[[#This Row],[Attrition]] = "No",1,0)</f>
        <v>1</v>
      </c>
      <c r="AK1262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262" s="1" t="str">
        <f>IF(tbl_HRData[[#This Row],[MonthlyIncome]]&lt;5000,"Low",
IF(tbl_HRData[[#This Row],[MonthlyIncome]]&lt;10000,"Medium",
IF(tbl_HRData[[#This Row],[MonthlyIncome]]&lt;15000,"Upper Medium","High")))</f>
        <v>Low</v>
      </c>
      <c r="AM1262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263" spans="1:39" x14ac:dyDescent="0.35">
      <c r="A1263" s="1">
        <v>1262</v>
      </c>
      <c r="B1263">
        <v>38</v>
      </c>
      <c r="C1263" s="1" t="s">
        <v>40</v>
      </c>
      <c r="D1263" s="1" t="s">
        <v>34</v>
      </c>
      <c r="E1263">
        <v>833</v>
      </c>
      <c r="F1263" s="1" t="s">
        <v>42</v>
      </c>
      <c r="G1263">
        <v>18</v>
      </c>
      <c r="H1263">
        <v>3</v>
      </c>
      <c r="I1263" s="1" t="s">
        <v>48</v>
      </c>
      <c r="J1263">
        <v>1766</v>
      </c>
      <c r="K1263">
        <v>2</v>
      </c>
      <c r="L1263" s="1" t="s">
        <v>43</v>
      </c>
      <c r="M1263">
        <v>60</v>
      </c>
      <c r="N1263">
        <v>1</v>
      </c>
      <c r="O1263">
        <v>2</v>
      </c>
      <c r="P1263" s="1" t="s">
        <v>51</v>
      </c>
      <c r="Q1263">
        <v>4</v>
      </c>
      <c r="R1263" s="1" t="s">
        <v>45</v>
      </c>
      <c r="S1263">
        <v>5811</v>
      </c>
      <c r="T1263">
        <v>24539</v>
      </c>
      <c r="U1263">
        <v>3</v>
      </c>
      <c r="V1263" s="1" t="s">
        <v>33</v>
      </c>
      <c r="W1263">
        <v>16</v>
      </c>
      <c r="X1263">
        <v>3</v>
      </c>
      <c r="Y1263">
        <v>3</v>
      </c>
      <c r="Z1263">
        <v>80</v>
      </c>
      <c r="AA1263">
        <v>1</v>
      </c>
      <c r="AB1263">
        <v>15</v>
      </c>
      <c r="AC1263">
        <v>2</v>
      </c>
      <c r="AD1263">
        <v>3</v>
      </c>
      <c r="AE1263">
        <v>1</v>
      </c>
      <c r="AF1263">
        <v>0</v>
      </c>
      <c r="AG1263">
        <v>1</v>
      </c>
      <c r="AH1263">
        <v>0</v>
      </c>
      <c r="AI1263">
        <f>IF(tbl_HRData[[#This Row],[Attrition]] = "Yes",1,0)</f>
        <v>0</v>
      </c>
      <c r="AJ1263">
        <f>IF(tbl_HRData[[#This Row],[Attrition]] = "No",1,0)</f>
        <v>1</v>
      </c>
      <c r="AK1263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263" s="1" t="str">
        <f>IF(tbl_HRData[[#This Row],[MonthlyIncome]]&lt;5000,"Low",
IF(tbl_HRData[[#This Row],[MonthlyIncome]]&lt;10000,"Medium",
IF(tbl_HRData[[#This Row],[MonthlyIncome]]&lt;15000,"Upper Medium","High")))</f>
        <v>Medium</v>
      </c>
      <c r="AM1263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264" spans="1:39" x14ac:dyDescent="0.35">
      <c r="A1264" s="1">
        <v>1263</v>
      </c>
      <c r="B1264">
        <v>43</v>
      </c>
      <c r="C1264" s="1" t="s">
        <v>33</v>
      </c>
      <c r="D1264" s="1" t="s">
        <v>41</v>
      </c>
      <c r="E1264">
        <v>807</v>
      </c>
      <c r="F1264" s="1" t="s">
        <v>42</v>
      </c>
      <c r="G1264">
        <v>17</v>
      </c>
      <c r="H1264">
        <v>3</v>
      </c>
      <c r="I1264" s="1" t="s">
        <v>57</v>
      </c>
      <c r="J1264">
        <v>1767</v>
      </c>
      <c r="K1264">
        <v>3</v>
      </c>
      <c r="L1264" s="1" t="s">
        <v>43</v>
      </c>
      <c r="M1264">
        <v>38</v>
      </c>
      <c r="N1264">
        <v>2</v>
      </c>
      <c r="O1264">
        <v>1</v>
      </c>
      <c r="P1264" s="1" t="s">
        <v>44</v>
      </c>
      <c r="Q1264">
        <v>3</v>
      </c>
      <c r="R1264" s="1" t="s">
        <v>45</v>
      </c>
      <c r="S1264">
        <v>2437</v>
      </c>
      <c r="T1264">
        <v>15587</v>
      </c>
      <c r="U1264">
        <v>9</v>
      </c>
      <c r="V1264" s="1" t="s">
        <v>33</v>
      </c>
      <c r="W1264">
        <v>16</v>
      </c>
      <c r="X1264">
        <v>3</v>
      </c>
      <c r="Y1264">
        <v>4</v>
      </c>
      <c r="Z1264">
        <v>80</v>
      </c>
      <c r="AA1264">
        <v>1</v>
      </c>
      <c r="AB1264">
        <v>6</v>
      </c>
      <c r="AC1264">
        <v>4</v>
      </c>
      <c r="AD1264">
        <v>3</v>
      </c>
      <c r="AE1264">
        <v>1</v>
      </c>
      <c r="AF1264">
        <v>0</v>
      </c>
      <c r="AG1264">
        <v>0</v>
      </c>
      <c r="AH1264">
        <v>0</v>
      </c>
      <c r="AI1264">
        <f>IF(tbl_HRData[[#This Row],[Attrition]] = "Yes",1,0)</f>
        <v>1</v>
      </c>
      <c r="AJ1264">
        <f>IF(tbl_HRData[[#This Row],[Attrition]] = "No",1,0)</f>
        <v>0</v>
      </c>
      <c r="AK1264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264" s="1" t="str">
        <f>IF(tbl_HRData[[#This Row],[MonthlyIncome]]&lt;5000,"Low",
IF(tbl_HRData[[#This Row],[MonthlyIncome]]&lt;10000,"Medium",
IF(tbl_HRData[[#This Row],[MonthlyIncome]]&lt;15000,"Upper Medium","High")))</f>
        <v>Low</v>
      </c>
      <c r="AM1264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265" spans="1:39" x14ac:dyDescent="0.35">
      <c r="A1265" s="1">
        <v>1264</v>
      </c>
      <c r="B1265">
        <v>42</v>
      </c>
      <c r="C1265" s="1" t="s">
        <v>40</v>
      </c>
      <c r="D1265" s="1" t="s">
        <v>34</v>
      </c>
      <c r="E1265">
        <v>855</v>
      </c>
      <c r="F1265" s="1" t="s">
        <v>42</v>
      </c>
      <c r="G1265">
        <v>12</v>
      </c>
      <c r="H1265">
        <v>3</v>
      </c>
      <c r="I1265" s="1" t="s">
        <v>48</v>
      </c>
      <c r="J1265">
        <v>1768</v>
      </c>
      <c r="K1265">
        <v>2</v>
      </c>
      <c r="L1265" s="1" t="s">
        <v>43</v>
      </c>
      <c r="M1265">
        <v>57</v>
      </c>
      <c r="N1265">
        <v>3</v>
      </c>
      <c r="O1265">
        <v>1</v>
      </c>
      <c r="P1265" s="1" t="s">
        <v>47</v>
      </c>
      <c r="Q1265">
        <v>2</v>
      </c>
      <c r="R1265" s="1" t="s">
        <v>49</v>
      </c>
      <c r="S1265">
        <v>2766</v>
      </c>
      <c r="T1265">
        <v>8952</v>
      </c>
      <c r="U1265">
        <v>8</v>
      </c>
      <c r="V1265" s="1" t="s">
        <v>40</v>
      </c>
      <c r="W1265">
        <v>22</v>
      </c>
      <c r="X1265">
        <v>4</v>
      </c>
      <c r="Y1265">
        <v>2</v>
      </c>
      <c r="Z1265">
        <v>80</v>
      </c>
      <c r="AA1265">
        <v>3</v>
      </c>
      <c r="AB1265">
        <v>7</v>
      </c>
      <c r="AC1265">
        <v>6</v>
      </c>
      <c r="AD1265">
        <v>2</v>
      </c>
      <c r="AE1265">
        <v>5</v>
      </c>
      <c r="AF1265">
        <v>3</v>
      </c>
      <c r="AG1265">
        <v>0</v>
      </c>
      <c r="AH1265">
        <v>4</v>
      </c>
      <c r="AI1265">
        <f>IF(tbl_HRData[[#This Row],[Attrition]] = "Yes",1,0)</f>
        <v>0</v>
      </c>
      <c r="AJ1265">
        <f>IF(tbl_HRData[[#This Row],[Attrition]] = "No",1,0)</f>
        <v>1</v>
      </c>
      <c r="AK1265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265" s="1" t="str">
        <f>IF(tbl_HRData[[#This Row],[MonthlyIncome]]&lt;5000,"Low",
IF(tbl_HRData[[#This Row],[MonthlyIncome]]&lt;10000,"Medium",
IF(tbl_HRData[[#This Row],[MonthlyIncome]]&lt;15000,"Upper Medium","High")))</f>
        <v>Low</v>
      </c>
      <c r="AM1265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266" spans="1:39" x14ac:dyDescent="0.35">
      <c r="A1266" s="1">
        <v>1265</v>
      </c>
      <c r="B1266">
        <v>55</v>
      </c>
      <c r="C1266" s="1" t="s">
        <v>40</v>
      </c>
      <c r="D1266" s="1" t="s">
        <v>34</v>
      </c>
      <c r="E1266">
        <v>478</v>
      </c>
      <c r="F1266" s="1" t="s">
        <v>42</v>
      </c>
      <c r="G1266">
        <v>2</v>
      </c>
      <c r="H1266">
        <v>3</v>
      </c>
      <c r="I1266" s="1" t="s">
        <v>48</v>
      </c>
      <c r="J1266">
        <v>1770</v>
      </c>
      <c r="K1266">
        <v>3</v>
      </c>
      <c r="L1266" s="1" t="s">
        <v>43</v>
      </c>
      <c r="M1266">
        <v>60</v>
      </c>
      <c r="N1266">
        <v>2</v>
      </c>
      <c r="O1266">
        <v>5</v>
      </c>
      <c r="P1266" s="1" t="s">
        <v>55</v>
      </c>
      <c r="Q1266">
        <v>1</v>
      </c>
      <c r="R1266" s="1" t="s">
        <v>45</v>
      </c>
      <c r="S1266">
        <v>19038</v>
      </c>
      <c r="T1266">
        <v>19805</v>
      </c>
      <c r="U1266">
        <v>8</v>
      </c>
      <c r="V1266" s="1" t="s">
        <v>40</v>
      </c>
      <c r="W1266">
        <v>12</v>
      </c>
      <c r="X1266">
        <v>3</v>
      </c>
      <c r="Y1266">
        <v>2</v>
      </c>
      <c r="Z1266">
        <v>80</v>
      </c>
      <c r="AA1266">
        <v>3</v>
      </c>
      <c r="AB1266">
        <v>34</v>
      </c>
      <c r="AC1266">
        <v>2</v>
      </c>
      <c r="AD1266">
        <v>3</v>
      </c>
      <c r="AE1266">
        <v>1</v>
      </c>
      <c r="AF1266">
        <v>0</v>
      </c>
      <c r="AG1266">
        <v>0</v>
      </c>
      <c r="AH1266">
        <v>0</v>
      </c>
      <c r="AI1266">
        <f>IF(tbl_HRData[[#This Row],[Attrition]] = "Yes",1,0)</f>
        <v>0</v>
      </c>
      <c r="AJ1266">
        <f>IF(tbl_HRData[[#This Row],[Attrition]] = "No",1,0)</f>
        <v>1</v>
      </c>
      <c r="AK1266" t="str">
        <f>IF(tbl_HRData[[#This Row],[Age]] &lt; 25, "Under 25", IF(tbl_HRData[[#This Row],[Age]] &lt;= 34, "25-34", IF(tbl_HRData[[#This Row],[Age]] &lt;= 44, "35-44", IF(tbl_HRData[[#This Row],[Age]] &lt;= 54, "45-54", "55+"))))</f>
        <v>55+</v>
      </c>
      <c r="AL1266" s="1" t="str">
        <f>IF(tbl_HRData[[#This Row],[MonthlyIncome]]&lt;5000,"Low",
IF(tbl_HRData[[#This Row],[MonthlyIncome]]&lt;10000,"Medium",
IF(tbl_HRData[[#This Row],[MonthlyIncome]]&lt;15000,"Upper Medium","High")))</f>
        <v>High</v>
      </c>
      <c r="AM1266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267" spans="1:39" x14ac:dyDescent="0.35">
      <c r="A1267" s="1">
        <v>1266</v>
      </c>
      <c r="B1267">
        <v>33</v>
      </c>
      <c r="C1267" s="1" t="s">
        <v>40</v>
      </c>
      <c r="D1267" s="1" t="s">
        <v>52</v>
      </c>
      <c r="E1267">
        <v>775</v>
      </c>
      <c r="F1267" s="1" t="s">
        <v>42</v>
      </c>
      <c r="G1267">
        <v>4</v>
      </c>
      <c r="H1267">
        <v>3</v>
      </c>
      <c r="I1267" s="1" t="s">
        <v>57</v>
      </c>
      <c r="J1267">
        <v>1771</v>
      </c>
      <c r="K1267">
        <v>4</v>
      </c>
      <c r="L1267" s="1" t="s">
        <v>43</v>
      </c>
      <c r="M1267">
        <v>90</v>
      </c>
      <c r="N1267">
        <v>3</v>
      </c>
      <c r="O1267">
        <v>2</v>
      </c>
      <c r="P1267" s="1" t="s">
        <v>44</v>
      </c>
      <c r="Q1267">
        <v>2</v>
      </c>
      <c r="R1267" s="1" t="s">
        <v>49</v>
      </c>
      <c r="S1267">
        <v>3055</v>
      </c>
      <c r="T1267">
        <v>6194</v>
      </c>
      <c r="U1267">
        <v>5</v>
      </c>
      <c r="V1267" s="1" t="s">
        <v>40</v>
      </c>
      <c r="W1267">
        <v>15</v>
      </c>
      <c r="X1267">
        <v>3</v>
      </c>
      <c r="Y1267">
        <v>4</v>
      </c>
      <c r="Z1267">
        <v>80</v>
      </c>
      <c r="AA1267">
        <v>2</v>
      </c>
      <c r="AB1267">
        <v>11</v>
      </c>
      <c r="AC1267">
        <v>2</v>
      </c>
      <c r="AD1267">
        <v>2</v>
      </c>
      <c r="AE1267">
        <v>9</v>
      </c>
      <c r="AF1267">
        <v>8</v>
      </c>
      <c r="AG1267">
        <v>1</v>
      </c>
      <c r="AH1267">
        <v>7</v>
      </c>
      <c r="AI1267">
        <f>IF(tbl_HRData[[#This Row],[Attrition]] = "Yes",1,0)</f>
        <v>0</v>
      </c>
      <c r="AJ1267">
        <f>IF(tbl_HRData[[#This Row],[Attrition]] = "No",1,0)</f>
        <v>1</v>
      </c>
      <c r="AK1267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267" s="1" t="str">
        <f>IF(tbl_HRData[[#This Row],[MonthlyIncome]]&lt;5000,"Low",
IF(tbl_HRData[[#This Row],[MonthlyIncome]]&lt;10000,"Medium",
IF(tbl_HRData[[#This Row],[MonthlyIncome]]&lt;15000,"Upper Medium","High")))</f>
        <v>Low</v>
      </c>
      <c r="AM1267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268" spans="1:39" x14ac:dyDescent="0.35">
      <c r="A1268" s="1">
        <v>1267</v>
      </c>
      <c r="B1268">
        <v>41</v>
      </c>
      <c r="C1268" s="1" t="s">
        <v>40</v>
      </c>
      <c r="D1268" s="1" t="s">
        <v>34</v>
      </c>
      <c r="E1268">
        <v>548</v>
      </c>
      <c r="F1268" s="1" t="s">
        <v>42</v>
      </c>
      <c r="G1268">
        <v>9</v>
      </c>
      <c r="H1268">
        <v>4</v>
      </c>
      <c r="I1268" s="1" t="s">
        <v>36</v>
      </c>
      <c r="J1268">
        <v>1772</v>
      </c>
      <c r="K1268">
        <v>3</v>
      </c>
      <c r="L1268" s="1" t="s">
        <v>43</v>
      </c>
      <c r="M1268">
        <v>94</v>
      </c>
      <c r="N1268">
        <v>3</v>
      </c>
      <c r="O1268">
        <v>1</v>
      </c>
      <c r="P1268" s="1" t="s">
        <v>47</v>
      </c>
      <c r="Q1268">
        <v>1</v>
      </c>
      <c r="R1268" s="1" t="s">
        <v>49</v>
      </c>
      <c r="S1268">
        <v>2289</v>
      </c>
      <c r="T1268">
        <v>20520</v>
      </c>
      <c r="U1268">
        <v>1</v>
      </c>
      <c r="V1268" s="1" t="s">
        <v>40</v>
      </c>
      <c r="W1268">
        <v>20</v>
      </c>
      <c r="X1268">
        <v>4</v>
      </c>
      <c r="Y1268">
        <v>2</v>
      </c>
      <c r="Z1268">
        <v>80</v>
      </c>
      <c r="AA1268">
        <v>2</v>
      </c>
      <c r="AB1268">
        <v>5</v>
      </c>
      <c r="AC1268">
        <v>2</v>
      </c>
      <c r="AD1268">
        <v>3</v>
      </c>
      <c r="AE1268">
        <v>5</v>
      </c>
      <c r="AF1268">
        <v>3</v>
      </c>
      <c r="AG1268">
        <v>0</v>
      </c>
      <c r="AH1268">
        <v>4</v>
      </c>
      <c r="AI1268">
        <f>IF(tbl_HRData[[#This Row],[Attrition]] = "Yes",1,0)</f>
        <v>0</v>
      </c>
      <c r="AJ1268">
        <f>IF(tbl_HRData[[#This Row],[Attrition]] = "No",1,0)</f>
        <v>1</v>
      </c>
      <c r="AK1268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268" s="1" t="str">
        <f>IF(tbl_HRData[[#This Row],[MonthlyIncome]]&lt;5000,"Low",
IF(tbl_HRData[[#This Row],[MonthlyIncome]]&lt;10000,"Medium",
IF(tbl_HRData[[#This Row],[MonthlyIncome]]&lt;15000,"Upper Medium","High")))</f>
        <v>Low</v>
      </c>
      <c r="AM1268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269" spans="1:39" x14ac:dyDescent="0.35">
      <c r="A1269" s="1">
        <v>1268</v>
      </c>
      <c r="B1269">
        <v>34</v>
      </c>
      <c r="C1269" s="1" t="s">
        <v>40</v>
      </c>
      <c r="D1269" s="1" t="s">
        <v>52</v>
      </c>
      <c r="E1269">
        <v>1375</v>
      </c>
      <c r="F1269" s="1" t="s">
        <v>35</v>
      </c>
      <c r="G1269">
        <v>10</v>
      </c>
      <c r="H1269">
        <v>3</v>
      </c>
      <c r="I1269" s="1" t="s">
        <v>36</v>
      </c>
      <c r="J1269">
        <v>1774</v>
      </c>
      <c r="K1269">
        <v>4</v>
      </c>
      <c r="L1269" s="1" t="s">
        <v>43</v>
      </c>
      <c r="M1269">
        <v>87</v>
      </c>
      <c r="N1269">
        <v>3</v>
      </c>
      <c r="O1269">
        <v>2</v>
      </c>
      <c r="P1269" s="1" t="s">
        <v>38</v>
      </c>
      <c r="Q1269">
        <v>3</v>
      </c>
      <c r="R1269" s="1" t="s">
        <v>49</v>
      </c>
      <c r="S1269">
        <v>4001</v>
      </c>
      <c r="T1269">
        <v>12313</v>
      </c>
      <c r="U1269">
        <v>1</v>
      </c>
      <c r="V1269" s="1" t="s">
        <v>33</v>
      </c>
      <c r="W1269">
        <v>14</v>
      </c>
      <c r="X1269">
        <v>3</v>
      </c>
      <c r="Y1269">
        <v>3</v>
      </c>
      <c r="Z1269">
        <v>80</v>
      </c>
      <c r="AA1269">
        <v>1</v>
      </c>
      <c r="AB1269">
        <v>15</v>
      </c>
      <c r="AC1269">
        <v>3</v>
      </c>
      <c r="AD1269">
        <v>3</v>
      </c>
      <c r="AE1269">
        <v>15</v>
      </c>
      <c r="AF1269">
        <v>14</v>
      </c>
      <c r="AG1269">
        <v>0</v>
      </c>
      <c r="AH1269">
        <v>7</v>
      </c>
      <c r="AI1269">
        <f>IF(tbl_HRData[[#This Row],[Attrition]] = "Yes",1,0)</f>
        <v>0</v>
      </c>
      <c r="AJ1269">
        <f>IF(tbl_HRData[[#This Row],[Attrition]] = "No",1,0)</f>
        <v>1</v>
      </c>
      <c r="AK1269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269" s="1" t="str">
        <f>IF(tbl_HRData[[#This Row],[MonthlyIncome]]&lt;5000,"Low",
IF(tbl_HRData[[#This Row],[MonthlyIncome]]&lt;10000,"Medium",
IF(tbl_HRData[[#This Row],[MonthlyIncome]]&lt;15000,"Upper Medium","High")))</f>
        <v>Low</v>
      </c>
      <c r="AM1269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1270" spans="1:39" x14ac:dyDescent="0.35">
      <c r="A1270" s="1">
        <v>1269</v>
      </c>
      <c r="B1270">
        <v>53</v>
      </c>
      <c r="C1270" s="1" t="s">
        <v>40</v>
      </c>
      <c r="D1270" s="1" t="s">
        <v>52</v>
      </c>
      <c r="E1270">
        <v>661</v>
      </c>
      <c r="F1270" s="1" t="s">
        <v>42</v>
      </c>
      <c r="G1270">
        <v>1</v>
      </c>
      <c r="H1270">
        <v>4</v>
      </c>
      <c r="I1270" s="1" t="s">
        <v>48</v>
      </c>
      <c r="J1270">
        <v>1775</v>
      </c>
      <c r="K1270">
        <v>1</v>
      </c>
      <c r="L1270" s="1" t="s">
        <v>37</v>
      </c>
      <c r="M1270">
        <v>60</v>
      </c>
      <c r="N1270">
        <v>2</v>
      </c>
      <c r="O1270">
        <v>4</v>
      </c>
      <c r="P1270" s="1" t="s">
        <v>50</v>
      </c>
      <c r="Q1270">
        <v>3</v>
      </c>
      <c r="R1270" s="1" t="s">
        <v>45</v>
      </c>
      <c r="S1270">
        <v>12965</v>
      </c>
      <c r="T1270">
        <v>22308</v>
      </c>
      <c r="U1270">
        <v>4</v>
      </c>
      <c r="V1270" s="1" t="s">
        <v>33</v>
      </c>
      <c r="W1270">
        <v>20</v>
      </c>
      <c r="X1270">
        <v>4</v>
      </c>
      <c r="Y1270">
        <v>4</v>
      </c>
      <c r="Z1270">
        <v>80</v>
      </c>
      <c r="AA1270">
        <v>3</v>
      </c>
      <c r="AB1270">
        <v>27</v>
      </c>
      <c r="AC1270">
        <v>2</v>
      </c>
      <c r="AD1270">
        <v>2</v>
      </c>
      <c r="AE1270">
        <v>3</v>
      </c>
      <c r="AF1270">
        <v>2</v>
      </c>
      <c r="AG1270">
        <v>0</v>
      </c>
      <c r="AH1270">
        <v>2</v>
      </c>
      <c r="AI1270">
        <f>IF(tbl_HRData[[#This Row],[Attrition]] = "Yes",1,0)</f>
        <v>0</v>
      </c>
      <c r="AJ1270">
        <f>IF(tbl_HRData[[#This Row],[Attrition]] = "No",1,0)</f>
        <v>1</v>
      </c>
      <c r="AK1270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1270" s="1" t="str">
        <f>IF(tbl_HRData[[#This Row],[MonthlyIncome]]&lt;5000,"Low",
IF(tbl_HRData[[#This Row],[MonthlyIncome]]&lt;10000,"Medium",
IF(tbl_HRData[[#This Row],[MonthlyIncome]]&lt;15000,"Upper Medium","High")))</f>
        <v>Upper Medium</v>
      </c>
      <c r="AM1270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271" spans="1:39" x14ac:dyDescent="0.35">
      <c r="A1271" s="1">
        <v>1270</v>
      </c>
      <c r="B1271">
        <v>43</v>
      </c>
      <c r="C1271" s="1" t="s">
        <v>40</v>
      </c>
      <c r="D1271" s="1" t="s">
        <v>34</v>
      </c>
      <c r="E1271">
        <v>244</v>
      </c>
      <c r="F1271" s="1" t="s">
        <v>58</v>
      </c>
      <c r="G1271">
        <v>2</v>
      </c>
      <c r="H1271">
        <v>3</v>
      </c>
      <c r="I1271" s="1" t="s">
        <v>36</v>
      </c>
      <c r="J1271">
        <v>1778</v>
      </c>
      <c r="K1271">
        <v>2</v>
      </c>
      <c r="L1271" s="1" t="s">
        <v>43</v>
      </c>
      <c r="M1271">
        <v>97</v>
      </c>
      <c r="N1271">
        <v>3</v>
      </c>
      <c r="O1271">
        <v>1</v>
      </c>
      <c r="P1271" s="1" t="s">
        <v>58</v>
      </c>
      <c r="Q1271">
        <v>4</v>
      </c>
      <c r="R1271" s="1" t="s">
        <v>39</v>
      </c>
      <c r="S1271">
        <v>3539</v>
      </c>
      <c r="T1271">
        <v>5033</v>
      </c>
      <c r="U1271">
        <v>0</v>
      </c>
      <c r="V1271" s="1" t="s">
        <v>40</v>
      </c>
      <c r="W1271">
        <v>13</v>
      </c>
      <c r="X1271">
        <v>3</v>
      </c>
      <c r="Y1271">
        <v>2</v>
      </c>
      <c r="Z1271">
        <v>80</v>
      </c>
      <c r="AA1271">
        <v>0</v>
      </c>
      <c r="AB1271">
        <v>10</v>
      </c>
      <c r="AC1271">
        <v>5</v>
      </c>
      <c r="AD1271">
        <v>3</v>
      </c>
      <c r="AE1271">
        <v>9</v>
      </c>
      <c r="AF1271">
        <v>7</v>
      </c>
      <c r="AG1271">
        <v>1</v>
      </c>
      <c r="AH1271">
        <v>8</v>
      </c>
      <c r="AI1271">
        <f>IF(tbl_HRData[[#This Row],[Attrition]] = "Yes",1,0)</f>
        <v>0</v>
      </c>
      <c r="AJ1271">
        <f>IF(tbl_HRData[[#This Row],[Attrition]] = "No",1,0)</f>
        <v>1</v>
      </c>
      <c r="AK1271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271" s="1" t="str">
        <f>IF(tbl_HRData[[#This Row],[MonthlyIncome]]&lt;5000,"Low",
IF(tbl_HRData[[#This Row],[MonthlyIncome]]&lt;10000,"Medium",
IF(tbl_HRData[[#This Row],[MonthlyIncome]]&lt;15000,"Upper Medium","High")))</f>
        <v>Low</v>
      </c>
      <c r="AM1271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272" spans="1:39" x14ac:dyDescent="0.35">
      <c r="A1272" s="1">
        <v>1271</v>
      </c>
      <c r="B1272">
        <v>34</v>
      </c>
      <c r="C1272" s="1" t="s">
        <v>40</v>
      </c>
      <c r="D1272" s="1" t="s">
        <v>34</v>
      </c>
      <c r="E1272">
        <v>511</v>
      </c>
      <c r="F1272" s="1" t="s">
        <v>35</v>
      </c>
      <c r="G1272">
        <v>3</v>
      </c>
      <c r="H1272">
        <v>2</v>
      </c>
      <c r="I1272" s="1" t="s">
        <v>36</v>
      </c>
      <c r="J1272">
        <v>1779</v>
      </c>
      <c r="K1272">
        <v>4</v>
      </c>
      <c r="L1272" s="1" t="s">
        <v>37</v>
      </c>
      <c r="M1272">
        <v>32</v>
      </c>
      <c r="N1272">
        <v>1</v>
      </c>
      <c r="O1272">
        <v>2</v>
      </c>
      <c r="P1272" s="1" t="s">
        <v>38</v>
      </c>
      <c r="Q1272">
        <v>4</v>
      </c>
      <c r="R1272" s="1" t="s">
        <v>39</v>
      </c>
      <c r="S1272">
        <v>6029</v>
      </c>
      <c r="T1272">
        <v>25353</v>
      </c>
      <c r="U1272">
        <v>5</v>
      </c>
      <c r="V1272" s="1" t="s">
        <v>40</v>
      </c>
      <c r="W1272">
        <v>12</v>
      </c>
      <c r="X1272">
        <v>3</v>
      </c>
      <c r="Y1272">
        <v>1</v>
      </c>
      <c r="Z1272">
        <v>80</v>
      </c>
      <c r="AA1272">
        <v>0</v>
      </c>
      <c r="AB1272">
        <v>6</v>
      </c>
      <c r="AC1272">
        <v>3</v>
      </c>
      <c r="AD1272">
        <v>3</v>
      </c>
      <c r="AE1272">
        <v>2</v>
      </c>
      <c r="AF1272">
        <v>2</v>
      </c>
      <c r="AG1272">
        <v>2</v>
      </c>
      <c r="AH1272">
        <v>2</v>
      </c>
      <c r="AI1272">
        <f>IF(tbl_HRData[[#This Row],[Attrition]] = "Yes",1,0)</f>
        <v>0</v>
      </c>
      <c r="AJ1272">
        <f>IF(tbl_HRData[[#This Row],[Attrition]] = "No",1,0)</f>
        <v>1</v>
      </c>
      <c r="AK1272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272" s="1" t="str">
        <f>IF(tbl_HRData[[#This Row],[MonthlyIncome]]&lt;5000,"Low",
IF(tbl_HRData[[#This Row],[MonthlyIncome]]&lt;10000,"Medium",
IF(tbl_HRData[[#This Row],[MonthlyIncome]]&lt;15000,"Upper Medium","High")))</f>
        <v>Medium</v>
      </c>
      <c r="AM1272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273" spans="1:39" x14ac:dyDescent="0.35">
      <c r="A1273" s="1">
        <v>1272</v>
      </c>
      <c r="B1273">
        <v>21</v>
      </c>
      <c r="C1273" s="1" t="s">
        <v>33</v>
      </c>
      <c r="D1273" s="1" t="s">
        <v>34</v>
      </c>
      <c r="E1273">
        <v>337</v>
      </c>
      <c r="F1273" s="1" t="s">
        <v>35</v>
      </c>
      <c r="G1273">
        <v>7</v>
      </c>
      <c r="H1273">
        <v>1</v>
      </c>
      <c r="I1273" s="1" t="s">
        <v>56</v>
      </c>
      <c r="J1273">
        <v>1780</v>
      </c>
      <c r="K1273">
        <v>2</v>
      </c>
      <c r="L1273" s="1" t="s">
        <v>43</v>
      </c>
      <c r="M1273">
        <v>31</v>
      </c>
      <c r="N1273">
        <v>3</v>
      </c>
      <c r="O1273">
        <v>1</v>
      </c>
      <c r="P1273" s="1" t="s">
        <v>54</v>
      </c>
      <c r="Q1273">
        <v>2</v>
      </c>
      <c r="R1273" s="1" t="s">
        <v>39</v>
      </c>
      <c r="S1273">
        <v>2679</v>
      </c>
      <c r="T1273">
        <v>4567</v>
      </c>
      <c r="U1273">
        <v>1</v>
      </c>
      <c r="V1273" s="1" t="s">
        <v>40</v>
      </c>
      <c r="W1273">
        <v>13</v>
      </c>
      <c r="X1273">
        <v>3</v>
      </c>
      <c r="Y1273">
        <v>2</v>
      </c>
      <c r="Z1273">
        <v>80</v>
      </c>
      <c r="AA1273">
        <v>0</v>
      </c>
      <c r="AB1273">
        <v>1</v>
      </c>
      <c r="AC1273">
        <v>3</v>
      </c>
      <c r="AD1273">
        <v>3</v>
      </c>
      <c r="AE1273">
        <v>1</v>
      </c>
      <c r="AF1273">
        <v>0</v>
      </c>
      <c r="AG1273">
        <v>1</v>
      </c>
      <c r="AH1273">
        <v>0</v>
      </c>
      <c r="AI1273">
        <f>IF(tbl_HRData[[#This Row],[Attrition]] = "Yes",1,0)</f>
        <v>1</v>
      </c>
      <c r="AJ1273">
        <f>IF(tbl_HRData[[#This Row],[Attrition]] = "No",1,0)</f>
        <v>0</v>
      </c>
      <c r="AK1273" t="str">
        <f>IF(tbl_HRData[[#This Row],[Age]] &lt; 25, "Under 25", IF(tbl_HRData[[#This Row],[Age]] &lt;= 34, "25-34", IF(tbl_HRData[[#This Row],[Age]] &lt;= 44, "35-44", IF(tbl_HRData[[#This Row],[Age]] &lt;= 54, "45-54", "55+"))))</f>
        <v>Under 25</v>
      </c>
      <c r="AL1273" s="1" t="str">
        <f>IF(tbl_HRData[[#This Row],[MonthlyIncome]]&lt;5000,"Low",
IF(tbl_HRData[[#This Row],[MonthlyIncome]]&lt;10000,"Medium",
IF(tbl_HRData[[#This Row],[MonthlyIncome]]&lt;15000,"Upper Medium","High")))</f>
        <v>Low</v>
      </c>
      <c r="AM1273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274" spans="1:39" x14ac:dyDescent="0.35">
      <c r="A1274" s="1">
        <v>1273</v>
      </c>
      <c r="B1274">
        <v>38</v>
      </c>
      <c r="C1274" s="1" t="s">
        <v>40</v>
      </c>
      <c r="D1274" s="1" t="s">
        <v>34</v>
      </c>
      <c r="E1274">
        <v>1153</v>
      </c>
      <c r="F1274" s="1" t="s">
        <v>42</v>
      </c>
      <c r="G1274">
        <v>6</v>
      </c>
      <c r="H1274">
        <v>2</v>
      </c>
      <c r="I1274" s="1" t="s">
        <v>46</v>
      </c>
      <c r="J1274">
        <v>1782</v>
      </c>
      <c r="K1274">
        <v>4</v>
      </c>
      <c r="L1274" s="1" t="s">
        <v>37</v>
      </c>
      <c r="M1274">
        <v>40</v>
      </c>
      <c r="N1274">
        <v>2</v>
      </c>
      <c r="O1274">
        <v>1</v>
      </c>
      <c r="P1274" s="1" t="s">
        <v>47</v>
      </c>
      <c r="Q1274">
        <v>3</v>
      </c>
      <c r="R1274" s="1" t="s">
        <v>45</v>
      </c>
      <c r="S1274">
        <v>3702</v>
      </c>
      <c r="T1274">
        <v>16376</v>
      </c>
      <c r="U1274">
        <v>1</v>
      </c>
      <c r="V1274" s="1" t="s">
        <v>40</v>
      </c>
      <c r="W1274">
        <v>11</v>
      </c>
      <c r="X1274">
        <v>3</v>
      </c>
      <c r="Y1274">
        <v>2</v>
      </c>
      <c r="Z1274">
        <v>80</v>
      </c>
      <c r="AA1274">
        <v>1</v>
      </c>
      <c r="AB1274">
        <v>5</v>
      </c>
      <c r="AC1274">
        <v>3</v>
      </c>
      <c r="AD1274">
        <v>3</v>
      </c>
      <c r="AE1274">
        <v>5</v>
      </c>
      <c r="AF1274">
        <v>4</v>
      </c>
      <c r="AG1274">
        <v>0</v>
      </c>
      <c r="AH1274">
        <v>4</v>
      </c>
      <c r="AI1274">
        <f>IF(tbl_HRData[[#This Row],[Attrition]] = "Yes",1,0)</f>
        <v>0</v>
      </c>
      <c r="AJ1274">
        <f>IF(tbl_HRData[[#This Row],[Attrition]] = "No",1,0)</f>
        <v>1</v>
      </c>
      <c r="AK1274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274" s="1" t="str">
        <f>IF(tbl_HRData[[#This Row],[MonthlyIncome]]&lt;5000,"Low",
IF(tbl_HRData[[#This Row],[MonthlyIncome]]&lt;10000,"Medium",
IF(tbl_HRData[[#This Row],[MonthlyIncome]]&lt;15000,"Upper Medium","High")))</f>
        <v>Low</v>
      </c>
      <c r="AM1274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275" spans="1:39" x14ac:dyDescent="0.35">
      <c r="A1275" s="1">
        <v>1274</v>
      </c>
      <c r="B1275">
        <v>22</v>
      </c>
      <c r="C1275" s="1" t="s">
        <v>33</v>
      </c>
      <c r="D1275" s="1" t="s">
        <v>34</v>
      </c>
      <c r="E1275">
        <v>1294</v>
      </c>
      <c r="F1275" s="1" t="s">
        <v>42</v>
      </c>
      <c r="G1275">
        <v>8</v>
      </c>
      <c r="H1275">
        <v>1</v>
      </c>
      <c r="I1275" s="1" t="s">
        <v>48</v>
      </c>
      <c r="J1275">
        <v>1783</v>
      </c>
      <c r="K1275">
        <v>3</v>
      </c>
      <c r="L1275" s="1" t="s">
        <v>37</v>
      </c>
      <c r="M1275">
        <v>79</v>
      </c>
      <c r="N1275">
        <v>3</v>
      </c>
      <c r="O1275">
        <v>1</v>
      </c>
      <c r="P1275" s="1" t="s">
        <v>47</v>
      </c>
      <c r="Q1275">
        <v>1</v>
      </c>
      <c r="R1275" s="1" t="s">
        <v>45</v>
      </c>
      <c r="S1275">
        <v>2398</v>
      </c>
      <c r="T1275">
        <v>15999</v>
      </c>
      <c r="U1275">
        <v>1</v>
      </c>
      <c r="V1275" s="1" t="s">
        <v>33</v>
      </c>
      <c r="W1275">
        <v>17</v>
      </c>
      <c r="X1275">
        <v>3</v>
      </c>
      <c r="Y1275">
        <v>3</v>
      </c>
      <c r="Z1275">
        <v>80</v>
      </c>
      <c r="AA1275">
        <v>0</v>
      </c>
      <c r="AB1275">
        <v>1</v>
      </c>
      <c r="AC1275">
        <v>6</v>
      </c>
      <c r="AD1275">
        <v>3</v>
      </c>
      <c r="AE1275">
        <v>1</v>
      </c>
      <c r="AF1275">
        <v>0</v>
      </c>
      <c r="AG1275">
        <v>0</v>
      </c>
      <c r="AH1275">
        <v>0</v>
      </c>
      <c r="AI1275">
        <f>IF(tbl_HRData[[#This Row],[Attrition]] = "Yes",1,0)</f>
        <v>1</v>
      </c>
      <c r="AJ1275">
        <f>IF(tbl_HRData[[#This Row],[Attrition]] = "No",1,0)</f>
        <v>0</v>
      </c>
      <c r="AK1275" t="str">
        <f>IF(tbl_HRData[[#This Row],[Age]] &lt; 25, "Under 25", IF(tbl_HRData[[#This Row],[Age]] &lt;= 34, "25-34", IF(tbl_HRData[[#This Row],[Age]] &lt;= 44, "35-44", IF(tbl_HRData[[#This Row],[Age]] &lt;= 54, "45-54", "55+"))))</f>
        <v>Under 25</v>
      </c>
      <c r="AL1275" s="1" t="str">
        <f>IF(tbl_HRData[[#This Row],[MonthlyIncome]]&lt;5000,"Low",
IF(tbl_HRData[[#This Row],[MonthlyIncome]]&lt;10000,"Medium",
IF(tbl_HRData[[#This Row],[MonthlyIncome]]&lt;15000,"Upper Medium","High")))</f>
        <v>Low</v>
      </c>
      <c r="AM1275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276" spans="1:39" x14ac:dyDescent="0.35">
      <c r="A1276" s="1">
        <v>1275</v>
      </c>
      <c r="B1276">
        <v>31</v>
      </c>
      <c r="C1276" s="1" t="s">
        <v>40</v>
      </c>
      <c r="D1276" s="1" t="s">
        <v>34</v>
      </c>
      <c r="E1276">
        <v>196</v>
      </c>
      <c r="F1276" s="1" t="s">
        <v>35</v>
      </c>
      <c r="G1276">
        <v>29</v>
      </c>
      <c r="H1276">
        <v>4</v>
      </c>
      <c r="I1276" s="1" t="s">
        <v>56</v>
      </c>
      <c r="J1276">
        <v>1784</v>
      </c>
      <c r="K1276">
        <v>1</v>
      </c>
      <c r="L1276" s="1" t="s">
        <v>37</v>
      </c>
      <c r="M1276">
        <v>91</v>
      </c>
      <c r="N1276">
        <v>2</v>
      </c>
      <c r="O1276">
        <v>2</v>
      </c>
      <c r="P1276" s="1" t="s">
        <v>38</v>
      </c>
      <c r="Q1276">
        <v>4</v>
      </c>
      <c r="R1276" s="1" t="s">
        <v>45</v>
      </c>
      <c r="S1276">
        <v>5468</v>
      </c>
      <c r="T1276">
        <v>13402</v>
      </c>
      <c r="U1276">
        <v>1</v>
      </c>
      <c r="V1276" s="1" t="s">
        <v>40</v>
      </c>
      <c r="W1276">
        <v>14</v>
      </c>
      <c r="X1276">
        <v>3</v>
      </c>
      <c r="Y1276">
        <v>1</v>
      </c>
      <c r="Z1276">
        <v>80</v>
      </c>
      <c r="AA1276">
        <v>2</v>
      </c>
      <c r="AB1276">
        <v>13</v>
      </c>
      <c r="AC1276">
        <v>3</v>
      </c>
      <c r="AD1276">
        <v>3</v>
      </c>
      <c r="AE1276">
        <v>12</v>
      </c>
      <c r="AF1276">
        <v>7</v>
      </c>
      <c r="AG1276">
        <v>5</v>
      </c>
      <c r="AH1276">
        <v>7</v>
      </c>
      <c r="AI1276">
        <f>IF(tbl_HRData[[#This Row],[Attrition]] = "Yes",1,0)</f>
        <v>0</v>
      </c>
      <c r="AJ1276">
        <f>IF(tbl_HRData[[#This Row],[Attrition]] = "No",1,0)</f>
        <v>1</v>
      </c>
      <c r="AK1276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276" s="1" t="str">
        <f>IF(tbl_HRData[[#This Row],[MonthlyIncome]]&lt;5000,"Low",
IF(tbl_HRData[[#This Row],[MonthlyIncome]]&lt;10000,"Medium",
IF(tbl_HRData[[#This Row],[MonthlyIncome]]&lt;15000,"Upper Medium","High")))</f>
        <v>Medium</v>
      </c>
      <c r="AM1276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1277" spans="1:39" x14ac:dyDescent="0.35">
      <c r="A1277" s="1">
        <v>1276</v>
      </c>
      <c r="B1277">
        <v>51</v>
      </c>
      <c r="C1277" s="1" t="s">
        <v>40</v>
      </c>
      <c r="D1277" s="1" t="s">
        <v>34</v>
      </c>
      <c r="E1277">
        <v>942</v>
      </c>
      <c r="F1277" s="1" t="s">
        <v>42</v>
      </c>
      <c r="G1277">
        <v>3</v>
      </c>
      <c r="H1277">
        <v>3</v>
      </c>
      <c r="I1277" s="1" t="s">
        <v>57</v>
      </c>
      <c r="J1277">
        <v>1786</v>
      </c>
      <c r="K1277">
        <v>1</v>
      </c>
      <c r="L1277" s="1" t="s">
        <v>37</v>
      </c>
      <c r="M1277">
        <v>53</v>
      </c>
      <c r="N1277">
        <v>3</v>
      </c>
      <c r="O1277">
        <v>3</v>
      </c>
      <c r="P1277" s="1" t="s">
        <v>53</v>
      </c>
      <c r="Q1277">
        <v>3</v>
      </c>
      <c r="R1277" s="1" t="s">
        <v>45</v>
      </c>
      <c r="S1277">
        <v>13116</v>
      </c>
      <c r="T1277">
        <v>22984</v>
      </c>
      <c r="U1277">
        <v>2</v>
      </c>
      <c r="V1277" s="1" t="s">
        <v>40</v>
      </c>
      <c r="W1277">
        <v>11</v>
      </c>
      <c r="X1277">
        <v>3</v>
      </c>
      <c r="Y1277">
        <v>4</v>
      </c>
      <c r="Z1277">
        <v>80</v>
      </c>
      <c r="AA1277">
        <v>0</v>
      </c>
      <c r="AB1277">
        <v>15</v>
      </c>
      <c r="AC1277">
        <v>2</v>
      </c>
      <c r="AD1277">
        <v>3</v>
      </c>
      <c r="AE1277">
        <v>2</v>
      </c>
      <c r="AF1277">
        <v>2</v>
      </c>
      <c r="AG1277">
        <v>2</v>
      </c>
      <c r="AH1277">
        <v>2</v>
      </c>
      <c r="AI1277">
        <f>IF(tbl_HRData[[#This Row],[Attrition]] = "Yes",1,0)</f>
        <v>0</v>
      </c>
      <c r="AJ1277">
        <f>IF(tbl_HRData[[#This Row],[Attrition]] = "No",1,0)</f>
        <v>1</v>
      </c>
      <c r="AK1277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1277" s="1" t="str">
        <f>IF(tbl_HRData[[#This Row],[MonthlyIncome]]&lt;5000,"Low",
IF(tbl_HRData[[#This Row],[MonthlyIncome]]&lt;10000,"Medium",
IF(tbl_HRData[[#This Row],[MonthlyIncome]]&lt;15000,"Upper Medium","High")))</f>
        <v>Upper Medium</v>
      </c>
      <c r="AM1277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278" spans="1:39" x14ac:dyDescent="0.35">
      <c r="A1278" s="1">
        <v>1277</v>
      </c>
      <c r="B1278">
        <v>37</v>
      </c>
      <c r="C1278" s="1" t="s">
        <v>40</v>
      </c>
      <c r="D1278" s="1" t="s">
        <v>34</v>
      </c>
      <c r="E1278">
        <v>589</v>
      </c>
      <c r="F1278" s="1" t="s">
        <v>35</v>
      </c>
      <c r="G1278">
        <v>9</v>
      </c>
      <c r="H1278">
        <v>2</v>
      </c>
      <c r="I1278" s="1" t="s">
        <v>56</v>
      </c>
      <c r="J1278">
        <v>1787</v>
      </c>
      <c r="K1278">
        <v>2</v>
      </c>
      <c r="L1278" s="1" t="s">
        <v>43</v>
      </c>
      <c r="M1278">
        <v>46</v>
      </c>
      <c r="N1278">
        <v>2</v>
      </c>
      <c r="O1278">
        <v>2</v>
      </c>
      <c r="P1278" s="1" t="s">
        <v>38</v>
      </c>
      <c r="Q1278">
        <v>2</v>
      </c>
      <c r="R1278" s="1" t="s">
        <v>45</v>
      </c>
      <c r="S1278">
        <v>4189</v>
      </c>
      <c r="T1278">
        <v>8800</v>
      </c>
      <c r="U1278">
        <v>1</v>
      </c>
      <c r="V1278" s="1" t="s">
        <v>40</v>
      </c>
      <c r="W1278">
        <v>14</v>
      </c>
      <c r="X1278">
        <v>3</v>
      </c>
      <c r="Y1278">
        <v>1</v>
      </c>
      <c r="Z1278">
        <v>80</v>
      </c>
      <c r="AA1278">
        <v>2</v>
      </c>
      <c r="AB1278">
        <v>5</v>
      </c>
      <c r="AC1278">
        <v>2</v>
      </c>
      <c r="AD1278">
        <v>3</v>
      </c>
      <c r="AE1278">
        <v>5</v>
      </c>
      <c r="AF1278">
        <v>2</v>
      </c>
      <c r="AG1278">
        <v>0</v>
      </c>
      <c r="AH1278">
        <v>3</v>
      </c>
      <c r="AI1278">
        <f>IF(tbl_HRData[[#This Row],[Attrition]] = "Yes",1,0)</f>
        <v>0</v>
      </c>
      <c r="AJ1278">
        <f>IF(tbl_HRData[[#This Row],[Attrition]] = "No",1,0)</f>
        <v>1</v>
      </c>
      <c r="AK1278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278" s="1" t="str">
        <f>IF(tbl_HRData[[#This Row],[MonthlyIncome]]&lt;5000,"Low",
IF(tbl_HRData[[#This Row],[MonthlyIncome]]&lt;10000,"Medium",
IF(tbl_HRData[[#This Row],[MonthlyIncome]]&lt;15000,"Upper Medium","High")))</f>
        <v>Low</v>
      </c>
      <c r="AM1278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279" spans="1:39" x14ac:dyDescent="0.35">
      <c r="A1279" s="1">
        <v>1278</v>
      </c>
      <c r="B1279">
        <v>46</v>
      </c>
      <c r="C1279" s="1" t="s">
        <v>40</v>
      </c>
      <c r="D1279" s="1" t="s">
        <v>34</v>
      </c>
      <c r="E1279">
        <v>734</v>
      </c>
      <c r="F1279" s="1" t="s">
        <v>42</v>
      </c>
      <c r="G1279">
        <v>2</v>
      </c>
      <c r="H1279">
        <v>4</v>
      </c>
      <c r="I1279" s="1" t="s">
        <v>48</v>
      </c>
      <c r="J1279">
        <v>1789</v>
      </c>
      <c r="K1279">
        <v>3</v>
      </c>
      <c r="L1279" s="1" t="s">
        <v>43</v>
      </c>
      <c r="M1279">
        <v>46</v>
      </c>
      <c r="N1279">
        <v>3</v>
      </c>
      <c r="O1279">
        <v>5</v>
      </c>
      <c r="P1279" s="1" t="s">
        <v>55</v>
      </c>
      <c r="Q1279">
        <v>4</v>
      </c>
      <c r="R1279" s="1" t="s">
        <v>49</v>
      </c>
      <c r="S1279">
        <v>19328</v>
      </c>
      <c r="T1279">
        <v>14218</v>
      </c>
      <c r="U1279">
        <v>7</v>
      </c>
      <c r="V1279" s="1" t="s">
        <v>33</v>
      </c>
      <c r="W1279">
        <v>17</v>
      </c>
      <c r="X1279">
        <v>3</v>
      </c>
      <c r="Y1279">
        <v>3</v>
      </c>
      <c r="Z1279">
        <v>80</v>
      </c>
      <c r="AA1279">
        <v>1</v>
      </c>
      <c r="AB1279">
        <v>24</v>
      </c>
      <c r="AC1279">
        <v>3</v>
      </c>
      <c r="AD1279">
        <v>3</v>
      </c>
      <c r="AE1279">
        <v>2</v>
      </c>
      <c r="AF1279">
        <v>1</v>
      </c>
      <c r="AG1279">
        <v>2</v>
      </c>
      <c r="AH1279">
        <v>2</v>
      </c>
      <c r="AI1279">
        <f>IF(tbl_HRData[[#This Row],[Attrition]] = "Yes",1,0)</f>
        <v>0</v>
      </c>
      <c r="AJ1279">
        <f>IF(tbl_HRData[[#This Row],[Attrition]] = "No",1,0)</f>
        <v>1</v>
      </c>
      <c r="AK1279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1279" s="1" t="str">
        <f>IF(tbl_HRData[[#This Row],[MonthlyIncome]]&lt;5000,"Low",
IF(tbl_HRData[[#This Row],[MonthlyIncome]]&lt;10000,"Medium",
IF(tbl_HRData[[#This Row],[MonthlyIncome]]&lt;15000,"Upper Medium","High")))</f>
        <v>High</v>
      </c>
      <c r="AM1279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280" spans="1:39" x14ac:dyDescent="0.35">
      <c r="A1280" s="1">
        <v>1279</v>
      </c>
      <c r="B1280">
        <v>36</v>
      </c>
      <c r="C1280" s="1" t="s">
        <v>40</v>
      </c>
      <c r="D1280" s="1" t="s">
        <v>34</v>
      </c>
      <c r="E1280">
        <v>1383</v>
      </c>
      <c r="F1280" s="1" t="s">
        <v>42</v>
      </c>
      <c r="G1280">
        <v>10</v>
      </c>
      <c r="H1280">
        <v>3</v>
      </c>
      <c r="I1280" s="1" t="s">
        <v>36</v>
      </c>
      <c r="J1280">
        <v>1790</v>
      </c>
      <c r="K1280">
        <v>4</v>
      </c>
      <c r="L1280" s="1" t="s">
        <v>43</v>
      </c>
      <c r="M1280">
        <v>90</v>
      </c>
      <c r="N1280">
        <v>3</v>
      </c>
      <c r="O1280">
        <v>3</v>
      </c>
      <c r="P1280" s="1" t="s">
        <v>51</v>
      </c>
      <c r="Q1280">
        <v>1</v>
      </c>
      <c r="R1280" s="1" t="s">
        <v>45</v>
      </c>
      <c r="S1280">
        <v>8321</v>
      </c>
      <c r="T1280">
        <v>25949</v>
      </c>
      <c r="U1280">
        <v>7</v>
      </c>
      <c r="V1280" s="1" t="s">
        <v>33</v>
      </c>
      <c r="W1280">
        <v>13</v>
      </c>
      <c r="X1280">
        <v>3</v>
      </c>
      <c r="Y1280">
        <v>4</v>
      </c>
      <c r="Z1280">
        <v>80</v>
      </c>
      <c r="AA1280">
        <v>1</v>
      </c>
      <c r="AB1280">
        <v>15</v>
      </c>
      <c r="AC1280">
        <v>1</v>
      </c>
      <c r="AD1280">
        <v>3</v>
      </c>
      <c r="AE1280">
        <v>12</v>
      </c>
      <c r="AF1280">
        <v>8</v>
      </c>
      <c r="AG1280">
        <v>5</v>
      </c>
      <c r="AH1280">
        <v>7</v>
      </c>
      <c r="AI1280">
        <f>IF(tbl_HRData[[#This Row],[Attrition]] = "Yes",1,0)</f>
        <v>0</v>
      </c>
      <c r="AJ1280">
        <f>IF(tbl_HRData[[#This Row],[Attrition]] = "No",1,0)</f>
        <v>1</v>
      </c>
      <c r="AK1280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280" s="1" t="str">
        <f>IF(tbl_HRData[[#This Row],[MonthlyIncome]]&lt;5000,"Low",
IF(tbl_HRData[[#This Row],[MonthlyIncome]]&lt;10000,"Medium",
IF(tbl_HRData[[#This Row],[MonthlyIncome]]&lt;15000,"Upper Medium","High")))</f>
        <v>Medium</v>
      </c>
      <c r="AM1280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1281" spans="1:39" x14ac:dyDescent="0.35">
      <c r="A1281" s="1">
        <v>1280</v>
      </c>
      <c r="B1281">
        <v>44</v>
      </c>
      <c r="C1281" s="1" t="s">
        <v>33</v>
      </c>
      <c r="D1281" s="1" t="s">
        <v>41</v>
      </c>
      <c r="E1281">
        <v>429</v>
      </c>
      <c r="F1281" s="1" t="s">
        <v>42</v>
      </c>
      <c r="G1281">
        <v>1</v>
      </c>
      <c r="H1281">
        <v>2</v>
      </c>
      <c r="I1281" s="1" t="s">
        <v>48</v>
      </c>
      <c r="J1281">
        <v>1792</v>
      </c>
      <c r="K1281">
        <v>3</v>
      </c>
      <c r="L1281" s="1" t="s">
        <v>43</v>
      </c>
      <c r="M1281">
        <v>99</v>
      </c>
      <c r="N1281">
        <v>3</v>
      </c>
      <c r="O1281">
        <v>1</v>
      </c>
      <c r="P1281" s="1" t="s">
        <v>44</v>
      </c>
      <c r="Q1281">
        <v>2</v>
      </c>
      <c r="R1281" s="1" t="s">
        <v>49</v>
      </c>
      <c r="S1281">
        <v>2342</v>
      </c>
      <c r="T1281">
        <v>11092</v>
      </c>
      <c r="U1281">
        <v>1</v>
      </c>
      <c r="V1281" s="1" t="s">
        <v>33</v>
      </c>
      <c r="W1281">
        <v>12</v>
      </c>
      <c r="X1281">
        <v>3</v>
      </c>
      <c r="Y1281">
        <v>3</v>
      </c>
      <c r="Z1281">
        <v>80</v>
      </c>
      <c r="AA1281">
        <v>3</v>
      </c>
      <c r="AB1281">
        <v>6</v>
      </c>
      <c r="AC1281">
        <v>2</v>
      </c>
      <c r="AD1281">
        <v>2</v>
      </c>
      <c r="AE1281">
        <v>5</v>
      </c>
      <c r="AF1281">
        <v>3</v>
      </c>
      <c r="AG1281">
        <v>2</v>
      </c>
      <c r="AH1281">
        <v>3</v>
      </c>
      <c r="AI1281">
        <f>IF(tbl_HRData[[#This Row],[Attrition]] = "Yes",1,0)</f>
        <v>1</v>
      </c>
      <c r="AJ1281">
        <f>IF(tbl_HRData[[#This Row],[Attrition]] = "No",1,0)</f>
        <v>0</v>
      </c>
      <c r="AK1281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281" s="1" t="str">
        <f>IF(tbl_HRData[[#This Row],[MonthlyIncome]]&lt;5000,"Low",
IF(tbl_HRData[[#This Row],[MonthlyIncome]]&lt;10000,"Medium",
IF(tbl_HRData[[#This Row],[MonthlyIncome]]&lt;15000,"Upper Medium","High")))</f>
        <v>Low</v>
      </c>
      <c r="AM1281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282" spans="1:39" x14ac:dyDescent="0.35">
      <c r="A1282" s="1">
        <v>1281</v>
      </c>
      <c r="B1282">
        <v>37</v>
      </c>
      <c r="C1282" s="1" t="s">
        <v>40</v>
      </c>
      <c r="D1282" s="1" t="s">
        <v>34</v>
      </c>
      <c r="E1282">
        <v>1239</v>
      </c>
      <c r="F1282" s="1" t="s">
        <v>58</v>
      </c>
      <c r="G1282">
        <v>8</v>
      </c>
      <c r="H1282">
        <v>2</v>
      </c>
      <c r="I1282" s="1" t="s">
        <v>46</v>
      </c>
      <c r="J1282">
        <v>1794</v>
      </c>
      <c r="K1282">
        <v>3</v>
      </c>
      <c r="L1282" s="1" t="s">
        <v>43</v>
      </c>
      <c r="M1282">
        <v>89</v>
      </c>
      <c r="N1282">
        <v>3</v>
      </c>
      <c r="O1282">
        <v>2</v>
      </c>
      <c r="P1282" s="1" t="s">
        <v>58</v>
      </c>
      <c r="Q1282">
        <v>2</v>
      </c>
      <c r="R1282" s="1" t="s">
        <v>49</v>
      </c>
      <c r="S1282">
        <v>4071</v>
      </c>
      <c r="T1282">
        <v>12832</v>
      </c>
      <c r="U1282">
        <v>2</v>
      </c>
      <c r="V1282" s="1" t="s">
        <v>40</v>
      </c>
      <c r="W1282">
        <v>13</v>
      </c>
      <c r="X1282">
        <v>3</v>
      </c>
      <c r="Y1282">
        <v>3</v>
      </c>
      <c r="Z1282">
        <v>80</v>
      </c>
      <c r="AA1282">
        <v>0</v>
      </c>
      <c r="AB1282">
        <v>19</v>
      </c>
      <c r="AC1282">
        <v>4</v>
      </c>
      <c r="AD1282">
        <v>2</v>
      </c>
      <c r="AE1282">
        <v>10</v>
      </c>
      <c r="AF1282">
        <v>0</v>
      </c>
      <c r="AG1282">
        <v>4</v>
      </c>
      <c r="AH1282">
        <v>7</v>
      </c>
      <c r="AI1282">
        <f>IF(tbl_HRData[[#This Row],[Attrition]] = "Yes",1,0)</f>
        <v>0</v>
      </c>
      <c r="AJ1282">
        <f>IF(tbl_HRData[[#This Row],[Attrition]] = "No",1,0)</f>
        <v>1</v>
      </c>
      <c r="AK1282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282" s="1" t="str">
        <f>IF(tbl_HRData[[#This Row],[MonthlyIncome]]&lt;5000,"Low",
IF(tbl_HRData[[#This Row],[MonthlyIncome]]&lt;10000,"Medium",
IF(tbl_HRData[[#This Row],[MonthlyIncome]]&lt;15000,"Upper Medium","High")))</f>
        <v>Low</v>
      </c>
      <c r="AM1282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283" spans="1:39" x14ac:dyDescent="0.35">
      <c r="A1283" s="1">
        <v>1282</v>
      </c>
      <c r="B1283">
        <v>35</v>
      </c>
      <c r="C1283" s="1" t="s">
        <v>33</v>
      </c>
      <c r="D1283" s="1" t="s">
        <v>34</v>
      </c>
      <c r="E1283">
        <v>303</v>
      </c>
      <c r="F1283" s="1" t="s">
        <v>35</v>
      </c>
      <c r="G1283">
        <v>27</v>
      </c>
      <c r="H1283">
        <v>3</v>
      </c>
      <c r="I1283" s="1" t="s">
        <v>36</v>
      </c>
      <c r="J1283">
        <v>1797</v>
      </c>
      <c r="K1283">
        <v>3</v>
      </c>
      <c r="L1283" s="1" t="s">
        <v>43</v>
      </c>
      <c r="M1283">
        <v>84</v>
      </c>
      <c r="N1283">
        <v>3</v>
      </c>
      <c r="O1283">
        <v>2</v>
      </c>
      <c r="P1283" s="1" t="s">
        <v>38</v>
      </c>
      <c r="Q1283">
        <v>4</v>
      </c>
      <c r="R1283" s="1" t="s">
        <v>39</v>
      </c>
      <c r="S1283">
        <v>5813</v>
      </c>
      <c r="T1283">
        <v>13492</v>
      </c>
      <c r="U1283">
        <v>1</v>
      </c>
      <c r="V1283" s="1" t="s">
        <v>33</v>
      </c>
      <c r="W1283">
        <v>18</v>
      </c>
      <c r="X1283">
        <v>3</v>
      </c>
      <c r="Y1283">
        <v>4</v>
      </c>
      <c r="Z1283">
        <v>80</v>
      </c>
      <c r="AA1283">
        <v>0</v>
      </c>
      <c r="AB1283">
        <v>10</v>
      </c>
      <c r="AC1283">
        <v>2</v>
      </c>
      <c r="AD1283">
        <v>3</v>
      </c>
      <c r="AE1283">
        <v>10</v>
      </c>
      <c r="AF1283">
        <v>7</v>
      </c>
      <c r="AG1283">
        <v>7</v>
      </c>
      <c r="AH1283">
        <v>7</v>
      </c>
      <c r="AI1283">
        <f>IF(tbl_HRData[[#This Row],[Attrition]] = "Yes",1,0)</f>
        <v>1</v>
      </c>
      <c r="AJ1283">
        <f>IF(tbl_HRData[[#This Row],[Attrition]] = "No",1,0)</f>
        <v>0</v>
      </c>
      <c r="AK1283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283" s="1" t="str">
        <f>IF(tbl_HRData[[#This Row],[MonthlyIncome]]&lt;5000,"Low",
IF(tbl_HRData[[#This Row],[MonthlyIncome]]&lt;10000,"Medium",
IF(tbl_HRData[[#This Row],[MonthlyIncome]]&lt;15000,"Upper Medium","High")))</f>
        <v>Medium</v>
      </c>
      <c r="AM1283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284" spans="1:39" x14ac:dyDescent="0.35">
      <c r="A1284" s="1">
        <v>1283</v>
      </c>
      <c r="B1284">
        <v>33</v>
      </c>
      <c r="C1284" s="1" t="s">
        <v>40</v>
      </c>
      <c r="D1284" s="1" t="s">
        <v>34</v>
      </c>
      <c r="E1284">
        <v>867</v>
      </c>
      <c r="F1284" s="1" t="s">
        <v>42</v>
      </c>
      <c r="G1284">
        <v>8</v>
      </c>
      <c r="H1284">
        <v>4</v>
      </c>
      <c r="I1284" s="1" t="s">
        <v>36</v>
      </c>
      <c r="J1284">
        <v>1798</v>
      </c>
      <c r="K1284">
        <v>4</v>
      </c>
      <c r="L1284" s="1" t="s">
        <v>43</v>
      </c>
      <c r="M1284">
        <v>90</v>
      </c>
      <c r="N1284">
        <v>4</v>
      </c>
      <c r="O1284">
        <v>1</v>
      </c>
      <c r="P1284" s="1" t="s">
        <v>44</v>
      </c>
      <c r="Q1284">
        <v>1</v>
      </c>
      <c r="R1284" s="1" t="s">
        <v>45</v>
      </c>
      <c r="S1284">
        <v>3143</v>
      </c>
      <c r="T1284">
        <v>6076</v>
      </c>
      <c r="U1284">
        <v>6</v>
      </c>
      <c r="V1284" s="1" t="s">
        <v>40</v>
      </c>
      <c r="W1284">
        <v>19</v>
      </c>
      <c r="X1284">
        <v>3</v>
      </c>
      <c r="Y1284">
        <v>2</v>
      </c>
      <c r="Z1284">
        <v>80</v>
      </c>
      <c r="AA1284">
        <v>1</v>
      </c>
      <c r="AB1284">
        <v>14</v>
      </c>
      <c r="AC1284">
        <v>1</v>
      </c>
      <c r="AD1284">
        <v>3</v>
      </c>
      <c r="AE1284">
        <v>10</v>
      </c>
      <c r="AF1284">
        <v>8</v>
      </c>
      <c r="AG1284">
        <v>7</v>
      </c>
      <c r="AH1284">
        <v>6</v>
      </c>
      <c r="AI1284">
        <f>IF(tbl_HRData[[#This Row],[Attrition]] = "Yes",1,0)</f>
        <v>0</v>
      </c>
      <c r="AJ1284">
        <f>IF(tbl_HRData[[#This Row],[Attrition]] = "No",1,0)</f>
        <v>1</v>
      </c>
      <c r="AK1284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284" s="1" t="str">
        <f>IF(tbl_HRData[[#This Row],[MonthlyIncome]]&lt;5000,"Low",
IF(tbl_HRData[[#This Row],[MonthlyIncome]]&lt;10000,"Medium",
IF(tbl_HRData[[#This Row],[MonthlyIncome]]&lt;15000,"Upper Medium","High")))</f>
        <v>Low</v>
      </c>
      <c r="AM1284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285" spans="1:39" x14ac:dyDescent="0.35">
      <c r="A1285" s="1">
        <v>1284</v>
      </c>
      <c r="B1285">
        <v>28</v>
      </c>
      <c r="C1285" s="1" t="s">
        <v>40</v>
      </c>
      <c r="D1285" s="1" t="s">
        <v>34</v>
      </c>
      <c r="E1285">
        <v>1181</v>
      </c>
      <c r="F1285" s="1" t="s">
        <v>42</v>
      </c>
      <c r="G1285">
        <v>1</v>
      </c>
      <c r="H1285">
        <v>3</v>
      </c>
      <c r="I1285" s="1" t="s">
        <v>36</v>
      </c>
      <c r="J1285">
        <v>1799</v>
      </c>
      <c r="K1285">
        <v>3</v>
      </c>
      <c r="L1285" s="1" t="s">
        <v>43</v>
      </c>
      <c r="M1285">
        <v>82</v>
      </c>
      <c r="N1285">
        <v>3</v>
      </c>
      <c r="O1285">
        <v>1</v>
      </c>
      <c r="P1285" s="1" t="s">
        <v>44</v>
      </c>
      <c r="Q1285">
        <v>4</v>
      </c>
      <c r="R1285" s="1" t="s">
        <v>45</v>
      </c>
      <c r="S1285">
        <v>2044</v>
      </c>
      <c r="T1285">
        <v>5531</v>
      </c>
      <c r="U1285">
        <v>1</v>
      </c>
      <c r="V1285" s="1" t="s">
        <v>40</v>
      </c>
      <c r="W1285">
        <v>11</v>
      </c>
      <c r="X1285">
        <v>3</v>
      </c>
      <c r="Y1285">
        <v>3</v>
      </c>
      <c r="Z1285">
        <v>80</v>
      </c>
      <c r="AA1285">
        <v>1</v>
      </c>
      <c r="AB1285">
        <v>5</v>
      </c>
      <c r="AC1285">
        <v>6</v>
      </c>
      <c r="AD1285">
        <v>4</v>
      </c>
      <c r="AE1285">
        <v>5</v>
      </c>
      <c r="AF1285">
        <v>3</v>
      </c>
      <c r="AG1285">
        <v>0</v>
      </c>
      <c r="AH1285">
        <v>3</v>
      </c>
      <c r="AI1285">
        <f>IF(tbl_HRData[[#This Row],[Attrition]] = "Yes",1,0)</f>
        <v>0</v>
      </c>
      <c r="AJ1285">
        <f>IF(tbl_HRData[[#This Row],[Attrition]] = "No",1,0)</f>
        <v>1</v>
      </c>
      <c r="AK1285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285" s="1" t="str">
        <f>IF(tbl_HRData[[#This Row],[MonthlyIncome]]&lt;5000,"Low",
IF(tbl_HRData[[#This Row],[MonthlyIncome]]&lt;10000,"Medium",
IF(tbl_HRData[[#This Row],[MonthlyIncome]]&lt;15000,"Upper Medium","High")))</f>
        <v>Low</v>
      </c>
      <c r="AM1285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286" spans="1:39" x14ac:dyDescent="0.35">
      <c r="A1286" s="1">
        <v>1285</v>
      </c>
      <c r="B1286">
        <v>39</v>
      </c>
      <c r="C1286" s="1" t="s">
        <v>40</v>
      </c>
      <c r="D1286" s="1" t="s">
        <v>34</v>
      </c>
      <c r="E1286">
        <v>1253</v>
      </c>
      <c r="F1286" s="1" t="s">
        <v>42</v>
      </c>
      <c r="G1286">
        <v>10</v>
      </c>
      <c r="H1286">
        <v>1</v>
      </c>
      <c r="I1286" s="1" t="s">
        <v>48</v>
      </c>
      <c r="J1286">
        <v>1800</v>
      </c>
      <c r="K1286">
        <v>3</v>
      </c>
      <c r="L1286" s="1" t="s">
        <v>43</v>
      </c>
      <c r="M1286">
        <v>65</v>
      </c>
      <c r="N1286">
        <v>3</v>
      </c>
      <c r="O1286">
        <v>3</v>
      </c>
      <c r="P1286" s="1" t="s">
        <v>55</v>
      </c>
      <c r="Q1286">
        <v>3</v>
      </c>
      <c r="R1286" s="1" t="s">
        <v>39</v>
      </c>
      <c r="S1286">
        <v>13464</v>
      </c>
      <c r="T1286">
        <v>7914</v>
      </c>
      <c r="U1286">
        <v>7</v>
      </c>
      <c r="V1286" s="1" t="s">
        <v>40</v>
      </c>
      <c r="W1286">
        <v>21</v>
      </c>
      <c r="X1286">
        <v>4</v>
      </c>
      <c r="Y1286">
        <v>3</v>
      </c>
      <c r="Z1286">
        <v>80</v>
      </c>
      <c r="AA1286">
        <v>0</v>
      </c>
      <c r="AB1286">
        <v>9</v>
      </c>
      <c r="AC1286">
        <v>3</v>
      </c>
      <c r="AD1286">
        <v>3</v>
      </c>
      <c r="AE1286">
        <v>4</v>
      </c>
      <c r="AF1286">
        <v>3</v>
      </c>
      <c r="AG1286">
        <v>2</v>
      </c>
      <c r="AH1286">
        <v>2</v>
      </c>
      <c r="AI1286">
        <f>IF(tbl_HRData[[#This Row],[Attrition]] = "Yes",1,0)</f>
        <v>0</v>
      </c>
      <c r="AJ1286">
        <f>IF(tbl_HRData[[#This Row],[Attrition]] = "No",1,0)</f>
        <v>1</v>
      </c>
      <c r="AK1286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286" s="1" t="str">
        <f>IF(tbl_HRData[[#This Row],[MonthlyIncome]]&lt;5000,"Low",
IF(tbl_HRData[[#This Row],[MonthlyIncome]]&lt;10000,"Medium",
IF(tbl_HRData[[#This Row],[MonthlyIncome]]&lt;15000,"Upper Medium","High")))</f>
        <v>Upper Medium</v>
      </c>
      <c r="AM1286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287" spans="1:39" x14ac:dyDescent="0.35">
      <c r="A1287" s="1">
        <v>1286</v>
      </c>
      <c r="B1287">
        <v>46</v>
      </c>
      <c r="C1287" s="1" t="s">
        <v>40</v>
      </c>
      <c r="D1287" s="1" t="s">
        <v>52</v>
      </c>
      <c r="E1287">
        <v>849</v>
      </c>
      <c r="F1287" s="1" t="s">
        <v>35</v>
      </c>
      <c r="G1287">
        <v>26</v>
      </c>
      <c r="H1287">
        <v>2</v>
      </c>
      <c r="I1287" s="1" t="s">
        <v>36</v>
      </c>
      <c r="J1287">
        <v>1801</v>
      </c>
      <c r="K1287">
        <v>2</v>
      </c>
      <c r="L1287" s="1" t="s">
        <v>43</v>
      </c>
      <c r="M1287">
        <v>98</v>
      </c>
      <c r="N1287">
        <v>2</v>
      </c>
      <c r="O1287">
        <v>2</v>
      </c>
      <c r="P1287" s="1" t="s">
        <v>38</v>
      </c>
      <c r="Q1287">
        <v>2</v>
      </c>
      <c r="R1287" s="1" t="s">
        <v>39</v>
      </c>
      <c r="S1287">
        <v>7991</v>
      </c>
      <c r="T1287">
        <v>25166</v>
      </c>
      <c r="U1287">
        <v>8</v>
      </c>
      <c r="V1287" s="1" t="s">
        <v>40</v>
      </c>
      <c r="W1287">
        <v>15</v>
      </c>
      <c r="X1287">
        <v>3</v>
      </c>
      <c r="Y1287">
        <v>3</v>
      </c>
      <c r="Z1287">
        <v>80</v>
      </c>
      <c r="AA1287">
        <v>0</v>
      </c>
      <c r="AB1287">
        <v>6</v>
      </c>
      <c r="AC1287">
        <v>3</v>
      </c>
      <c r="AD1287">
        <v>3</v>
      </c>
      <c r="AE1287">
        <v>2</v>
      </c>
      <c r="AF1287">
        <v>2</v>
      </c>
      <c r="AG1287">
        <v>2</v>
      </c>
      <c r="AH1287">
        <v>2</v>
      </c>
      <c r="AI1287">
        <f>IF(tbl_HRData[[#This Row],[Attrition]] = "Yes",1,0)</f>
        <v>0</v>
      </c>
      <c r="AJ1287">
        <f>IF(tbl_HRData[[#This Row],[Attrition]] = "No",1,0)</f>
        <v>1</v>
      </c>
      <c r="AK1287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1287" s="1" t="str">
        <f>IF(tbl_HRData[[#This Row],[MonthlyIncome]]&lt;5000,"Low",
IF(tbl_HRData[[#This Row],[MonthlyIncome]]&lt;10000,"Medium",
IF(tbl_HRData[[#This Row],[MonthlyIncome]]&lt;15000,"Upper Medium","High")))</f>
        <v>Medium</v>
      </c>
      <c r="AM1287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288" spans="1:39" x14ac:dyDescent="0.35">
      <c r="A1288" s="1">
        <v>1287</v>
      </c>
      <c r="B1288">
        <v>40</v>
      </c>
      <c r="C1288" s="1" t="s">
        <v>40</v>
      </c>
      <c r="D1288" s="1" t="s">
        <v>34</v>
      </c>
      <c r="E1288">
        <v>616</v>
      </c>
      <c r="F1288" s="1" t="s">
        <v>42</v>
      </c>
      <c r="G1288">
        <v>2</v>
      </c>
      <c r="H1288">
        <v>2</v>
      </c>
      <c r="I1288" s="1" t="s">
        <v>36</v>
      </c>
      <c r="J1288">
        <v>1802</v>
      </c>
      <c r="K1288">
        <v>3</v>
      </c>
      <c r="L1288" s="1" t="s">
        <v>37</v>
      </c>
      <c r="M1288">
        <v>99</v>
      </c>
      <c r="N1288">
        <v>3</v>
      </c>
      <c r="O1288">
        <v>1</v>
      </c>
      <c r="P1288" s="1" t="s">
        <v>47</v>
      </c>
      <c r="Q1288">
        <v>1</v>
      </c>
      <c r="R1288" s="1" t="s">
        <v>45</v>
      </c>
      <c r="S1288">
        <v>3377</v>
      </c>
      <c r="T1288">
        <v>25605</v>
      </c>
      <c r="U1288">
        <v>4</v>
      </c>
      <c r="V1288" s="1" t="s">
        <v>40</v>
      </c>
      <c r="W1288">
        <v>17</v>
      </c>
      <c r="X1288">
        <v>3</v>
      </c>
      <c r="Y1288">
        <v>4</v>
      </c>
      <c r="Z1288">
        <v>80</v>
      </c>
      <c r="AA1288">
        <v>1</v>
      </c>
      <c r="AB1288">
        <v>7</v>
      </c>
      <c r="AC1288">
        <v>5</v>
      </c>
      <c r="AD1288">
        <v>2</v>
      </c>
      <c r="AE1288">
        <v>4</v>
      </c>
      <c r="AF1288">
        <v>3</v>
      </c>
      <c r="AG1288">
        <v>0</v>
      </c>
      <c r="AH1288">
        <v>2</v>
      </c>
      <c r="AI1288">
        <f>IF(tbl_HRData[[#This Row],[Attrition]] = "Yes",1,0)</f>
        <v>0</v>
      </c>
      <c r="AJ1288">
        <f>IF(tbl_HRData[[#This Row],[Attrition]] = "No",1,0)</f>
        <v>1</v>
      </c>
      <c r="AK1288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288" s="1" t="str">
        <f>IF(tbl_HRData[[#This Row],[MonthlyIncome]]&lt;5000,"Low",
IF(tbl_HRData[[#This Row],[MonthlyIncome]]&lt;10000,"Medium",
IF(tbl_HRData[[#This Row],[MonthlyIncome]]&lt;15000,"Upper Medium","High")))</f>
        <v>Low</v>
      </c>
      <c r="AM1288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289" spans="1:39" x14ac:dyDescent="0.35">
      <c r="A1289" s="1">
        <v>1288</v>
      </c>
      <c r="B1289">
        <v>42</v>
      </c>
      <c r="C1289" s="1" t="s">
        <v>40</v>
      </c>
      <c r="D1289" s="1" t="s">
        <v>34</v>
      </c>
      <c r="E1289">
        <v>1128</v>
      </c>
      <c r="F1289" s="1" t="s">
        <v>42</v>
      </c>
      <c r="G1289">
        <v>13</v>
      </c>
      <c r="H1289">
        <v>3</v>
      </c>
      <c r="I1289" s="1" t="s">
        <v>48</v>
      </c>
      <c r="J1289">
        <v>1803</v>
      </c>
      <c r="K1289">
        <v>2</v>
      </c>
      <c r="L1289" s="1" t="s">
        <v>43</v>
      </c>
      <c r="M1289">
        <v>95</v>
      </c>
      <c r="N1289">
        <v>4</v>
      </c>
      <c r="O1289">
        <v>2</v>
      </c>
      <c r="P1289" s="1" t="s">
        <v>51</v>
      </c>
      <c r="Q1289">
        <v>1</v>
      </c>
      <c r="R1289" s="1" t="s">
        <v>45</v>
      </c>
      <c r="S1289">
        <v>5538</v>
      </c>
      <c r="T1289">
        <v>5696</v>
      </c>
      <c r="U1289">
        <v>5</v>
      </c>
      <c r="V1289" s="1" t="s">
        <v>40</v>
      </c>
      <c r="W1289">
        <v>18</v>
      </c>
      <c r="X1289">
        <v>3</v>
      </c>
      <c r="Y1289">
        <v>3</v>
      </c>
      <c r="Z1289">
        <v>80</v>
      </c>
      <c r="AA1289">
        <v>2</v>
      </c>
      <c r="AB1289">
        <v>10</v>
      </c>
      <c r="AC1289">
        <v>2</v>
      </c>
      <c r="AD1289">
        <v>2</v>
      </c>
      <c r="AE1289">
        <v>0</v>
      </c>
      <c r="AF1289">
        <v>0</v>
      </c>
      <c r="AG1289">
        <v>0</v>
      </c>
      <c r="AH1289">
        <v>0</v>
      </c>
      <c r="AI1289">
        <f>IF(tbl_HRData[[#This Row],[Attrition]] = "Yes",1,0)</f>
        <v>0</v>
      </c>
      <c r="AJ1289">
        <f>IF(tbl_HRData[[#This Row],[Attrition]] = "No",1,0)</f>
        <v>1</v>
      </c>
      <c r="AK1289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289" s="1" t="str">
        <f>IF(tbl_HRData[[#This Row],[MonthlyIncome]]&lt;5000,"Low",
IF(tbl_HRData[[#This Row],[MonthlyIncome]]&lt;10000,"Medium",
IF(tbl_HRData[[#This Row],[MonthlyIncome]]&lt;15000,"Upper Medium","High")))</f>
        <v>Medium</v>
      </c>
      <c r="AM1289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290" spans="1:39" x14ac:dyDescent="0.35">
      <c r="A1290" s="1">
        <v>1289</v>
      </c>
      <c r="B1290">
        <v>35</v>
      </c>
      <c r="C1290" s="1" t="s">
        <v>40</v>
      </c>
      <c r="D1290" s="1" t="s">
        <v>52</v>
      </c>
      <c r="E1290">
        <v>1180</v>
      </c>
      <c r="F1290" s="1" t="s">
        <v>42</v>
      </c>
      <c r="G1290">
        <v>2</v>
      </c>
      <c r="H1290">
        <v>2</v>
      </c>
      <c r="I1290" s="1" t="s">
        <v>48</v>
      </c>
      <c r="J1290">
        <v>1804</v>
      </c>
      <c r="K1290">
        <v>2</v>
      </c>
      <c r="L1290" s="1" t="s">
        <v>43</v>
      </c>
      <c r="M1290">
        <v>90</v>
      </c>
      <c r="N1290">
        <v>3</v>
      </c>
      <c r="O1290">
        <v>2</v>
      </c>
      <c r="P1290" s="1" t="s">
        <v>50</v>
      </c>
      <c r="Q1290">
        <v>4</v>
      </c>
      <c r="R1290" s="1" t="s">
        <v>49</v>
      </c>
      <c r="S1290">
        <v>5762</v>
      </c>
      <c r="T1290">
        <v>24442</v>
      </c>
      <c r="U1290">
        <v>2</v>
      </c>
      <c r="V1290" s="1" t="s">
        <v>40</v>
      </c>
      <c r="W1290">
        <v>14</v>
      </c>
      <c r="X1290">
        <v>3</v>
      </c>
      <c r="Y1290">
        <v>3</v>
      </c>
      <c r="Z1290">
        <v>80</v>
      </c>
      <c r="AA1290">
        <v>1</v>
      </c>
      <c r="AB1290">
        <v>15</v>
      </c>
      <c r="AC1290">
        <v>6</v>
      </c>
      <c r="AD1290">
        <v>3</v>
      </c>
      <c r="AE1290">
        <v>7</v>
      </c>
      <c r="AF1290">
        <v>7</v>
      </c>
      <c r="AG1290">
        <v>1</v>
      </c>
      <c r="AH1290">
        <v>7</v>
      </c>
      <c r="AI1290">
        <f>IF(tbl_HRData[[#This Row],[Attrition]] = "Yes",1,0)</f>
        <v>0</v>
      </c>
      <c r="AJ1290">
        <f>IF(tbl_HRData[[#This Row],[Attrition]] = "No",1,0)</f>
        <v>1</v>
      </c>
      <c r="AK1290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290" s="1" t="str">
        <f>IF(tbl_HRData[[#This Row],[MonthlyIncome]]&lt;5000,"Low",
IF(tbl_HRData[[#This Row],[MonthlyIncome]]&lt;10000,"Medium",
IF(tbl_HRData[[#This Row],[MonthlyIncome]]&lt;15000,"Upper Medium","High")))</f>
        <v>Medium</v>
      </c>
      <c r="AM1290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291" spans="1:39" x14ac:dyDescent="0.35">
      <c r="A1291" s="1">
        <v>1290</v>
      </c>
      <c r="B1291">
        <v>38</v>
      </c>
      <c r="C1291" s="1" t="s">
        <v>40</v>
      </c>
      <c r="D1291" s="1" t="s">
        <v>52</v>
      </c>
      <c r="E1291">
        <v>1336</v>
      </c>
      <c r="F1291" s="1" t="s">
        <v>58</v>
      </c>
      <c r="G1291">
        <v>2</v>
      </c>
      <c r="H1291">
        <v>3</v>
      </c>
      <c r="I1291" s="1" t="s">
        <v>58</v>
      </c>
      <c r="J1291">
        <v>1805</v>
      </c>
      <c r="K1291">
        <v>1</v>
      </c>
      <c r="L1291" s="1" t="s">
        <v>43</v>
      </c>
      <c r="M1291">
        <v>100</v>
      </c>
      <c r="N1291">
        <v>3</v>
      </c>
      <c r="O1291">
        <v>1</v>
      </c>
      <c r="P1291" s="1" t="s">
        <v>58</v>
      </c>
      <c r="Q1291">
        <v>2</v>
      </c>
      <c r="R1291" s="1" t="s">
        <v>49</v>
      </c>
      <c r="S1291">
        <v>2592</v>
      </c>
      <c r="T1291">
        <v>7129</v>
      </c>
      <c r="U1291">
        <v>5</v>
      </c>
      <c r="V1291" s="1" t="s">
        <v>40</v>
      </c>
      <c r="W1291">
        <v>13</v>
      </c>
      <c r="X1291">
        <v>3</v>
      </c>
      <c r="Y1291">
        <v>4</v>
      </c>
      <c r="Z1291">
        <v>80</v>
      </c>
      <c r="AA1291">
        <v>3</v>
      </c>
      <c r="AB1291">
        <v>13</v>
      </c>
      <c r="AC1291">
        <v>3</v>
      </c>
      <c r="AD1291">
        <v>3</v>
      </c>
      <c r="AE1291">
        <v>11</v>
      </c>
      <c r="AF1291">
        <v>10</v>
      </c>
      <c r="AG1291">
        <v>3</v>
      </c>
      <c r="AH1291">
        <v>8</v>
      </c>
      <c r="AI1291">
        <f>IF(tbl_HRData[[#This Row],[Attrition]] = "Yes",1,0)</f>
        <v>0</v>
      </c>
      <c r="AJ1291">
        <f>IF(tbl_HRData[[#This Row],[Attrition]] = "No",1,0)</f>
        <v>1</v>
      </c>
      <c r="AK1291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291" s="1" t="str">
        <f>IF(tbl_HRData[[#This Row],[MonthlyIncome]]&lt;5000,"Low",
IF(tbl_HRData[[#This Row],[MonthlyIncome]]&lt;10000,"Medium",
IF(tbl_HRData[[#This Row],[MonthlyIncome]]&lt;15000,"Upper Medium","High")))</f>
        <v>Low</v>
      </c>
      <c r="AM1291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1292" spans="1:39" x14ac:dyDescent="0.35">
      <c r="A1292" s="1">
        <v>1291</v>
      </c>
      <c r="B1292">
        <v>34</v>
      </c>
      <c r="C1292" s="1" t="s">
        <v>33</v>
      </c>
      <c r="D1292" s="1" t="s">
        <v>41</v>
      </c>
      <c r="E1292">
        <v>234</v>
      </c>
      <c r="F1292" s="1" t="s">
        <v>42</v>
      </c>
      <c r="G1292">
        <v>9</v>
      </c>
      <c r="H1292">
        <v>4</v>
      </c>
      <c r="I1292" s="1" t="s">
        <v>36</v>
      </c>
      <c r="J1292">
        <v>1807</v>
      </c>
      <c r="K1292">
        <v>4</v>
      </c>
      <c r="L1292" s="1" t="s">
        <v>43</v>
      </c>
      <c r="M1292">
        <v>93</v>
      </c>
      <c r="N1292">
        <v>3</v>
      </c>
      <c r="O1292">
        <v>2</v>
      </c>
      <c r="P1292" s="1" t="s">
        <v>47</v>
      </c>
      <c r="Q1292">
        <v>1</v>
      </c>
      <c r="R1292" s="1" t="s">
        <v>45</v>
      </c>
      <c r="S1292">
        <v>5346</v>
      </c>
      <c r="T1292">
        <v>6208</v>
      </c>
      <c r="U1292">
        <v>4</v>
      </c>
      <c r="V1292" s="1" t="s">
        <v>40</v>
      </c>
      <c r="W1292">
        <v>17</v>
      </c>
      <c r="X1292">
        <v>3</v>
      </c>
      <c r="Y1292">
        <v>3</v>
      </c>
      <c r="Z1292">
        <v>80</v>
      </c>
      <c r="AA1292">
        <v>1</v>
      </c>
      <c r="AB1292">
        <v>11</v>
      </c>
      <c r="AC1292">
        <v>3</v>
      </c>
      <c r="AD1292">
        <v>2</v>
      </c>
      <c r="AE1292">
        <v>7</v>
      </c>
      <c r="AF1292">
        <v>1</v>
      </c>
      <c r="AG1292">
        <v>0</v>
      </c>
      <c r="AH1292">
        <v>7</v>
      </c>
      <c r="AI1292">
        <f>IF(tbl_HRData[[#This Row],[Attrition]] = "Yes",1,0)</f>
        <v>1</v>
      </c>
      <c r="AJ1292">
        <f>IF(tbl_HRData[[#This Row],[Attrition]] = "No",1,0)</f>
        <v>0</v>
      </c>
      <c r="AK1292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292" s="1" t="str">
        <f>IF(tbl_HRData[[#This Row],[MonthlyIncome]]&lt;5000,"Low",
IF(tbl_HRData[[#This Row],[MonthlyIncome]]&lt;10000,"Medium",
IF(tbl_HRData[[#This Row],[MonthlyIncome]]&lt;15000,"Upper Medium","High")))</f>
        <v>Medium</v>
      </c>
      <c r="AM1292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293" spans="1:39" x14ac:dyDescent="0.35">
      <c r="A1293" s="1">
        <v>1292</v>
      </c>
      <c r="B1293">
        <v>37</v>
      </c>
      <c r="C1293" s="1" t="s">
        <v>33</v>
      </c>
      <c r="D1293" s="1" t="s">
        <v>34</v>
      </c>
      <c r="E1293">
        <v>370</v>
      </c>
      <c r="F1293" s="1" t="s">
        <v>42</v>
      </c>
      <c r="G1293">
        <v>10</v>
      </c>
      <c r="H1293">
        <v>4</v>
      </c>
      <c r="I1293" s="1" t="s">
        <v>48</v>
      </c>
      <c r="J1293">
        <v>1809</v>
      </c>
      <c r="K1293">
        <v>4</v>
      </c>
      <c r="L1293" s="1" t="s">
        <v>43</v>
      </c>
      <c r="M1293">
        <v>58</v>
      </c>
      <c r="N1293">
        <v>3</v>
      </c>
      <c r="O1293">
        <v>2</v>
      </c>
      <c r="P1293" s="1" t="s">
        <v>50</v>
      </c>
      <c r="Q1293">
        <v>1</v>
      </c>
      <c r="R1293" s="1" t="s">
        <v>39</v>
      </c>
      <c r="S1293">
        <v>4213</v>
      </c>
      <c r="T1293">
        <v>4992</v>
      </c>
      <c r="U1293">
        <v>1</v>
      </c>
      <c r="V1293" s="1" t="s">
        <v>40</v>
      </c>
      <c r="W1293">
        <v>15</v>
      </c>
      <c r="X1293">
        <v>3</v>
      </c>
      <c r="Y1293">
        <v>2</v>
      </c>
      <c r="Z1293">
        <v>80</v>
      </c>
      <c r="AA1293">
        <v>0</v>
      </c>
      <c r="AB1293">
        <v>10</v>
      </c>
      <c r="AC1293">
        <v>4</v>
      </c>
      <c r="AD1293">
        <v>1</v>
      </c>
      <c r="AE1293">
        <v>10</v>
      </c>
      <c r="AF1293">
        <v>3</v>
      </c>
      <c r="AG1293">
        <v>0</v>
      </c>
      <c r="AH1293">
        <v>8</v>
      </c>
      <c r="AI1293">
        <f>IF(tbl_HRData[[#This Row],[Attrition]] = "Yes",1,0)</f>
        <v>1</v>
      </c>
      <c r="AJ1293">
        <f>IF(tbl_HRData[[#This Row],[Attrition]] = "No",1,0)</f>
        <v>0</v>
      </c>
      <c r="AK1293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293" s="1" t="str">
        <f>IF(tbl_HRData[[#This Row],[MonthlyIncome]]&lt;5000,"Low",
IF(tbl_HRData[[#This Row],[MonthlyIncome]]&lt;10000,"Medium",
IF(tbl_HRData[[#This Row],[MonthlyIncome]]&lt;15000,"Upper Medium","High")))</f>
        <v>Low</v>
      </c>
      <c r="AM1293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294" spans="1:39" x14ac:dyDescent="0.35">
      <c r="A1294" s="1">
        <v>1293</v>
      </c>
      <c r="B1294">
        <v>39</v>
      </c>
      <c r="C1294" s="1" t="s">
        <v>40</v>
      </c>
      <c r="D1294" s="1" t="s">
        <v>41</v>
      </c>
      <c r="E1294">
        <v>766</v>
      </c>
      <c r="F1294" s="1" t="s">
        <v>35</v>
      </c>
      <c r="G1294">
        <v>20</v>
      </c>
      <c r="H1294">
        <v>3</v>
      </c>
      <c r="I1294" s="1" t="s">
        <v>36</v>
      </c>
      <c r="J1294">
        <v>1812</v>
      </c>
      <c r="K1294">
        <v>3</v>
      </c>
      <c r="L1294" s="1" t="s">
        <v>43</v>
      </c>
      <c r="M1294">
        <v>83</v>
      </c>
      <c r="N1294">
        <v>3</v>
      </c>
      <c r="O1294">
        <v>2</v>
      </c>
      <c r="P1294" s="1" t="s">
        <v>38</v>
      </c>
      <c r="Q1294">
        <v>4</v>
      </c>
      <c r="R1294" s="1" t="s">
        <v>49</v>
      </c>
      <c r="S1294">
        <v>4127</v>
      </c>
      <c r="T1294">
        <v>19188</v>
      </c>
      <c r="U1294">
        <v>2</v>
      </c>
      <c r="V1294" s="1" t="s">
        <v>40</v>
      </c>
      <c r="W1294">
        <v>18</v>
      </c>
      <c r="X1294">
        <v>3</v>
      </c>
      <c r="Y1294">
        <v>4</v>
      </c>
      <c r="Z1294">
        <v>80</v>
      </c>
      <c r="AA1294">
        <v>1</v>
      </c>
      <c r="AB1294">
        <v>7</v>
      </c>
      <c r="AC1294">
        <v>6</v>
      </c>
      <c r="AD1294">
        <v>3</v>
      </c>
      <c r="AE1294">
        <v>2</v>
      </c>
      <c r="AF1294">
        <v>1</v>
      </c>
      <c r="AG1294">
        <v>2</v>
      </c>
      <c r="AH1294">
        <v>2</v>
      </c>
      <c r="AI1294">
        <f>IF(tbl_HRData[[#This Row],[Attrition]] = "Yes",1,0)</f>
        <v>0</v>
      </c>
      <c r="AJ1294">
        <f>IF(tbl_HRData[[#This Row],[Attrition]] = "No",1,0)</f>
        <v>1</v>
      </c>
      <c r="AK1294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294" s="1" t="str">
        <f>IF(tbl_HRData[[#This Row],[MonthlyIncome]]&lt;5000,"Low",
IF(tbl_HRData[[#This Row],[MonthlyIncome]]&lt;10000,"Medium",
IF(tbl_HRData[[#This Row],[MonthlyIncome]]&lt;15000,"Upper Medium","High")))</f>
        <v>Low</v>
      </c>
      <c r="AM1294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295" spans="1:39" x14ac:dyDescent="0.35">
      <c r="A1295" s="1">
        <v>1294</v>
      </c>
      <c r="B1295">
        <v>43</v>
      </c>
      <c r="C1295" s="1" t="s">
        <v>40</v>
      </c>
      <c r="D1295" s="1" t="s">
        <v>52</v>
      </c>
      <c r="E1295">
        <v>343</v>
      </c>
      <c r="F1295" s="1" t="s">
        <v>42</v>
      </c>
      <c r="G1295">
        <v>9</v>
      </c>
      <c r="H1295">
        <v>3</v>
      </c>
      <c r="I1295" s="1" t="s">
        <v>36</v>
      </c>
      <c r="J1295">
        <v>1813</v>
      </c>
      <c r="K1295">
        <v>1</v>
      </c>
      <c r="L1295" s="1" t="s">
        <v>43</v>
      </c>
      <c r="M1295">
        <v>52</v>
      </c>
      <c r="N1295">
        <v>3</v>
      </c>
      <c r="O1295">
        <v>1</v>
      </c>
      <c r="P1295" s="1" t="s">
        <v>44</v>
      </c>
      <c r="Q1295">
        <v>3</v>
      </c>
      <c r="R1295" s="1" t="s">
        <v>39</v>
      </c>
      <c r="S1295">
        <v>2438</v>
      </c>
      <c r="T1295">
        <v>24978</v>
      </c>
      <c r="U1295">
        <v>4</v>
      </c>
      <c r="V1295" s="1" t="s">
        <v>40</v>
      </c>
      <c r="W1295">
        <v>13</v>
      </c>
      <c r="X1295">
        <v>3</v>
      </c>
      <c r="Y1295">
        <v>3</v>
      </c>
      <c r="Z1295">
        <v>80</v>
      </c>
      <c r="AA1295">
        <v>0</v>
      </c>
      <c r="AB1295">
        <v>7</v>
      </c>
      <c r="AC1295">
        <v>2</v>
      </c>
      <c r="AD1295">
        <v>2</v>
      </c>
      <c r="AE1295">
        <v>3</v>
      </c>
      <c r="AF1295">
        <v>2</v>
      </c>
      <c r="AG1295">
        <v>1</v>
      </c>
      <c r="AH1295">
        <v>2</v>
      </c>
      <c r="AI1295">
        <f>IF(tbl_HRData[[#This Row],[Attrition]] = "Yes",1,0)</f>
        <v>0</v>
      </c>
      <c r="AJ1295">
        <f>IF(tbl_HRData[[#This Row],[Attrition]] = "No",1,0)</f>
        <v>1</v>
      </c>
      <c r="AK1295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295" s="1" t="str">
        <f>IF(tbl_HRData[[#This Row],[MonthlyIncome]]&lt;5000,"Low",
IF(tbl_HRData[[#This Row],[MonthlyIncome]]&lt;10000,"Medium",
IF(tbl_HRData[[#This Row],[MonthlyIncome]]&lt;15000,"Upper Medium","High")))</f>
        <v>Low</v>
      </c>
      <c r="AM1295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296" spans="1:39" x14ac:dyDescent="0.35">
      <c r="A1296" s="1">
        <v>1295</v>
      </c>
      <c r="B1296">
        <v>41</v>
      </c>
      <c r="C1296" s="1" t="s">
        <v>40</v>
      </c>
      <c r="D1296" s="1" t="s">
        <v>34</v>
      </c>
      <c r="E1296">
        <v>447</v>
      </c>
      <c r="F1296" s="1" t="s">
        <v>42</v>
      </c>
      <c r="G1296">
        <v>5</v>
      </c>
      <c r="H1296">
        <v>3</v>
      </c>
      <c r="I1296" s="1" t="s">
        <v>36</v>
      </c>
      <c r="J1296">
        <v>1814</v>
      </c>
      <c r="K1296">
        <v>2</v>
      </c>
      <c r="L1296" s="1" t="s">
        <v>43</v>
      </c>
      <c r="M1296">
        <v>85</v>
      </c>
      <c r="N1296">
        <v>4</v>
      </c>
      <c r="O1296">
        <v>2</v>
      </c>
      <c r="P1296" s="1" t="s">
        <v>51</v>
      </c>
      <c r="Q1296">
        <v>2</v>
      </c>
      <c r="R1296" s="1" t="s">
        <v>39</v>
      </c>
      <c r="S1296">
        <v>6870</v>
      </c>
      <c r="T1296">
        <v>15530</v>
      </c>
      <c r="U1296">
        <v>3</v>
      </c>
      <c r="V1296" s="1" t="s">
        <v>40</v>
      </c>
      <c r="W1296">
        <v>12</v>
      </c>
      <c r="X1296">
        <v>3</v>
      </c>
      <c r="Y1296">
        <v>1</v>
      </c>
      <c r="Z1296">
        <v>80</v>
      </c>
      <c r="AA1296">
        <v>0</v>
      </c>
      <c r="AB1296">
        <v>11</v>
      </c>
      <c r="AC1296">
        <v>3</v>
      </c>
      <c r="AD1296">
        <v>1</v>
      </c>
      <c r="AE1296">
        <v>3</v>
      </c>
      <c r="AF1296">
        <v>2</v>
      </c>
      <c r="AG1296">
        <v>1</v>
      </c>
      <c r="AH1296">
        <v>2</v>
      </c>
      <c r="AI1296">
        <f>IF(tbl_HRData[[#This Row],[Attrition]] = "Yes",1,0)</f>
        <v>0</v>
      </c>
      <c r="AJ1296">
        <f>IF(tbl_HRData[[#This Row],[Attrition]] = "No",1,0)</f>
        <v>1</v>
      </c>
      <c r="AK1296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296" s="1" t="str">
        <f>IF(tbl_HRData[[#This Row],[MonthlyIncome]]&lt;5000,"Low",
IF(tbl_HRData[[#This Row],[MonthlyIncome]]&lt;10000,"Medium",
IF(tbl_HRData[[#This Row],[MonthlyIncome]]&lt;15000,"Upper Medium","High")))</f>
        <v>Medium</v>
      </c>
      <c r="AM1296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297" spans="1:39" x14ac:dyDescent="0.35">
      <c r="A1297" s="1">
        <v>1296</v>
      </c>
      <c r="B1297">
        <v>41</v>
      </c>
      <c r="C1297" s="1" t="s">
        <v>40</v>
      </c>
      <c r="D1297" s="1" t="s">
        <v>34</v>
      </c>
      <c r="E1297">
        <v>796</v>
      </c>
      <c r="F1297" s="1" t="s">
        <v>35</v>
      </c>
      <c r="G1297">
        <v>4</v>
      </c>
      <c r="H1297">
        <v>1</v>
      </c>
      <c r="I1297" s="1" t="s">
        <v>56</v>
      </c>
      <c r="J1297">
        <v>1815</v>
      </c>
      <c r="K1297">
        <v>3</v>
      </c>
      <c r="L1297" s="1" t="s">
        <v>37</v>
      </c>
      <c r="M1297">
        <v>81</v>
      </c>
      <c r="N1297">
        <v>3</v>
      </c>
      <c r="O1297">
        <v>3</v>
      </c>
      <c r="P1297" s="1" t="s">
        <v>38</v>
      </c>
      <c r="Q1297">
        <v>3</v>
      </c>
      <c r="R1297" s="1" t="s">
        <v>49</v>
      </c>
      <c r="S1297">
        <v>10447</v>
      </c>
      <c r="T1297">
        <v>26458</v>
      </c>
      <c r="U1297">
        <v>0</v>
      </c>
      <c r="V1297" s="1" t="s">
        <v>33</v>
      </c>
      <c r="W1297">
        <v>13</v>
      </c>
      <c r="X1297">
        <v>3</v>
      </c>
      <c r="Y1297">
        <v>4</v>
      </c>
      <c r="Z1297">
        <v>80</v>
      </c>
      <c r="AA1297">
        <v>1</v>
      </c>
      <c r="AB1297">
        <v>23</v>
      </c>
      <c r="AC1297">
        <v>3</v>
      </c>
      <c r="AD1297">
        <v>4</v>
      </c>
      <c r="AE1297">
        <v>22</v>
      </c>
      <c r="AF1297">
        <v>14</v>
      </c>
      <c r="AG1297">
        <v>13</v>
      </c>
      <c r="AH1297">
        <v>5</v>
      </c>
      <c r="AI1297">
        <f>IF(tbl_HRData[[#This Row],[Attrition]] = "Yes",1,0)</f>
        <v>0</v>
      </c>
      <c r="AJ1297">
        <f>IF(tbl_HRData[[#This Row],[Attrition]] = "No",1,0)</f>
        <v>1</v>
      </c>
      <c r="AK1297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297" s="1" t="str">
        <f>IF(tbl_HRData[[#This Row],[MonthlyIncome]]&lt;5000,"Low",
IF(tbl_HRData[[#This Row],[MonthlyIncome]]&lt;10000,"Medium",
IF(tbl_HRData[[#This Row],[MonthlyIncome]]&lt;15000,"Upper Medium","High")))</f>
        <v>Upper Medium</v>
      </c>
      <c r="AM1297" s="1" t="str">
        <f>IF(tbl_HRData[[#This Row],[YearsAtCompany]]&lt;=5,"0-5 Years",
IF(tbl_HRData[[#This Row],[YearsAtCompany]]&lt;=10,"6-10 Years",
IF(tbl_HRData[[#This Row],[YearsAtCompany]]&lt;=20,"11-20 Years","21+ Years")))</f>
        <v>21+ Years</v>
      </c>
    </row>
    <row r="1298" spans="1:39" x14ac:dyDescent="0.35">
      <c r="A1298" s="1">
        <v>1297</v>
      </c>
      <c r="B1298">
        <v>30</v>
      </c>
      <c r="C1298" s="1" t="s">
        <v>40</v>
      </c>
      <c r="D1298" s="1" t="s">
        <v>34</v>
      </c>
      <c r="E1298">
        <v>1092</v>
      </c>
      <c r="F1298" s="1" t="s">
        <v>42</v>
      </c>
      <c r="G1298">
        <v>10</v>
      </c>
      <c r="H1298">
        <v>3</v>
      </c>
      <c r="I1298" s="1" t="s">
        <v>48</v>
      </c>
      <c r="J1298">
        <v>1816</v>
      </c>
      <c r="K1298">
        <v>1</v>
      </c>
      <c r="L1298" s="1" t="s">
        <v>37</v>
      </c>
      <c r="M1298">
        <v>64</v>
      </c>
      <c r="N1298">
        <v>3</v>
      </c>
      <c r="O1298">
        <v>3</v>
      </c>
      <c r="P1298" s="1" t="s">
        <v>50</v>
      </c>
      <c r="Q1298">
        <v>3</v>
      </c>
      <c r="R1298" s="1" t="s">
        <v>39</v>
      </c>
      <c r="S1298">
        <v>9667</v>
      </c>
      <c r="T1298">
        <v>2739</v>
      </c>
      <c r="U1298">
        <v>9</v>
      </c>
      <c r="V1298" s="1" t="s">
        <v>40</v>
      </c>
      <c r="W1298">
        <v>14</v>
      </c>
      <c r="X1298">
        <v>3</v>
      </c>
      <c r="Y1298">
        <v>2</v>
      </c>
      <c r="Z1298">
        <v>80</v>
      </c>
      <c r="AA1298">
        <v>0</v>
      </c>
      <c r="AB1298">
        <v>9</v>
      </c>
      <c r="AC1298">
        <v>3</v>
      </c>
      <c r="AD1298">
        <v>3</v>
      </c>
      <c r="AE1298">
        <v>7</v>
      </c>
      <c r="AF1298">
        <v>7</v>
      </c>
      <c r="AG1298">
        <v>0</v>
      </c>
      <c r="AH1298">
        <v>2</v>
      </c>
      <c r="AI1298">
        <f>IF(tbl_HRData[[#This Row],[Attrition]] = "Yes",1,0)</f>
        <v>0</v>
      </c>
      <c r="AJ1298">
        <f>IF(tbl_HRData[[#This Row],[Attrition]] = "No",1,0)</f>
        <v>1</v>
      </c>
      <c r="AK1298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298" s="1" t="str">
        <f>IF(tbl_HRData[[#This Row],[MonthlyIncome]]&lt;5000,"Low",
IF(tbl_HRData[[#This Row],[MonthlyIncome]]&lt;10000,"Medium",
IF(tbl_HRData[[#This Row],[MonthlyIncome]]&lt;15000,"Upper Medium","High")))</f>
        <v>Medium</v>
      </c>
      <c r="AM1298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299" spans="1:39" x14ac:dyDescent="0.35">
      <c r="A1299" s="1">
        <v>1298</v>
      </c>
      <c r="B1299">
        <v>26</v>
      </c>
      <c r="C1299" s="1" t="s">
        <v>33</v>
      </c>
      <c r="D1299" s="1" t="s">
        <v>34</v>
      </c>
      <c r="E1299">
        <v>920</v>
      </c>
      <c r="F1299" s="1" t="s">
        <v>58</v>
      </c>
      <c r="G1299">
        <v>20</v>
      </c>
      <c r="H1299">
        <v>2</v>
      </c>
      <c r="I1299" s="1" t="s">
        <v>48</v>
      </c>
      <c r="J1299">
        <v>1818</v>
      </c>
      <c r="K1299">
        <v>4</v>
      </c>
      <c r="L1299" s="1" t="s">
        <v>37</v>
      </c>
      <c r="M1299">
        <v>69</v>
      </c>
      <c r="N1299">
        <v>3</v>
      </c>
      <c r="O1299">
        <v>1</v>
      </c>
      <c r="P1299" s="1" t="s">
        <v>58</v>
      </c>
      <c r="Q1299">
        <v>2</v>
      </c>
      <c r="R1299" s="1" t="s">
        <v>45</v>
      </c>
      <c r="S1299">
        <v>2148</v>
      </c>
      <c r="T1299">
        <v>6889</v>
      </c>
      <c r="U1299">
        <v>0</v>
      </c>
      <c r="V1299" s="1" t="s">
        <v>33</v>
      </c>
      <c r="W1299">
        <v>11</v>
      </c>
      <c r="X1299">
        <v>3</v>
      </c>
      <c r="Y1299">
        <v>3</v>
      </c>
      <c r="Z1299">
        <v>80</v>
      </c>
      <c r="AA1299">
        <v>0</v>
      </c>
      <c r="AB1299">
        <v>6</v>
      </c>
      <c r="AC1299">
        <v>3</v>
      </c>
      <c r="AD1299">
        <v>3</v>
      </c>
      <c r="AE1299">
        <v>5</v>
      </c>
      <c r="AF1299">
        <v>1</v>
      </c>
      <c r="AG1299">
        <v>1</v>
      </c>
      <c r="AH1299">
        <v>4</v>
      </c>
      <c r="AI1299">
        <f>IF(tbl_HRData[[#This Row],[Attrition]] = "Yes",1,0)</f>
        <v>1</v>
      </c>
      <c r="AJ1299">
        <f>IF(tbl_HRData[[#This Row],[Attrition]] = "No",1,0)</f>
        <v>0</v>
      </c>
      <c r="AK1299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299" s="1" t="str">
        <f>IF(tbl_HRData[[#This Row],[MonthlyIncome]]&lt;5000,"Low",
IF(tbl_HRData[[#This Row],[MonthlyIncome]]&lt;10000,"Medium",
IF(tbl_HRData[[#This Row],[MonthlyIncome]]&lt;15000,"Upper Medium","High")))</f>
        <v>Low</v>
      </c>
      <c r="AM1299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300" spans="1:39" x14ac:dyDescent="0.35">
      <c r="A1300" s="1">
        <v>1299</v>
      </c>
      <c r="B1300">
        <v>46</v>
      </c>
      <c r="C1300" s="1" t="s">
        <v>33</v>
      </c>
      <c r="D1300" s="1" t="s">
        <v>34</v>
      </c>
      <c r="E1300">
        <v>261</v>
      </c>
      <c r="F1300" s="1" t="s">
        <v>42</v>
      </c>
      <c r="G1300">
        <v>21</v>
      </c>
      <c r="H1300">
        <v>2</v>
      </c>
      <c r="I1300" s="1" t="s">
        <v>48</v>
      </c>
      <c r="J1300">
        <v>1821</v>
      </c>
      <c r="K1300">
        <v>4</v>
      </c>
      <c r="L1300" s="1" t="s">
        <v>37</v>
      </c>
      <c r="M1300">
        <v>66</v>
      </c>
      <c r="N1300">
        <v>3</v>
      </c>
      <c r="O1300">
        <v>2</v>
      </c>
      <c r="P1300" s="1" t="s">
        <v>51</v>
      </c>
      <c r="Q1300">
        <v>2</v>
      </c>
      <c r="R1300" s="1" t="s">
        <v>45</v>
      </c>
      <c r="S1300">
        <v>8926</v>
      </c>
      <c r="T1300">
        <v>10842</v>
      </c>
      <c r="U1300">
        <v>4</v>
      </c>
      <c r="V1300" s="1" t="s">
        <v>40</v>
      </c>
      <c r="W1300">
        <v>22</v>
      </c>
      <c r="X1300">
        <v>4</v>
      </c>
      <c r="Y1300">
        <v>4</v>
      </c>
      <c r="Z1300">
        <v>80</v>
      </c>
      <c r="AA1300">
        <v>1</v>
      </c>
      <c r="AB1300">
        <v>13</v>
      </c>
      <c r="AC1300">
        <v>2</v>
      </c>
      <c r="AD1300">
        <v>4</v>
      </c>
      <c r="AE1300">
        <v>9</v>
      </c>
      <c r="AF1300">
        <v>7</v>
      </c>
      <c r="AG1300">
        <v>3</v>
      </c>
      <c r="AH1300">
        <v>7</v>
      </c>
      <c r="AI1300">
        <f>IF(tbl_HRData[[#This Row],[Attrition]] = "Yes",1,0)</f>
        <v>1</v>
      </c>
      <c r="AJ1300">
        <f>IF(tbl_HRData[[#This Row],[Attrition]] = "No",1,0)</f>
        <v>0</v>
      </c>
      <c r="AK1300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1300" s="1" t="str">
        <f>IF(tbl_HRData[[#This Row],[MonthlyIncome]]&lt;5000,"Low",
IF(tbl_HRData[[#This Row],[MonthlyIncome]]&lt;10000,"Medium",
IF(tbl_HRData[[#This Row],[MonthlyIncome]]&lt;15000,"Upper Medium","High")))</f>
        <v>Medium</v>
      </c>
      <c r="AM1300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301" spans="1:39" x14ac:dyDescent="0.35">
      <c r="A1301" s="1">
        <v>1300</v>
      </c>
      <c r="B1301">
        <v>40</v>
      </c>
      <c r="C1301" s="1" t="s">
        <v>40</v>
      </c>
      <c r="D1301" s="1" t="s">
        <v>34</v>
      </c>
      <c r="E1301">
        <v>1194</v>
      </c>
      <c r="F1301" s="1" t="s">
        <v>42</v>
      </c>
      <c r="G1301">
        <v>1</v>
      </c>
      <c r="H1301">
        <v>3</v>
      </c>
      <c r="I1301" s="1" t="s">
        <v>36</v>
      </c>
      <c r="J1301">
        <v>1822</v>
      </c>
      <c r="K1301">
        <v>3</v>
      </c>
      <c r="L1301" s="1" t="s">
        <v>37</v>
      </c>
      <c r="M1301">
        <v>52</v>
      </c>
      <c r="N1301">
        <v>3</v>
      </c>
      <c r="O1301">
        <v>2</v>
      </c>
      <c r="P1301" s="1" t="s">
        <v>51</v>
      </c>
      <c r="Q1301">
        <v>4</v>
      </c>
      <c r="R1301" s="1" t="s">
        <v>49</v>
      </c>
      <c r="S1301">
        <v>6513</v>
      </c>
      <c r="T1301">
        <v>9060</v>
      </c>
      <c r="U1301">
        <v>4</v>
      </c>
      <c r="V1301" s="1" t="s">
        <v>40</v>
      </c>
      <c r="W1301">
        <v>17</v>
      </c>
      <c r="X1301">
        <v>3</v>
      </c>
      <c r="Y1301">
        <v>4</v>
      </c>
      <c r="Z1301">
        <v>80</v>
      </c>
      <c r="AA1301">
        <v>1</v>
      </c>
      <c r="AB1301">
        <v>12</v>
      </c>
      <c r="AC1301">
        <v>3</v>
      </c>
      <c r="AD1301">
        <v>3</v>
      </c>
      <c r="AE1301">
        <v>5</v>
      </c>
      <c r="AF1301">
        <v>3</v>
      </c>
      <c r="AG1301">
        <v>0</v>
      </c>
      <c r="AH1301">
        <v>3</v>
      </c>
      <c r="AI1301">
        <f>IF(tbl_HRData[[#This Row],[Attrition]] = "Yes",1,0)</f>
        <v>0</v>
      </c>
      <c r="AJ1301">
        <f>IF(tbl_HRData[[#This Row],[Attrition]] = "No",1,0)</f>
        <v>1</v>
      </c>
      <c r="AK1301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301" s="1" t="str">
        <f>IF(tbl_HRData[[#This Row],[MonthlyIncome]]&lt;5000,"Low",
IF(tbl_HRData[[#This Row],[MonthlyIncome]]&lt;10000,"Medium",
IF(tbl_HRData[[#This Row],[MonthlyIncome]]&lt;15000,"Upper Medium","High")))</f>
        <v>Medium</v>
      </c>
      <c r="AM1301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302" spans="1:39" x14ac:dyDescent="0.35">
      <c r="A1302" s="1">
        <v>1301</v>
      </c>
      <c r="B1302">
        <v>34</v>
      </c>
      <c r="C1302" s="1" t="s">
        <v>40</v>
      </c>
      <c r="D1302" s="1" t="s">
        <v>34</v>
      </c>
      <c r="E1302">
        <v>810</v>
      </c>
      <c r="F1302" s="1" t="s">
        <v>35</v>
      </c>
      <c r="G1302">
        <v>8</v>
      </c>
      <c r="H1302">
        <v>2</v>
      </c>
      <c r="I1302" s="1" t="s">
        <v>57</v>
      </c>
      <c r="J1302">
        <v>1823</v>
      </c>
      <c r="K1302">
        <v>2</v>
      </c>
      <c r="L1302" s="1" t="s">
        <v>43</v>
      </c>
      <c r="M1302">
        <v>92</v>
      </c>
      <c r="N1302">
        <v>4</v>
      </c>
      <c r="O1302">
        <v>2</v>
      </c>
      <c r="P1302" s="1" t="s">
        <v>38</v>
      </c>
      <c r="Q1302">
        <v>3</v>
      </c>
      <c r="R1302" s="1" t="s">
        <v>45</v>
      </c>
      <c r="S1302">
        <v>6799</v>
      </c>
      <c r="T1302">
        <v>22128</v>
      </c>
      <c r="U1302">
        <v>1</v>
      </c>
      <c r="V1302" s="1" t="s">
        <v>40</v>
      </c>
      <c r="W1302">
        <v>21</v>
      </c>
      <c r="X1302">
        <v>4</v>
      </c>
      <c r="Y1302">
        <v>3</v>
      </c>
      <c r="Z1302">
        <v>80</v>
      </c>
      <c r="AA1302">
        <v>2</v>
      </c>
      <c r="AB1302">
        <v>10</v>
      </c>
      <c r="AC1302">
        <v>5</v>
      </c>
      <c r="AD1302">
        <v>3</v>
      </c>
      <c r="AE1302">
        <v>10</v>
      </c>
      <c r="AF1302">
        <v>8</v>
      </c>
      <c r="AG1302">
        <v>4</v>
      </c>
      <c r="AH1302">
        <v>8</v>
      </c>
      <c r="AI1302">
        <f>IF(tbl_HRData[[#This Row],[Attrition]] = "Yes",1,0)</f>
        <v>0</v>
      </c>
      <c r="AJ1302">
        <f>IF(tbl_HRData[[#This Row],[Attrition]] = "No",1,0)</f>
        <v>1</v>
      </c>
      <c r="AK1302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302" s="1" t="str">
        <f>IF(tbl_HRData[[#This Row],[MonthlyIncome]]&lt;5000,"Low",
IF(tbl_HRData[[#This Row],[MonthlyIncome]]&lt;10000,"Medium",
IF(tbl_HRData[[#This Row],[MonthlyIncome]]&lt;15000,"Upper Medium","High")))</f>
        <v>Medium</v>
      </c>
      <c r="AM1302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303" spans="1:39" x14ac:dyDescent="0.35">
      <c r="A1303" s="1">
        <v>1302</v>
      </c>
      <c r="B1303">
        <v>58</v>
      </c>
      <c r="C1303" s="1" t="s">
        <v>40</v>
      </c>
      <c r="D1303" s="1" t="s">
        <v>52</v>
      </c>
      <c r="E1303">
        <v>350</v>
      </c>
      <c r="F1303" s="1" t="s">
        <v>35</v>
      </c>
      <c r="G1303">
        <v>2</v>
      </c>
      <c r="H1303">
        <v>3</v>
      </c>
      <c r="I1303" s="1" t="s">
        <v>48</v>
      </c>
      <c r="J1303">
        <v>1824</v>
      </c>
      <c r="K1303">
        <v>2</v>
      </c>
      <c r="L1303" s="1" t="s">
        <v>43</v>
      </c>
      <c r="M1303">
        <v>52</v>
      </c>
      <c r="N1303">
        <v>3</v>
      </c>
      <c r="O1303">
        <v>4</v>
      </c>
      <c r="P1303" s="1" t="s">
        <v>53</v>
      </c>
      <c r="Q1303">
        <v>2</v>
      </c>
      <c r="R1303" s="1" t="s">
        <v>49</v>
      </c>
      <c r="S1303">
        <v>16291</v>
      </c>
      <c r="T1303">
        <v>22577</v>
      </c>
      <c r="U1303">
        <v>4</v>
      </c>
      <c r="V1303" s="1" t="s">
        <v>40</v>
      </c>
      <c r="W1303">
        <v>22</v>
      </c>
      <c r="X1303">
        <v>4</v>
      </c>
      <c r="Y1303">
        <v>4</v>
      </c>
      <c r="Z1303">
        <v>80</v>
      </c>
      <c r="AA1303">
        <v>1</v>
      </c>
      <c r="AB1303">
        <v>37</v>
      </c>
      <c r="AC1303">
        <v>0</v>
      </c>
      <c r="AD1303">
        <v>2</v>
      </c>
      <c r="AE1303">
        <v>16</v>
      </c>
      <c r="AF1303">
        <v>9</v>
      </c>
      <c r="AG1303">
        <v>14</v>
      </c>
      <c r="AH1303">
        <v>14</v>
      </c>
      <c r="AI1303">
        <f>IF(tbl_HRData[[#This Row],[Attrition]] = "Yes",1,0)</f>
        <v>0</v>
      </c>
      <c r="AJ1303">
        <f>IF(tbl_HRData[[#This Row],[Attrition]] = "No",1,0)</f>
        <v>1</v>
      </c>
      <c r="AK1303" t="str">
        <f>IF(tbl_HRData[[#This Row],[Age]] &lt; 25, "Under 25", IF(tbl_HRData[[#This Row],[Age]] &lt;= 34, "25-34", IF(tbl_HRData[[#This Row],[Age]] &lt;= 44, "35-44", IF(tbl_HRData[[#This Row],[Age]] &lt;= 54, "45-54", "55+"))))</f>
        <v>55+</v>
      </c>
      <c r="AL1303" s="1" t="str">
        <f>IF(tbl_HRData[[#This Row],[MonthlyIncome]]&lt;5000,"Low",
IF(tbl_HRData[[#This Row],[MonthlyIncome]]&lt;10000,"Medium",
IF(tbl_HRData[[#This Row],[MonthlyIncome]]&lt;15000,"Upper Medium","High")))</f>
        <v>High</v>
      </c>
      <c r="AM1303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1304" spans="1:39" x14ac:dyDescent="0.35">
      <c r="A1304" s="1">
        <v>1303</v>
      </c>
      <c r="B1304">
        <v>35</v>
      </c>
      <c r="C1304" s="1" t="s">
        <v>40</v>
      </c>
      <c r="D1304" s="1" t="s">
        <v>34</v>
      </c>
      <c r="E1304">
        <v>185</v>
      </c>
      <c r="F1304" s="1" t="s">
        <v>42</v>
      </c>
      <c r="G1304">
        <v>23</v>
      </c>
      <c r="H1304">
        <v>4</v>
      </c>
      <c r="I1304" s="1" t="s">
        <v>48</v>
      </c>
      <c r="J1304">
        <v>1826</v>
      </c>
      <c r="K1304">
        <v>2</v>
      </c>
      <c r="L1304" s="1" t="s">
        <v>43</v>
      </c>
      <c r="M1304">
        <v>91</v>
      </c>
      <c r="N1304">
        <v>1</v>
      </c>
      <c r="O1304">
        <v>1</v>
      </c>
      <c r="P1304" s="1" t="s">
        <v>47</v>
      </c>
      <c r="Q1304">
        <v>3</v>
      </c>
      <c r="R1304" s="1" t="s">
        <v>45</v>
      </c>
      <c r="S1304">
        <v>2705</v>
      </c>
      <c r="T1304">
        <v>9696</v>
      </c>
      <c r="U1304">
        <v>0</v>
      </c>
      <c r="V1304" s="1" t="s">
        <v>40</v>
      </c>
      <c r="W1304">
        <v>16</v>
      </c>
      <c r="X1304">
        <v>3</v>
      </c>
      <c r="Y1304">
        <v>2</v>
      </c>
      <c r="Z1304">
        <v>80</v>
      </c>
      <c r="AA1304">
        <v>1</v>
      </c>
      <c r="AB1304">
        <v>6</v>
      </c>
      <c r="AC1304">
        <v>2</v>
      </c>
      <c r="AD1304">
        <v>4</v>
      </c>
      <c r="AE1304">
        <v>5</v>
      </c>
      <c r="AF1304">
        <v>4</v>
      </c>
      <c r="AG1304">
        <v>0</v>
      </c>
      <c r="AH1304">
        <v>3</v>
      </c>
      <c r="AI1304">
        <f>IF(tbl_HRData[[#This Row],[Attrition]] = "Yes",1,0)</f>
        <v>0</v>
      </c>
      <c r="AJ1304">
        <f>IF(tbl_HRData[[#This Row],[Attrition]] = "No",1,0)</f>
        <v>1</v>
      </c>
      <c r="AK1304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304" s="1" t="str">
        <f>IF(tbl_HRData[[#This Row],[MonthlyIncome]]&lt;5000,"Low",
IF(tbl_HRData[[#This Row],[MonthlyIncome]]&lt;10000,"Medium",
IF(tbl_HRData[[#This Row],[MonthlyIncome]]&lt;15000,"Upper Medium","High")))</f>
        <v>Low</v>
      </c>
      <c r="AM1304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305" spans="1:39" x14ac:dyDescent="0.35">
      <c r="A1305" s="1">
        <v>1304</v>
      </c>
      <c r="B1305">
        <v>47</v>
      </c>
      <c r="C1305" s="1" t="s">
        <v>40</v>
      </c>
      <c r="D1305" s="1" t="s">
        <v>34</v>
      </c>
      <c r="E1305">
        <v>1001</v>
      </c>
      <c r="F1305" s="1" t="s">
        <v>42</v>
      </c>
      <c r="G1305">
        <v>4</v>
      </c>
      <c r="H1305">
        <v>3</v>
      </c>
      <c r="I1305" s="1" t="s">
        <v>36</v>
      </c>
      <c r="J1305">
        <v>1827</v>
      </c>
      <c r="K1305">
        <v>3</v>
      </c>
      <c r="L1305" s="1" t="s">
        <v>37</v>
      </c>
      <c r="M1305">
        <v>92</v>
      </c>
      <c r="N1305">
        <v>2</v>
      </c>
      <c r="O1305">
        <v>3</v>
      </c>
      <c r="P1305" s="1" t="s">
        <v>50</v>
      </c>
      <c r="Q1305">
        <v>2</v>
      </c>
      <c r="R1305" s="1" t="s">
        <v>49</v>
      </c>
      <c r="S1305">
        <v>10333</v>
      </c>
      <c r="T1305">
        <v>19271</v>
      </c>
      <c r="U1305">
        <v>8</v>
      </c>
      <c r="V1305" s="1" t="s">
        <v>33</v>
      </c>
      <c r="W1305">
        <v>12</v>
      </c>
      <c r="X1305">
        <v>3</v>
      </c>
      <c r="Y1305">
        <v>3</v>
      </c>
      <c r="Z1305">
        <v>80</v>
      </c>
      <c r="AA1305">
        <v>1</v>
      </c>
      <c r="AB1305">
        <v>28</v>
      </c>
      <c r="AC1305">
        <v>4</v>
      </c>
      <c r="AD1305">
        <v>3</v>
      </c>
      <c r="AE1305">
        <v>22</v>
      </c>
      <c r="AF1305">
        <v>11</v>
      </c>
      <c r="AG1305">
        <v>14</v>
      </c>
      <c r="AH1305">
        <v>10</v>
      </c>
      <c r="AI1305">
        <f>IF(tbl_HRData[[#This Row],[Attrition]] = "Yes",1,0)</f>
        <v>0</v>
      </c>
      <c r="AJ1305">
        <f>IF(tbl_HRData[[#This Row],[Attrition]] = "No",1,0)</f>
        <v>1</v>
      </c>
      <c r="AK1305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1305" s="1" t="str">
        <f>IF(tbl_HRData[[#This Row],[MonthlyIncome]]&lt;5000,"Low",
IF(tbl_HRData[[#This Row],[MonthlyIncome]]&lt;10000,"Medium",
IF(tbl_HRData[[#This Row],[MonthlyIncome]]&lt;15000,"Upper Medium","High")))</f>
        <v>Upper Medium</v>
      </c>
      <c r="AM1305" s="1" t="str">
        <f>IF(tbl_HRData[[#This Row],[YearsAtCompany]]&lt;=5,"0-5 Years",
IF(tbl_HRData[[#This Row],[YearsAtCompany]]&lt;=10,"6-10 Years",
IF(tbl_HRData[[#This Row],[YearsAtCompany]]&lt;=20,"11-20 Years","21+ Years")))</f>
        <v>21+ Years</v>
      </c>
    </row>
    <row r="1306" spans="1:39" x14ac:dyDescent="0.35">
      <c r="A1306" s="1">
        <v>1305</v>
      </c>
      <c r="B1306">
        <v>40</v>
      </c>
      <c r="C1306" s="1" t="s">
        <v>40</v>
      </c>
      <c r="D1306" s="1" t="s">
        <v>34</v>
      </c>
      <c r="E1306">
        <v>750</v>
      </c>
      <c r="F1306" s="1" t="s">
        <v>42</v>
      </c>
      <c r="G1306">
        <v>12</v>
      </c>
      <c r="H1306">
        <v>3</v>
      </c>
      <c r="I1306" s="1" t="s">
        <v>36</v>
      </c>
      <c r="J1306">
        <v>1829</v>
      </c>
      <c r="K1306">
        <v>2</v>
      </c>
      <c r="L1306" s="1" t="s">
        <v>37</v>
      </c>
      <c r="M1306">
        <v>47</v>
      </c>
      <c r="N1306">
        <v>3</v>
      </c>
      <c r="O1306">
        <v>2</v>
      </c>
      <c r="P1306" s="1" t="s">
        <v>51</v>
      </c>
      <c r="Q1306">
        <v>1</v>
      </c>
      <c r="R1306" s="1" t="s">
        <v>49</v>
      </c>
      <c r="S1306">
        <v>4448</v>
      </c>
      <c r="T1306">
        <v>10748</v>
      </c>
      <c r="U1306">
        <v>2</v>
      </c>
      <c r="V1306" s="1" t="s">
        <v>40</v>
      </c>
      <c r="W1306">
        <v>12</v>
      </c>
      <c r="X1306">
        <v>3</v>
      </c>
      <c r="Y1306">
        <v>2</v>
      </c>
      <c r="Z1306">
        <v>80</v>
      </c>
      <c r="AA1306">
        <v>1</v>
      </c>
      <c r="AB1306">
        <v>15</v>
      </c>
      <c r="AC1306">
        <v>3</v>
      </c>
      <c r="AD1306">
        <v>3</v>
      </c>
      <c r="AE1306">
        <v>7</v>
      </c>
      <c r="AF1306">
        <v>4</v>
      </c>
      <c r="AG1306">
        <v>7</v>
      </c>
      <c r="AH1306">
        <v>7</v>
      </c>
      <c r="AI1306">
        <f>IF(tbl_HRData[[#This Row],[Attrition]] = "Yes",1,0)</f>
        <v>0</v>
      </c>
      <c r="AJ1306">
        <f>IF(tbl_HRData[[#This Row],[Attrition]] = "No",1,0)</f>
        <v>1</v>
      </c>
      <c r="AK1306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306" s="1" t="str">
        <f>IF(tbl_HRData[[#This Row],[MonthlyIncome]]&lt;5000,"Low",
IF(tbl_HRData[[#This Row],[MonthlyIncome]]&lt;10000,"Medium",
IF(tbl_HRData[[#This Row],[MonthlyIncome]]&lt;15000,"Upper Medium","High")))</f>
        <v>Low</v>
      </c>
      <c r="AM1306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307" spans="1:39" x14ac:dyDescent="0.35">
      <c r="A1307" s="1">
        <v>1306</v>
      </c>
      <c r="B1307">
        <v>54</v>
      </c>
      <c r="C1307" s="1" t="s">
        <v>40</v>
      </c>
      <c r="D1307" s="1" t="s">
        <v>34</v>
      </c>
      <c r="E1307">
        <v>431</v>
      </c>
      <c r="F1307" s="1" t="s">
        <v>42</v>
      </c>
      <c r="G1307">
        <v>7</v>
      </c>
      <c r="H1307">
        <v>4</v>
      </c>
      <c r="I1307" s="1" t="s">
        <v>48</v>
      </c>
      <c r="J1307">
        <v>1830</v>
      </c>
      <c r="K1307">
        <v>4</v>
      </c>
      <c r="L1307" s="1" t="s">
        <v>37</v>
      </c>
      <c r="M1307">
        <v>68</v>
      </c>
      <c r="N1307">
        <v>3</v>
      </c>
      <c r="O1307">
        <v>2</v>
      </c>
      <c r="P1307" s="1" t="s">
        <v>44</v>
      </c>
      <c r="Q1307">
        <v>4</v>
      </c>
      <c r="R1307" s="1" t="s">
        <v>45</v>
      </c>
      <c r="S1307">
        <v>6854</v>
      </c>
      <c r="T1307">
        <v>15696</v>
      </c>
      <c r="U1307">
        <v>4</v>
      </c>
      <c r="V1307" s="1" t="s">
        <v>40</v>
      </c>
      <c r="W1307">
        <v>15</v>
      </c>
      <c r="X1307">
        <v>3</v>
      </c>
      <c r="Y1307">
        <v>2</v>
      </c>
      <c r="Z1307">
        <v>80</v>
      </c>
      <c r="AA1307">
        <v>1</v>
      </c>
      <c r="AB1307">
        <v>14</v>
      </c>
      <c r="AC1307">
        <v>2</v>
      </c>
      <c r="AD1307">
        <v>2</v>
      </c>
      <c r="AE1307">
        <v>7</v>
      </c>
      <c r="AF1307">
        <v>1</v>
      </c>
      <c r="AG1307">
        <v>1</v>
      </c>
      <c r="AH1307">
        <v>7</v>
      </c>
      <c r="AI1307">
        <f>IF(tbl_HRData[[#This Row],[Attrition]] = "Yes",1,0)</f>
        <v>0</v>
      </c>
      <c r="AJ1307">
        <f>IF(tbl_HRData[[#This Row],[Attrition]] = "No",1,0)</f>
        <v>1</v>
      </c>
      <c r="AK1307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1307" s="1" t="str">
        <f>IF(tbl_HRData[[#This Row],[MonthlyIncome]]&lt;5000,"Low",
IF(tbl_HRData[[#This Row],[MonthlyIncome]]&lt;10000,"Medium",
IF(tbl_HRData[[#This Row],[MonthlyIncome]]&lt;15000,"Upper Medium","High")))</f>
        <v>Medium</v>
      </c>
      <c r="AM1307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308" spans="1:39" x14ac:dyDescent="0.35">
      <c r="A1308" s="1">
        <v>1307</v>
      </c>
      <c r="B1308">
        <v>31</v>
      </c>
      <c r="C1308" s="1" t="s">
        <v>40</v>
      </c>
      <c r="D1308" s="1" t="s">
        <v>41</v>
      </c>
      <c r="E1308">
        <v>1125</v>
      </c>
      <c r="F1308" s="1" t="s">
        <v>35</v>
      </c>
      <c r="G1308">
        <v>7</v>
      </c>
      <c r="H1308">
        <v>4</v>
      </c>
      <c r="I1308" s="1" t="s">
        <v>56</v>
      </c>
      <c r="J1308">
        <v>1833</v>
      </c>
      <c r="K1308">
        <v>1</v>
      </c>
      <c r="L1308" s="1" t="s">
        <v>37</v>
      </c>
      <c r="M1308">
        <v>68</v>
      </c>
      <c r="N1308">
        <v>3</v>
      </c>
      <c r="O1308">
        <v>3</v>
      </c>
      <c r="P1308" s="1" t="s">
        <v>38</v>
      </c>
      <c r="Q1308">
        <v>1</v>
      </c>
      <c r="R1308" s="1" t="s">
        <v>45</v>
      </c>
      <c r="S1308">
        <v>9637</v>
      </c>
      <c r="T1308">
        <v>8277</v>
      </c>
      <c r="U1308">
        <v>2</v>
      </c>
      <c r="V1308" s="1" t="s">
        <v>40</v>
      </c>
      <c r="W1308">
        <v>14</v>
      </c>
      <c r="X1308">
        <v>3</v>
      </c>
      <c r="Y1308">
        <v>4</v>
      </c>
      <c r="Z1308">
        <v>80</v>
      </c>
      <c r="AA1308">
        <v>2</v>
      </c>
      <c r="AB1308">
        <v>9</v>
      </c>
      <c r="AC1308">
        <v>3</v>
      </c>
      <c r="AD1308">
        <v>3</v>
      </c>
      <c r="AE1308">
        <v>3</v>
      </c>
      <c r="AF1308">
        <v>2</v>
      </c>
      <c r="AG1308">
        <v>2</v>
      </c>
      <c r="AH1308">
        <v>2</v>
      </c>
      <c r="AI1308">
        <f>IF(tbl_HRData[[#This Row],[Attrition]] = "Yes",1,0)</f>
        <v>0</v>
      </c>
      <c r="AJ1308">
        <f>IF(tbl_HRData[[#This Row],[Attrition]] = "No",1,0)</f>
        <v>1</v>
      </c>
      <c r="AK1308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308" s="1" t="str">
        <f>IF(tbl_HRData[[#This Row],[MonthlyIncome]]&lt;5000,"Low",
IF(tbl_HRData[[#This Row],[MonthlyIncome]]&lt;10000,"Medium",
IF(tbl_HRData[[#This Row],[MonthlyIncome]]&lt;15000,"Upper Medium","High")))</f>
        <v>Medium</v>
      </c>
      <c r="AM1308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309" spans="1:39" x14ac:dyDescent="0.35">
      <c r="A1309" s="1">
        <v>1308</v>
      </c>
      <c r="B1309">
        <v>28</v>
      </c>
      <c r="C1309" s="1" t="s">
        <v>40</v>
      </c>
      <c r="D1309" s="1" t="s">
        <v>34</v>
      </c>
      <c r="E1309">
        <v>1217</v>
      </c>
      <c r="F1309" s="1" t="s">
        <v>42</v>
      </c>
      <c r="G1309">
        <v>1</v>
      </c>
      <c r="H1309">
        <v>3</v>
      </c>
      <c r="I1309" s="1" t="s">
        <v>48</v>
      </c>
      <c r="J1309">
        <v>1834</v>
      </c>
      <c r="K1309">
        <v>3</v>
      </c>
      <c r="L1309" s="1" t="s">
        <v>37</v>
      </c>
      <c r="M1309">
        <v>67</v>
      </c>
      <c r="N1309">
        <v>3</v>
      </c>
      <c r="O1309">
        <v>1</v>
      </c>
      <c r="P1309" s="1" t="s">
        <v>44</v>
      </c>
      <c r="Q1309">
        <v>1</v>
      </c>
      <c r="R1309" s="1" t="s">
        <v>45</v>
      </c>
      <c r="S1309">
        <v>3591</v>
      </c>
      <c r="T1309">
        <v>12719</v>
      </c>
      <c r="U1309">
        <v>1</v>
      </c>
      <c r="V1309" s="1" t="s">
        <v>40</v>
      </c>
      <c r="W1309">
        <v>25</v>
      </c>
      <c r="X1309">
        <v>4</v>
      </c>
      <c r="Y1309">
        <v>3</v>
      </c>
      <c r="Z1309">
        <v>80</v>
      </c>
      <c r="AA1309">
        <v>1</v>
      </c>
      <c r="AB1309">
        <v>3</v>
      </c>
      <c r="AC1309">
        <v>3</v>
      </c>
      <c r="AD1309">
        <v>3</v>
      </c>
      <c r="AE1309">
        <v>3</v>
      </c>
      <c r="AF1309">
        <v>2</v>
      </c>
      <c r="AG1309">
        <v>1</v>
      </c>
      <c r="AH1309">
        <v>2</v>
      </c>
      <c r="AI1309">
        <f>IF(tbl_HRData[[#This Row],[Attrition]] = "Yes",1,0)</f>
        <v>0</v>
      </c>
      <c r="AJ1309">
        <f>IF(tbl_HRData[[#This Row],[Attrition]] = "No",1,0)</f>
        <v>1</v>
      </c>
      <c r="AK1309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309" s="1" t="str">
        <f>IF(tbl_HRData[[#This Row],[MonthlyIncome]]&lt;5000,"Low",
IF(tbl_HRData[[#This Row],[MonthlyIncome]]&lt;10000,"Medium",
IF(tbl_HRData[[#This Row],[MonthlyIncome]]&lt;15000,"Upper Medium","High")))</f>
        <v>Low</v>
      </c>
      <c r="AM1309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310" spans="1:39" x14ac:dyDescent="0.35">
      <c r="A1310" s="1">
        <v>1309</v>
      </c>
      <c r="B1310">
        <v>38</v>
      </c>
      <c r="C1310" s="1" t="s">
        <v>40</v>
      </c>
      <c r="D1310" s="1" t="s">
        <v>34</v>
      </c>
      <c r="E1310">
        <v>723</v>
      </c>
      <c r="F1310" s="1" t="s">
        <v>35</v>
      </c>
      <c r="G1310">
        <v>2</v>
      </c>
      <c r="H1310">
        <v>4</v>
      </c>
      <c r="I1310" s="1" t="s">
        <v>56</v>
      </c>
      <c r="J1310">
        <v>1835</v>
      </c>
      <c r="K1310">
        <v>2</v>
      </c>
      <c r="L1310" s="1" t="s">
        <v>37</v>
      </c>
      <c r="M1310">
        <v>77</v>
      </c>
      <c r="N1310">
        <v>1</v>
      </c>
      <c r="O1310">
        <v>2</v>
      </c>
      <c r="P1310" s="1" t="s">
        <v>54</v>
      </c>
      <c r="Q1310">
        <v>4</v>
      </c>
      <c r="R1310" s="1" t="s">
        <v>45</v>
      </c>
      <c r="S1310">
        <v>5405</v>
      </c>
      <c r="T1310">
        <v>4244</v>
      </c>
      <c r="U1310">
        <v>2</v>
      </c>
      <c r="V1310" s="1" t="s">
        <v>33</v>
      </c>
      <c r="W1310">
        <v>20</v>
      </c>
      <c r="X1310">
        <v>4</v>
      </c>
      <c r="Y1310">
        <v>1</v>
      </c>
      <c r="Z1310">
        <v>80</v>
      </c>
      <c r="AA1310">
        <v>2</v>
      </c>
      <c r="AB1310">
        <v>20</v>
      </c>
      <c r="AC1310">
        <v>4</v>
      </c>
      <c r="AD1310">
        <v>2</v>
      </c>
      <c r="AE1310">
        <v>4</v>
      </c>
      <c r="AF1310">
        <v>2</v>
      </c>
      <c r="AG1310">
        <v>0</v>
      </c>
      <c r="AH1310">
        <v>3</v>
      </c>
      <c r="AI1310">
        <f>IF(tbl_HRData[[#This Row],[Attrition]] = "Yes",1,0)</f>
        <v>0</v>
      </c>
      <c r="AJ1310">
        <f>IF(tbl_HRData[[#This Row],[Attrition]] = "No",1,0)</f>
        <v>1</v>
      </c>
      <c r="AK1310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310" s="1" t="str">
        <f>IF(tbl_HRData[[#This Row],[MonthlyIncome]]&lt;5000,"Low",
IF(tbl_HRData[[#This Row],[MonthlyIncome]]&lt;10000,"Medium",
IF(tbl_HRData[[#This Row],[MonthlyIncome]]&lt;15000,"Upper Medium","High")))</f>
        <v>Medium</v>
      </c>
      <c r="AM1310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311" spans="1:39" x14ac:dyDescent="0.35">
      <c r="A1311" s="1">
        <v>1310</v>
      </c>
      <c r="B1311">
        <v>26</v>
      </c>
      <c r="C1311" s="1" t="s">
        <v>40</v>
      </c>
      <c r="D1311" s="1" t="s">
        <v>34</v>
      </c>
      <c r="E1311">
        <v>572</v>
      </c>
      <c r="F1311" s="1" t="s">
        <v>35</v>
      </c>
      <c r="G1311">
        <v>10</v>
      </c>
      <c r="H1311">
        <v>3</v>
      </c>
      <c r="I1311" s="1" t="s">
        <v>48</v>
      </c>
      <c r="J1311">
        <v>1836</v>
      </c>
      <c r="K1311">
        <v>3</v>
      </c>
      <c r="L1311" s="1" t="s">
        <v>43</v>
      </c>
      <c r="M1311">
        <v>46</v>
      </c>
      <c r="N1311">
        <v>3</v>
      </c>
      <c r="O1311">
        <v>2</v>
      </c>
      <c r="P1311" s="1" t="s">
        <v>38</v>
      </c>
      <c r="Q1311">
        <v>4</v>
      </c>
      <c r="R1311" s="1" t="s">
        <v>39</v>
      </c>
      <c r="S1311">
        <v>4684</v>
      </c>
      <c r="T1311">
        <v>9125</v>
      </c>
      <c r="U1311">
        <v>1</v>
      </c>
      <c r="V1311" s="1" t="s">
        <v>40</v>
      </c>
      <c r="W1311">
        <v>13</v>
      </c>
      <c r="X1311">
        <v>3</v>
      </c>
      <c r="Y1311">
        <v>1</v>
      </c>
      <c r="Z1311">
        <v>80</v>
      </c>
      <c r="AA1311">
        <v>0</v>
      </c>
      <c r="AB1311">
        <v>5</v>
      </c>
      <c r="AC1311">
        <v>4</v>
      </c>
      <c r="AD1311">
        <v>3</v>
      </c>
      <c r="AE1311">
        <v>5</v>
      </c>
      <c r="AF1311">
        <v>3</v>
      </c>
      <c r="AG1311">
        <v>1</v>
      </c>
      <c r="AH1311">
        <v>2</v>
      </c>
      <c r="AI1311">
        <f>IF(tbl_HRData[[#This Row],[Attrition]] = "Yes",1,0)</f>
        <v>0</v>
      </c>
      <c r="AJ1311">
        <f>IF(tbl_HRData[[#This Row],[Attrition]] = "No",1,0)</f>
        <v>1</v>
      </c>
      <c r="AK1311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311" s="1" t="str">
        <f>IF(tbl_HRData[[#This Row],[MonthlyIncome]]&lt;5000,"Low",
IF(tbl_HRData[[#This Row],[MonthlyIncome]]&lt;10000,"Medium",
IF(tbl_HRData[[#This Row],[MonthlyIncome]]&lt;15000,"Upper Medium","High")))</f>
        <v>Low</v>
      </c>
      <c r="AM1311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312" spans="1:39" x14ac:dyDescent="0.35">
      <c r="A1312" s="1">
        <v>1311</v>
      </c>
      <c r="B1312">
        <v>58</v>
      </c>
      <c r="C1312" s="1" t="s">
        <v>40</v>
      </c>
      <c r="D1312" s="1" t="s">
        <v>41</v>
      </c>
      <c r="E1312">
        <v>1216</v>
      </c>
      <c r="F1312" s="1" t="s">
        <v>42</v>
      </c>
      <c r="G1312">
        <v>15</v>
      </c>
      <c r="H1312">
        <v>4</v>
      </c>
      <c r="I1312" s="1" t="s">
        <v>36</v>
      </c>
      <c r="J1312">
        <v>1837</v>
      </c>
      <c r="K1312">
        <v>1</v>
      </c>
      <c r="L1312" s="1" t="s">
        <v>43</v>
      </c>
      <c r="M1312">
        <v>87</v>
      </c>
      <c r="N1312">
        <v>3</v>
      </c>
      <c r="O1312">
        <v>4</v>
      </c>
      <c r="P1312" s="1" t="s">
        <v>55</v>
      </c>
      <c r="Q1312">
        <v>3</v>
      </c>
      <c r="R1312" s="1" t="s">
        <v>45</v>
      </c>
      <c r="S1312">
        <v>15787</v>
      </c>
      <c r="T1312">
        <v>21624</v>
      </c>
      <c r="U1312">
        <v>2</v>
      </c>
      <c r="V1312" s="1" t="s">
        <v>33</v>
      </c>
      <c r="W1312">
        <v>14</v>
      </c>
      <c r="X1312">
        <v>3</v>
      </c>
      <c r="Y1312">
        <v>2</v>
      </c>
      <c r="Z1312">
        <v>80</v>
      </c>
      <c r="AA1312">
        <v>0</v>
      </c>
      <c r="AB1312">
        <v>23</v>
      </c>
      <c r="AC1312">
        <v>3</v>
      </c>
      <c r="AD1312">
        <v>3</v>
      </c>
      <c r="AE1312">
        <v>2</v>
      </c>
      <c r="AF1312">
        <v>2</v>
      </c>
      <c r="AG1312">
        <v>2</v>
      </c>
      <c r="AH1312">
        <v>2</v>
      </c>
      <c r="AI1312">
        <f>IF(tbl_HRData[[#This Row],[Attrition]] = "Yes",1,0)</f>
        <v>0</v>
      </c>
      <c r="AJ1312">
        <f>IF(tbl_HRData[[#This Row],[Attrition]] = "No",1,0)</f>
        <v>1</v>
      </c>
      <c r="AK1312" t="str">
        <f>IF(tbl_HRData[[#This Row],[Age]] &lt; 25, "Under 25", IF(tbl_HRData[[#This Row],[Age]] &lt;= 34, "25-34", IF(tbl_HRData[[#This Row],[Age]] &lt;= 44, "35-44", IF(tbl_HRData[[#This Row],[Age]] &lt;= 54, "45-54", "55+"))))</f>
        <v>55+</v>
      </c>
      <c r="AL1312" s="1" t="str">
        <f>IF(tbl_HRData[[#This Row],[MonthlyIncome]]&lt;5000,"Low",
IF(tbl_HRData[[#This Row],[MonthlyIncome]]&lt;10000,"Medium",
IF(tbl_HRData[[#This Row],[MonthlyIncome]]&lt;15000,"Upper Medium","High")))</f>
        <v>High</v>
      </c>
      <c r="AM1312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313" spans="1:39" x14ac:dyDescent="0.35">
      <c r="A1313" s="1">
        <v>1312</v>
      </c>
      <c r="B1313">
        <v>18</v>
      </c>
      <c r="C1313" s="1" t="s">
        <v>40</v>
      </c>
      <c r="D1313" s="1" t="s">
        <v>52</v>
      </c>
      <c r="E1313">
        <v>1431</v>
      </c>
      <c r="F1313" s="1" t="s">
        <v>42</v>
      </c>
      <c r="G1313">
        <v>14</v>
      </c>
      <c r="H1313">
        <v>3</v>
      </c>
      <c r="I1313" s="1" t="s">
        <v>48</v>
      </c>
      <c r="J1313">
        <v>1839</v>
      </c>
      <c r="K1313">
        <v>2</v>
      </c>
      <c r="L1313" s="1" t="s">
        <v>37</v>
      </c>
      <c r="M1313">
        <v>33</v>
      </c>
      <c r="N1313">
        <v>3</v>
      </c>
      <c r="O1313">
        <v>1</v>
      </c>
      <c r="P1313" s="1" t="s">
        <v>44</v>
      </c>
      <c r="Q1313">
        <v>3</v>
      </c>
      <c r="R1313" s="1" t="s">
        <v>39</v>
      </c>
      <c r="S1313">
        <v>1514</v>
      </c>
      <c r="T1313">
        <v>8018</v>
      </c>
      <c r="U1313">
        <v>1</v>
      </c>
      <c r="V1313" s="1" t="s">
        <v>40</v>
      </c>
      <c r="W1313">
        <v>16</v>
      </c>
      <c r="X1313">
        <v>3</v>
      </c>
      <c r="Y1313">
        <v>3</v>
      </c>
      <c r="Z1313">
        <v>80</v>
      </c>
      <c r="AA1313">
        <v>0</v>
      </c>
      <c r="AB1313">
        <v>0</v>
      </c>
      <c r="AC1313">
        <v>4</v>
      </c>
      <c r="AD1313">
        <v>1</v>
      </c>
      <c r="AE1313">
        <v>0</v>
      </c>
      <c r="AF1313">
        <v>0</v>
      </c>
      <c r="AG1313">
        <v>0</v>
      </c>
      <c r="AH1313">
        <v>0</v>
      </c>
      <c r="AI1313">
        <f>IF(tbl_HRData[[#This Row],[Attrition]] = "Yes",1,0)</f>
        <v>0</v>
      </c>
      <c r="AJ1313">
        <f>IF(tbl_HRData[[#This Row],[Attrition]] = "No",1,0)</f>
        <v>1</v>
      </c>
      <c r="AK1313" t="str">
        <f>IF(tbl_HRData[[#This Row],[Age]] &lt; 25, "Under 25", IF(tbl_HRData[[#This Row],[Age]] &lt;= 34, "25-34", IF(tbl_HRData[[#This Row],[Age]] &lt;= 44, "35-44", IF(tbl_HRData[[#This Row],[Age]] &lt;= 54, "45-54", "55+"))))</f>
        <v>Under 25</v>
      </c>
      <c r="AL1313" s="1" t="str">
        <f>IF(tbl_HRData[[#This Row],[MonthlyIncome]]&lt;5000,"Low",
IF(tbl_HRData[[#This Row],[MonthlyIncome]]&lt;10000,"Medium",
IF(tbl_HRData[[#This Row],[MonthlyIncome]]&lt;15000,"Upper Medium","High")))</f>
        <v>Low</v>
      </c>
      <c r="AM1313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314" spans="1:39" x14ac:dyDescent="0.35">
      <c r="A1314" s="1">
        <v>1313</v>
      </c>
      <c r="B1314">
        <v>31</v>
      </c>
      <c r="C1314" s="1" t="s">
        <v>33</v>
      </c>
      <c r="D1314" s="1" t="s">
        <v>34</v>
      </c>
      <c r="E1314">
        <v>359</v>
      </c>
      <c r="F1314" s="1" t="s">
        <v>58</v>
      </c>
      <c r="G1314">
        <v>18</v>
      </c>
      <c r="H1314">
        <v>5</v>
      </c>
      <c r="I1314" s="1" t="s">
        <v>58</v>
      </c>
      <c r="J1314">
        <v>1842</v>
      </c>
      <c r="K1314">
        <v>4</v>
      </c>
      <c r="L1314" s="1" t="s">
        <v>43</v>
      </c>
      <c r="M1314">
        <v>89</v>
      </c>
      <c r="N1314">
        <v>4</v>
      </c>
      <c r="O1314">
        <v>1</v>
      </c>
      <c r="P1314" s="1" t="s">
        <v>58</v>
      </c>
      <c r="Q1314">
        <v>1</v>
      </c>
      <c r="R1314" s="1" t="s">
        <v>45</v>
      </c>
      <c r="S1314">
        <v>2956</v>
      </c>
      <c r="T1314">
        <v>21495</v>
      </c>
      <c r="U1314">
        <v>0</v>
      </c>
      <c r="V1314" s="1" t="s">
        <v>40</v>
      </c>
      <c r="W1314">
        <v>17</v>
      </c>
      <c r="X1314">
        <v>3</v>
      </c>
      <c r="Y1314">
        <v>3</v>
      </c>
      <c r="Z1314">
        <v>80</v>
      </c>
      <c r="AA1314">
        <v>0</v>
      </c>
      <c r="AB1314">
        <v>2</v>
      </c>
      <c r="AC1314">
        <v>4</v>
      </c>
      <c r="AD1314">
        <v>3</v>
      </c>
      <c r="AE1314">
        <v>1</v>
      </c>
      <c r="AF1314">
        <v>0</v>
      </c>
      <c r="AG1314">
        <v>0</v>
      </c>
      <c r="AH1314">
        <v>0</v>
      </c>
      <c r="AI1314">
        <f>IF(tbl_HRData[[#This Row],[Attrition]] = "Yes",1,0)</f>
        <v>1</v>
      </c>
      <c r="AJ1314">
        <f>IF(tbl_HRData[[#This Row],[Attrition]] = "No",1,0)</f>
        <v>0</v>
      </c>
      <c r="AK1314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314" s="1" t="str">
        <f>IF(tbl_HRData[[#This Row],[MonthlyIncome]]&lt;5000,"Low",
IF(tbl_HRData[[#This Row],[MonthlyIncome]]&lt;10000,"Medium",
IF(tbl_HRData[[#This Row],[MonthlyIncome]]&lt;15000,"Upper Medium","High")))</f>
        <v>Low</v>
      </c>
      <c r="AM1314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315" spans="1:39" x14ac:dyDescent="0.35">
      <c r="A1315" s="1">
        <v>1314</v>
      </c>
      <c r="B1315">
        <v>29</v>
      </c>
      <c r="C1315" s="1" t="s">
        <v>33</v>
      </c>
      <c r="D1315" s="1" t="s">
        <v>34</v>
      </c>
      <c r="E1315">
        <v>350</v>
      </c>
      <c r="F1315" s="1" t="s">
        <v>58</v>
      </c>
      <c r="G1315">
        <v>13</v>
      </c>
      <c r="H1315">
        <v>3</v>
      </c>
      <c r="I1315" s="1" t="s">
        <v>58</v>
      </c>
      <c r="J1315">
        <v>1844</v>
      </c>
      <c r="K1315">
        <v>1</v>
      </c>
      <c r="L1315" s="1" t="s">
        <v>43</v>
      </c>
      <c r="M1315">
        <v>56</v>
      </c>
      <c r="N1315">
        <v>2</v>
      </c>
      <c r="O1315">
        <v>1</v>
      </c>
      <c r="P1315" s="1" t="s">
        <v>58</v>
      </c>
      <c r="Q1315">
        <v>1</v>
      </c>
      <c r="R1315" s="1" t="s">
        <v>49</v>
      </c>
      <c r="S1315">
        <v>2335</v>
      </c>
      <c r="T1315">
        <v>3157</v>
      </c>
      <c r="U1315">
        <v>4</v>
      </c>
      <c r="V1315" s="1" t="s">
        <v>33</v>
      </c>
      <c r="W1315">
        <v>15</v>
      </c>
      <c r="X1315">
        <v>3</v>
      </c>
      <c r="Y1315">
        <v>4</v>
      </c>
      <c r="Z1315">
        <v>80</v>
      </c>
      <c r="AA1315">
        <v>3</v>
      </c>
      <c r="AB1315">
        <v>4</v>
      </c>
      <c r="AC1315">
        <v>3</v>
      </c>
      <c r="AD1315">
        <v>3</v>
      </c>
      <c r="AE1315">
        <v>2</v>
      </c>
      <c r="AF1315">
        <v>2</v>
      </c>
      <c r="AG1315">
        <v>2</v>
      </c>
      <c r="AH1315">
        <v>0</v>
      </c>
      <c r="AI1315">
        <f>IF(tbl_HRData[[#This Row],[Attrition]] = "Yes",1,0)</f>
        <v>1</v>
      </c>
      <c r="AJ1315">
        <f>IF(tbl_HRData[[#This Row],[Attrition]] = "No",1,0)</f>
        <v>0</v>
      </c>
      <c r="AK1315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315" s="1" t="str">
        <f>IF(tbl_HRData[[#This Row],[MonthlyIncome]]&lt;5000,"Low",
IF(tbl_HRData[[#This Row],[MonthlyIncome]]&lt;10000,"Medium",
IF(tbl_HRData[[#This Row],[MonthlyIncome]]&lt;15000,"Upper Medium","High")))</f>
        <v>Low</v>
      </c>
      <c r="AM1315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316" spans="1:39" x14ac:dyDescent="0.35">
      <c r="A1316" s="1">
        <v>1315</v>
      </c>
      <c r="B1316">
        <v>45</v>
      </c>
      <c r="C1316" s="1" t="s">
        <v>40</v>
      </c>
      <c r="D1316" s="1" t="s">
        <v>52</v>
      </c>
      <c r="E1316">
        <v>589</v>
      </c>
      <c r="F1316" s="1" t="s">
        <v>35</v>
      </c>
      <c r="G1316">
        <v>2</v>
      </c>
      <c r="H1316">
        <v>4</v>
      </c>
      <c r="I1316" s="1" t="s">
        <v>36</v>
      </c>
      <c r="J1316">
        <v>1845</v>
      </c>
      <c r="K1316">
        <v>3</v>
      </c>
      <c r="L1316" s="1" t="s">
        <v>37</v>
      </c>
      <c r="M1316">
        <v>67</v>
      </c>
      <c r="N1316">
        <v>3</v>
      </c>
      <c r="O1316">
        <v>2</v>
      </c>
      <c r="P1316" s="1" t="s">
        <v>38</v>
      </c>
      <c r="Q1316">
        <v>3</v>
      </c>
      <c r="R1316" s="1" t="s">
        <v>45</v>
      </c>
      <c r="S1316">
        <v>5154</v>
      </c>
      <c r="T1316">
        <v>19665</v>
      </c>
      <c r="U1316">
        <v>4</v>
      </c>
      <c r="V1316" s="1" t="s">
        <v>40</v>
      </c>
      <c r="W1316">
        <v>22</v>
      </c>
      <c r="X1316">
        <v>4</v>
      </c>
      <c r="Y1316">
        <v>2</v>
      </c>
      <c r="Z1316">
        <v>80</v>
      </c>
      <c r="AA1316">
        <v>2</v>
      </c>
      <c r="AB1316">
        <v>10</v>
      </c>
      <c r="AC1316">
        <v>3</v>
      </c>
      <c r="AD1316">
        <v>4</v>
      </c>
      <c r="AE1316">
        <v>8</v>
      </c>
      <c r="AF1316">
        <v>7</v>
      </c>
      <c r="AG1316">
        <v>5</v>
      </c>
      <c r="AH1316">
        <v>7</v>
      </c>
      <c r="AI1316">
        <f>IF(tbl_HRData[[#This Row],[Attrition]] = "Yes",1,0)</f>
        <v>0</v>
      </c>
      <c r="AJ1316">
        <f>IF(tbl_HRData[[#This Row],[Attrition]] = "No",1,0)</f>
        <v>1</v>
      </c>
      <c r="AK1316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1316" s="1" t="str">
        <f>IF(tbl_HRData[[#This Row],[MonthlyIncome]]&lt;5000,"Low",
IF(tbl_HRData[[#This Row],[MonthlyIncome]]&lt;10000,"Medium",
IF(tbl_HRData[[#This Row],[MonthlyIncome]]&lt;15000,"Upper Medium","High")))</f>
        <v>Medium</v>
      </c>
      <c r="AM1316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317" spans="1:39" x14ac:dyDescent="0.35">
      <c r="A1317" s="1">
        <v>1316</v>
      </c>
      <c r="B1317">
        <v>36</v>
      </c>
      <c r="C1317" s="1" t="s">
        <v>40</v>
      </c>
      <c r="D1317" s="1" t="s">
        <v>34</v>
      </c>
      <c r="E1317">
        <v>430</v>
      </c>
      <c r="F1317" s="1" t="s">
        <v>42</v>
      </c>
      <c r="G1317">
        <v>2</v>
      </c>
      <c r="H1317">
        <v>4</v>
      </c>
      <c r="I1317" s="1" t="s">
        <v>46</v>
      </c>
      <c r="J1317">
        <v>1847</v>
      </c>
      <c r="K1317">
        <v>4</v>
      </c>
      <c r="L1317" s="1" t="s">
        <v>37</v>
      </c>
      <c r="M1317">
        <v>73</v>
      </c>
      <c r="N1317">
        <v>3</v>
      </c>
      <c r="O1317">
        <v>2</v>
      </c>
      <c r="P1317" s="1" t="s">
        <v>44</v>
      </c>
      <c r="Q1317">
        <v>2</v>
      </c>
      <c r="R1317" s="1" t="s">
        <v>45</v>
      </c>
      <c r="S1317">
        <v>6962</v>
      </c>
      <c r="T1317">
        <v>19573</v>
      </c>
      <c r="U1317">
        <v>4</v>
      </c>
      <c r="V1317" s="1" t="s">
        <v>33</v>
      </c>
      <c r="W1317">
        <v>22</v>
      </c>
      <c r="X1317">
        <v>4</v>
      </c>
      <c r="Y1317">
        <v>4</v>
      </c>
      <c r="Z1317">
        <v>80</v>
      </c>
      <c r="AA1317">
        <v>1</v>
      </c>
      <c r="AB1317">
        <v>15</v>
      </c>
      <c r="AC1317">
        <v>2</v>
      </c>
      <c r="AD1317">
        <v>3</v>
      </c>
      <c r="AE1317">
        <v>1</v>
      </c>
      <c r="AF1317">
        <v>0</v>
      </c>
      <c r="AG1317">
        <v>0</v>
      </c>
      <c r="AH1317">
        <v>0</v>
      </c>
      <c r="AI1317">
        <f>IF(tbl_HRData[[#This Row],[Attrition]] = "Yes",1,0)</f>
        <v>0</v>
      </c>
      <c r="AJ1317">
        <f>IF(tbl_HRData[[#This Row],[Attrition]] = "No",1,0)</f>
        <v>1</v>
      </c>
      <c r="AK1317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317" s="1" t="str">
        <f>IF(tbl_HRData[[#This Row],[MonthlyIncome]]&lt;5000,"Low",
IF(tbl_HRData[[#This Row],[MonthlyIncome]]&lt;10000,"Medium",
IF(tbl_HRData[[#This Row],[MonthlyIncome]]&lt;15000,"Upper Medium","High")))</f>
        <v>Medium</v>
      </c>
      <c r="AM1317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318" spans="1:39" x14ac:dyDescent="0.35">
      <c r="A1318" s="1">
        <v>1317</v>
      </c>
      <c r="B1318">
        <v>43</v>
      </c>
      <c r="C1318" s="1" t="s">
        <v>40</v>
      </c>
      <c r="D1318" s="1" t="s">
        <v>41</v>
      </c>
      <c r="E1318">
        <v>1422</v>
      </c>
      <c r="F1318" s="1" t="s">
        <v>35</v>
      </c>
      <c r="G1318">
        <v>2</v>
      </c>
      <c r="H1318">
        <v>4</v>
      </c>
      <c r="I1318" s="1" t="s">
        <v>36</v>
      </c>
      <c r="J1318">
        <v>1849</v>
      </c>
      <c r="K1318">
        <v>1</v>
      </c>
      <c r="L1318" s="1" t="s">
        <v>43</v>
      </c>
      <c r="M1318">
        <v>92</v>
      </c>
      <c r="N1318">
        <v>3</v>
      </c>
      <c r="O1318">
        <v>2</v>
      </c>
      <c r="P1318" s="1" t="s">
        <v>38</v>
      </c>
      <c r="Q1318">
        <v>4</v>
      </c>
      <c r="R1318" s="1" t="s">
        <v>45</v>
      </c>
      <c r="S1318">
        <v>5675</v>
      </c>
      <c r="T1318">
        <v>19246</v>
      </c>
      <c r="U1318">
        <v>1</v>
      </c>
      <c r="V1318" s="1" t="s">
        <v>40</v>
      </c>
      <c r="W1318">
        <v>20</v>
      </c>
      <c r="X1318">
        <v>4</v>
      </c>
      <c r="Y1318">
        <v>3</v>
      </c>
      <c r="Z1318">
        <v>80</v>
      </c>
      <c r="AA1318">
        <v>1</v>
      </c>
      <c r="AB1318">
        <v>7</v>
      </c>
      <c r="AC1318">
        <v>5</v>
      </c>
      <c r="AD1318">
        <v>3</v>
      </c>
      <c r="AE1318">
        <v>7</v>
      </c>
      <c r="AF1318">
        <v>7</v>
      </c>
      <c r="AG1318">
        <v>7</v>
      </c>
      <c r="AH1318">
        <v>7</v>
      </c>
      <c r="AI1318">
        <f>IF(tbl_HRData[[#This Row],[Attrition]] = "Yes",1,0)</f>
        <v>0</v>
      </c>
      <c r="AJ1318">
        <f>IF(tbl_HRData[[#This Row],[Attrition]] = "No",1,0)</f>
        <v>1</v>
      </c>
      <c r="AK1318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318" s="1" t="str">
        <f>IF(tbl_HRData[[#This Row],[MonthlyIncome]]&lt;5000,"Low",
IF(tbl_HRData[[#This Row],[MonthlyIncome]]&lt;10000,"Medium",
IF(tbl_HRData[[#This Row],[MonthlyIncome]]&lt;15000,"Upper Medium","High")))</f>
        <v>Medium</v>
      </c>
      <c r="AM1318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319" spans="1:39" x14ac:dyDescent="0.35">
      <c r="A1319" s="1">
        <v>1318</v>
      </c>
      <c r="B1319">
        <v>27</v>
      </c>
      <c r="C1319" s="1" t="s">
        <v>40</v>
      </c>
      <c r="D1319" s="1" t="s">
        <v>41</v>
      </c>
      <c r="E1319">
        <v>1297</v>
      </c>
      <c r="F1319" s="1" t="s">
        <v>42</v>
      </c>
      <c r="G1319">
        <v>5</v>
      </c>
      <c r="H1319">
        <v>2</v>
      </c>
      <c r="I1319" s="1" t="s">
        <v>36</v>
      </c>
      <c r="J1319">
        <v>1850</v>
      </c>
      <c r="K1319">
        <v>4</v>
      </c>
      <c r="L1319" s="1" t="s">
        <v>37</v>
      </c>
      <c r="M1319">
        <v>53</v>
      </c>
      <c r="N1319">
        <v>3</v>
      </c>
      <c r="O1319">
        <v>1</v>
      </c>
      <c r="P1319" s="1" t="s">
        <v>47</v>
      </c>
      <c r="Q1319">
        <v>4</v>
      </c>
      <c r="R1319" s="1" t="s">
        <v>39</v>
      </c>
      <c r="S1319">
        <v>2379</v>
      </c>
      <c r="T1319">
        <v>19826</v>
      </c>
      <c r="U1319">
        <v>0</v>
      </c>
      <c r="V1319" s="1" t="s">
        <v>33</v>
      </c>
      <c r="W1319">
        <v>14</v>
      </c>
      <c r="X1319">
        <v>3</v>
      </c>
      <c r="Y1319">
        <v>3</v>
      </c>
      <c r="Z1319">
        <v>80</v>
      </c>
      <c r="AA1319">
        <v>0</v>
      </c>
      <c r="AB1319">
        <v>6</v>
      </c>
      <c r="AC1319">
        <v>3</v>
      </c>
      <c r="AD1319">
        <v>2</v>
      </c>
      <c r="AE1319">
        <v>5</v>
      </c>
      <c r="AF1319">
        <v>4</v>
      </c>
      <c r="AG1319">
        <v>0</v>
      </c>
      <c r="AH1319">
        <v>2</v>
      </c>
      <c r="AI1319">
        <f>IF(tbl_HRData[[#This Row],[Attrition]] = "Yes",1,0)</f>
        <v>0</v>
      </c>
      <c r="AJ1319">
        <f>IF(tbl_HRData[[#This Row],[Attrition]] = "No",1,0)</f>
        <v>1</v>
      </c>
      <c r="AK1319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319" s="1" t="str">
        <f>IF(tbl_HRData[[#This Row],[MonthlyIncome]]&lt;5000,"Low",
IF(tbl_HRData[[#This Row],[MonthlyIncome]]&lt;10000,"Medium",
IF(tbl_HRData[[#This Row],[MonthlyIncome]]&lt;15000,"Upper Medium","High")))</f>
        <v>Low</v>
      </c>
      <c r="AM1319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320" spans="1:39" x14ac:dyDescent="0.35">
      <c r="A1320" s="1">
        <v>1319</v>
      </c>
      <c r="B1320">
        <v>29</v>
      </c>
      <c r="C1320" s="1" t="s">
        <v>40</v>
      </c>
      <c r="D1320" s="1" t="s">
        <v>41</v>
      </c>
      <c r="E1320">
        <v>574</v>
      </c>
      <c r="F1320" s="1" t="s">
        <v>42</v>
      </c>
      <c r="G1320">
        <v>20</v>
      </c>
      <c r="H1320">
        <v>1</v>
      </c>
      <c r="I1320" s="1" t="s">
        <v>48</v>
      </c>
      <c r="J1320">
        <v>1852</v>
      </c>
      <c r="K1320">
        <v>4</v>
      </c>
      <c r="L1320" s="1" t="s">
        <v>43</v>
      </c>
      <c r="M1320">
        <v>40</v>
      </c>
      <c r="N1320">
        <v>3</v>
      </c>
      <c r="O1320">
        <v>1</v>
      </c>
      <c r="P1320" s="1" t="s">
        <v>47</v>
      </c>
      <c r="Q1320">
        <v>4</v>
      </c>
      <c r="R1320" s="1" t="s">
        <v>45</v>
      </c>
      <c r="S1320">
        <v>3812</v>
      </c>
      <c r="T1320">
        <v>7003</v>
      </c>
      <c r="U1320">
        <v>1</v>
      </c>
      <c r="V1320" s="1" t="s">
        <v>40</v>
      </c>
      <c r="W1320">
        <v>13</v>
      </c>
      <c r="X1320">
        <v>3</v>
      </c>
      <c r="Y1320">
        <v>2</v>
      </c>
      <c r="Z1320">
        <v>80</v>
      </c>
      <c r="AA1320">
        <v>0</v>
      </c>
      <c r="AB1320">
        <v>11</v>
      </c>
      <c r="AC1320">
        <v>3</v>
      </c>
      <c r="AD1320">
        <v>4</v>
      </c>
      <c r="AE1320">
        <v>11</v>
      </c>
      <c r="AF1320">
        <v>8</v>
      </c>
      <c r="AG1320">
        <v>3</v>
      </c>
      <c r="AH1320">
        <v>10</v>
      </c>
      <c r="AI1320">
        <f>IF(tbl_HRData[[#This Row],[Attrition]] = "Yes",1,0)</f>
        <v>0</v>
      </c>
      <c r="AJ1320">
        <f>IF(tbl_HRData[[#This Row],[Attrition]] = "No",1,0)</f>
        <v>1</v>
      </c>
      <c r="AK1320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320" s="1" t="str">
        <f>IF(tbl_HRData[[#This Row],[MonthlyIncome]]&lt;5000,"Low",
IF(tbl_HRData[[#This Row],[MonthlyIncome]]&lt;10000,"Medium",
IF(tbl_HRData[[#This Row],[MonthlyIncome]]&lt;15000,"Upper Medium","High")))</f>
        <v>Low</v>
      </c>
      <c r="AM1320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1321" spans="1:39" x14ac:dyDescent="0.35">
      <c r="A1321" s="1">
        <v>1320</v>
      </c>
      <c r="B1321">
        <v>32</v>
      </c>
      <c r="C1321" s="1" t="s">
        <v>40</v>
      </c>
      <c r="D1321" s="1" t="s">
        <v>41</v>
      </c>
      <c r="E1321">
        <v>1318</v>
      </c>
      <c r="F1321" s="1" t="s">
        <v>35</v>
      </c>
      <c r="G1321">
        <v>10</v>
      </c>
      <c r="H1321">
        <v>4</v>
      </c>
      <c r="I1321" s="1" t="s">
        <v>56</v>
      </c>
      <c r="J1321">
        <v>1853</v>
      </c>
      <c r="K1321">
        <v>4</v>
      </c>
      <c r="L1321" s="1" t="s">
        <v>43</v>
      </c>
      <c r="M1321">
        <v>79</v>
      </c>
      <c r="N1321">
        <v>3</v>
      </c>
      <c r="O1321">
        <v>2</v>
      </c>
      <c r="P1321" s="1" t="s">
        <v>38</v>
      </c>
      <c r="Q1321">
        <v>4</v>
      </c>
      <c r="R1321" s="1" t="s">
        <v>39</v>
      </c>
      <c r="S1321">
        <v>4648</v>
      </c>
      <c r="T1321">
        <v>26075</v>
      </c>
      <c r="U1321">
        <v>8</v>
      </c>
      <c r="V1321" s="1" t="s">
        <v>40</v>
      </c>
      <c r="W1321">
        <v>13</v>
      </c>
      <c r="X1321">
        <v>3</v>
      </c>
      <c r="Y1321">
        <v>3</v>
      </c>
      <c r="Z1321">
        <v>80</v>
      </c>
      <c r="AA1321">
        <v>0</v>
      </c>
      <c r="AB1321">
        <v>4</v>
      </c>
      <c r="AC1321">
        <v>2</v>
      </c>
      <c r="AD1321">
        <v>4</v>
      </c>
      <c r="AE1321">
        <v>0</v>
      </c>
      <c r="AF1321">
        <v>0</v>
      </c>
      <c r="AG1321">
        <v>0</v>
      </c>
      <c r="AH1321">
        <v>0</v>
      </c>
      <c r="AI1321">
        <f>IF(tbl_HRData[[#This Row],[Attrition]] = "Yes",1,0)</f>
        <v>0</v>
      </c>
      <c r="AJ1321">
        <f>IF(tbl_HRData[[#This Row],[Attrition]] = "No",1,0)</f>
        <v>1</v>
      </c>
      <c r="AK1321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321" s="1" t="str">
        <f>IF(tbl_HRData[[#This Row],[MonthlyIncome]]&lt;5000,"Low",
IF(tbl_HRData[[#This Row],[MonthlyIncome]]&lt;10000,"Medium",
IF(tbl_HRData[[#This Row],[MonthlyIncome]]&lt;15000,"Upper Medium","High")))</f>
        <v>Low</v>
      </c>
      <c r="AM1321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322" spans="1:39" x14ac:dyDescent="0.35">
      <c r="A1322" s="1">
        <v>1321</v>
      </c>
      <c r="B1322">
        <v>42</v>
      </c>
      <c r="C1322" s="1" t="s">
        <v>40</v>
      </c>
      <c r="D1322" s="1" t="s">
        <v>52</v>
      </c>
      <c r="E1322">
        <v>355</v>
      </c>
      <c r="F1322" s="1" t="s">
        <v>42</v>
      </c>
      <c r="G1322">
        <v>10</v>
      </c>
      <c r="H1322">
        <v>4</v>
      </c>
      <c r="I1322" s="1" t="s">
        <v>57</v>
      </c>
      <c r="J1322">
        <v>1854</v>
      </c>
      <c r="K1322">
        <v>3</v>
      </c>
      <c r="L1322" s="1" t="s">
        <v>43</v>
      </c>
      <c r="M1322">
        <v>38</v>
      </c>
      <c r="N1322">
        <v>3</v>
      </c>
      <c r="O1322">
        <v>1</v>
      </c>
      <c r="P1322" s="1" t="s">
        <v>44</v>
      </c>
      <c r="Q1322">
        <v>3</v>
      </c>
      <c r="R1322" s="1" t="s">
        <v>45</v>
      </c>
      <c r="S1322">
        <v>2936</v>
      </c>
      <c r="T1322">
        <v>6161</v>
      </c>
      <c r="U1322">
        <v>3</v>
      </c>
      <c r="V1322" s="1" t="s">
        <v>40</v>
      </c>
      <c r="W1322">
        <v>22</v>
      </c>
      <c r="X1322">
        <v>4</v>
      </c>
      <c r="Y1322">
        <v>2</v>
      </c>
      <c r="Z1322">
        <v>80</v>
      </c>
      <c r="AA1322">
        <v>2</v>
      </c>
      <c r="AB1322">
        <v>10</v>
      </c>
      <c r="AC1322">
        <v>1</v>
      </c>
      <c r="AD1322">
        <v>2</v>
      </c>
      <c r="AE1322">
        <v>6</v>
      </c>
      <c r="AF1322">
        <v>3</v>
      </c>
      <c r="AG1322">
        <v>3</v>
      </c>
      <c r="AH1322">
        <v>3</v>
      </c>
      <c r="AI1322">
        <f>IF(tbl_HRData[[#This Row],[Attrition]] = "Yes",1,0)</f>
        <v>0</v>
      </c>
      <c r="AJ1322">
        <f>IF(tbl_HRData[[#This Row],[Attrition]] = "No",1,0)</f>
        <v>1</v>
      </c>
      <c r="AK1322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322" s="1" t="str">
        <f>IF(tbl_HRData[[#This Row],[MonthlyIncome]]&lt;5000,"Low",
IF(tbl_HRData[[#This Row],[MonthlyIncome]]&lt;10000,"Medium",
IF(tbl_HRData[[#This Row],[MonthlyIncome]]&lt;15000,"Upper Medium","High")))</f>
        <v>Low</v>
      </c>
      <c r="AM1322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323" spans="1:39" x14ac:dyDescent="0.35">
      <c r="A1323" s="1">
        <v>1322</v>
      </c>
      <c r="B1323">
        <v>47</v>
      </c>
      <c r="C1323" s="1" t="s">
        <v>40</v>
      </c>
      <c r="D1323" s="1" t="s">
        <v>34</v>
      </c>
      <c r="E1323">
        <v>207</v>
      </c>
      <c r="F1323" s="1" t="s">
        <v>42</v>
      </c>
      <c r="G1323">
        <v>9</v>
      </c>
      <c r="H1323">
        <v>4</v>
      </c>
      <c r="I1323" s="1" t="s">
        <v>36</v>
      </c>
      <c r="J1323">
        <v>1856</v>
      </c>
      <c r="K1323">
        <v>2</v>
      </c>
      <c r="L1323" s="1" t="s">
        <v>37</v>
      </c>
      <c r="M1323">
        <v>64</v>
      </c>
      <c r="N1323">
        <v>3</v>
      </c>
      <c r="O1323">
        <v>1</v>
      </c>
      <c r="P1323" s="1" t="s">
        <v>47</v>
      </c>
      <c r="Q1323">
        <v>3</v>
      </c>
      <c r="R1323" s="1" t="s">
        <v>39</v>
      </c>
      <c r="S1323">
        <v>2105</v>
      </c>
      <c r="T1323">
        <v>5411</v>
      </c>
      <c r="U1323">
        <v>4</v>
      </c>
      <c r="V1323" s="1" t="s">
        <v>40</v>
      </c>
      <c r="W1323">
        <v>12</v>
      </c>
      <c r="X1323">
        <v>3</v>
      </c>
      <c r="Y1323">
        <v>3</v>
      </c>
      <c r="Z1323">
        <v>80</v>
      </c>
      <c r="AA1323">
        <v>0</v>
      </c>
      <c r="AB1323">
        <v>7</v>
      </c>
      <c r="AC1323">
        <v>2</v>
      </c>
      <c r="AD1323">
        <v>3</v>
      </c>
      <c r="AE1323">
        <v>2</v>
      </c>
      <c r="AF1323">
        <v>2</v>
      </c>
      <c r="AG1323">
        <v>2</v>
      </c>
      <c r="AH1323">
        <v>0</v>
      </c>
      <c r="AI1323">
        <f>IF(tbl_HRData[[#This Row],[Attrition]] = "Yes",1,0)</f>
        <v>0</v>
      </c>
      <c r="AJ1323">
        <f>IF(tbl_HRData[[#This Row],[Attrition]] = "No",1,0)</f>
        <v>1</v>
      </c>
      <c r="AK1323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1323" s="1" t="str">
        <f>IF(tbl_HRData[[#This Row],[MonthlyIncome]]&lt;5000,"Low",
IF(tbl_HRData[[#This Row],[MonthlyIncome]]&lt;10000,"Medium",
IF(tbl_HRData[[#This Row],[MonthlyIncome]]&lt;15000,"Upper Medium","High")))</f>
        <v>Low</v>
      </c>
      <c r="AM1323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324" spans="1:39" x14ac:dyDescent="0.35">
      <c r="A1324" s="1">
        <v>1323</v>
      </c>
      <c r="B1324">
        <v>46</v>
      </c>
      <c r="C1324" s="1" t="s">
        <v>40</v>
      </c>
      <c r="D1324" s="1" t="s">
        <v>34</v>
      </c>
      <c r="E1324">
        <v>706</v>
      </c>
      <c r="F1324" s="1" t="s">
        <v>42</v>
      </c>
      <c r="G1324">
        <v>2</v>
      </c>
      <c r="H1324">
        <v>2</v>
      </c>
      <c r="I1324" s="1" t="s">
        <v>36</v>
      </c>
      <c r="J1324">
        <v>1857</v>
      </c>
      <c r="K1324">
        <v>4</v>
      </c>
      <c r="L1324" s="1" t="s">
        <v>43</v>
      </c>
      <c r="M1324">
        <v>82</v>
      </c>
      <c r="N1324">
        <v>3</v>
      </c>
      <c r="O1324">
        <v>3</v>
      </c>
      <c r="P1324" s="1" t="s">
        <v>50</v>
      </c>
      <c r="Q1324">
        <v>4</v>
      </c>
      <c r="R1324" s="1" t="s">
        <v>49</v>
      </c>
      <c r="S1324">
        <v>8578</v>
      </c>
      <c r="T1324">
        <v>19989</v>
      </c>
      <c r="U1324">
        <v>3</v>
      </c>
      <c r="V1324" s="1" t="s">
        <v>40</v>
      </c>
      <c r="W1324">
        <v>14</v>
      </c>
      <c r="X1324">
        <v>3</v>
      </c>
      <c r="Y1324">
        <v>3</v>
      </c>
      <c r="Z1324">
        <v>80</v>
      </c>
      <c r="AA1324">
        <v>1</v>
      </c>
      <c r="AB1324">
        <v>12</v>
      </c>
      <c r="AC1324">
        <v>4</v>
      </c>
      <c r="AD1324">
        <v>2</v>
      </c>
      <c r="AE1324">
        <v>9</v>
      </c>
      <c r="AF1324">
        <v>8</v>
      </c>
      <c r="AG1324">
        <v>4</v>
      </c>
      <c r="AH1324">
        <v>7</v>
      </c>
      <c r="AI1324">
        <f>IF(tbl_HRData[[#This Row],[Attrition]] = "Yes",1,0)</f>
        <v>0</v>
      </c>
      <c r="AJ1324">
        <f>IF(tbl_HRData[[#This Row],[Attrition]] = "No",1,0)</f>
        <v>1</v>
      </c>
      <c r="AK1324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1324" s="1" t="str">
        <f>IF(tbl_HRData[[#This Row],[MonthlyIncome]]&lt;5000,"Low",
IF(tbl_HRData[[#This Row],[MonthlyIncome]]&lt;10000,"Medium",
IF(tbl_HRData[[#This Row],[MonthlyIncome]]&lt;15000,"Upper Medium","High")))</f>
        <v>Medium</v>
      </c>
      <c r="AM1324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325" spans="1:39" x14ac:dyDescent="0.35">
      <c r="A1325" s="1">
        <v>1324</v>
      </c>
      <c r="B1325">
        <v>28</v>
      </c>
      <c r="C1325" s="1" t="s">
        <v>40</v>
      </c>
      <c r="D1325" s="1" t="s">
        <v>52</v>
      </c>
      <c r="E1325">
        <v>280</v>
      </c>
      <c r="F1325" s="1" t="s">
        <v>58</v>
      </c>
      <c r="G1325">
        <v>1</v>
      </c>
      <c r="H1325">
        <v>2</v>
      </c>
      <c r="I1325" s="1" t="s">
        <v>36</v>
      </c>
      <c r="J1325">
        <v>1858</v>
      </c>
      <c r="K1325">
        <v>3</v>
      </c>
      <c r="L1325" s="1" t="s">
        <v>43</v>
      </c>
      <c r="M1325">
        <v>43</v>
      </c>
      <c r="N1325">
        <v>3</v>
      </c>
      <c r="O1325">
        <v>1</v>
      </c>
      <c r="P1325" s="1" t="s">
        <v>58</v>
      </c>
      <c r="Q1325">
        <v>4</v>
      </c>
      <c r="R1325" s="1" t="s">
        <v>49</v>
      </c>
      <c r="S1325">
        <v>2706</v>
      </c>
      <c r="T1325">
        <v>10494</v>
      </c>
      <c r="U1325">
        <v>1</v>
      </c>
      <c r="V1325" s="1" t="s">
        <v>40</v>
      </c>
      <c r="W1325">
        <v>15</v>
      </c>
      <c r="X1325">
        <v>3</v>
      </c>
      <c r="Y1325">
        <v>2</v>
      </c>
      <c r="Z1325">
        <v>80</v>
      </c>
      <c r="AA1325">
        <v>1</v>
      </c>
      <c r="AB1325">
        <v>3</v>
      </c>
      <c r="AC1325">
        <v>2</v>
      </c>
      <c r="AD1325">
        <v>3</v>
      </c>
      <c r="AE1325">
        <v>3</v>
      </c>
      <c r="AF1325">
        <v>2</v>
      </c>
      <c r="AG1325">
        <v>2</v>
      </c>
      <c r="AH1325">
        <v>2</v>
      </c>
      <c r="AI1325">
        <f>IF(tbl_HRData[[#This Row],[Attrition]] = "Yes",1,0)</f>
        <v>0</v>
      </c>
      <c r="AJ1325">
        <f>IF(tbl_HRData[[#This Row],[Attrition]] = "No",1,0)</f>
        <v>1</v>
      </c>
      <c r="AK1325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325" s="1" t="str">
        <f>IF(tbl_HRData[[#This Row],[MonthlyIncome]]&lt;5000,"Low",
IF(tbl_HRData[[#This Row],[MonthlyIncome]]&lt;10000,"Medium",
IF(tbl_HRData[[#This Row],[MonthlyIncome]]&lt;15000,"Upper Medium","High")))</f>
        <v>Low</v>
      </c>
      <c r="AM1325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326" spans="1:39" x14ac:dyDescent="0.35">
      <c r="A1326" s="1">
        <v>1325</v>
      </c>
      <c r="B1326">
        <v>29</v>
      </c>
      <c r="C1326" s="1" t="s">
        <v>40</v>
      </c>
      <c r="D1326" s="1" t="s">
        <v>34</v>
      </c>
      <c r="E1326">
        <v>726</v>
      </c>
      <c r="F1326" s="1" t="s">
        <v>42</v>
      </c>
      <c r="G1326">
        <v>29</v>
      </c>
      <c r="H1326">
        <v>1</v>
      </c>
      <c r="I1326" s="1" t="s">
        <v>36</v>
      </c>
      <c r="J1326">
        <v>1859</v>
      </c>
      <c r="K1326">
        <v>4</v>
      </c>
      <c r="L1326" s="1" t="s">
        <v>43</v>
      </c>
      <c r="M1326">
        <v>93</v>
      </c>
      <c r="N1326">
        <v>1</v>
      </c>
      <c r="O1326">
        <v>2</v>
      </c>
      <c r="P1326" s="1" t="s">
        <v>51</v>
      </c>
      <c r="Q1326">
        <v>3</v>
      </c>
      <c r="R1326" s="1" t="s">
        <v>49</v>
      </c>
      <c r="S1326">
        <v>6384</v>
      </c>
      <c r="T1326">
        <v>21143</v>
      </c>
      <c r="U1326">
        <v>8</v>
      </c>
      <c r="V1326" s="1" t="s">
        <v>40</v>
      </c>
      <c r="W1326">
        <v>17</v>
      </c>
      <c r="X1326">
        <v>3</v>
      </c>
      <c r="Y1326">
        <v>4</v>
      </c>
      <c r="Z1326">
        <v>80</v>
      </c>
      <c r="AA1326">
        <v>2</v>
      </c>
      <c r="AB1326">
        <v>11</v>
      </c>
      <c r="AC1326">
        <v>3</v>
      </c>
      <c r="AD1326">
        <v>3</v>
      </c>
      <c r="AE1326">
        <v>7</v>
      </c>
      <c r="AF1326">
        <v>0</v>
      </c>
      <c r="AG1326">
        <v>1</v>
      </c>
      <c r="AH1326">
        <v>6</v>
      </c>
      <c r="AI1326">
        <f>IF(tbl_HRData[[#This Row],[Attrition]] = "Yes",1,0)</f>
        <v>0</v>
      </c>
      <c r="AJ1326">
        <f>IF(tbl_HRData[[#This Row],[Attrition]] = "No",1,0)</f>
        <v>1</v>
      </c>
      <c r="AK1326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326" s="1" t="str">
        <f>IF(tbl_HRData[[#This Row],[MonthlyIncome]]&lt;5000,"Low",
IF(tbl_HRData[[#This Row],[MonthlyIncome]]&lt;10000,"Medium",
IF(tbl_HRData[[#This Row],[MonthlyIncome]]&lt;15000,"Upper Medium","High")))</f>
        <v>Medium</v>
      </c>
      <c r="AM1326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327" spans="1:39" x14ac:dyDescent="0.35">
      <c r="A1327" s="1">
        <v>1326</v>
      </c>
      <c r="B1327">
        <v>42</v>
      </c>
      <c r="C1327" s="1" t="s">
        <v>40</v>
      </c>
      <c r="D1327" s="1" t="s">
        <v>34</v>
      </c>
      <c r="E1327">
        <v>1142</v>
      </c>
      <c r="F1327" s="1" t="s">
        <v>42</v>
      </c>
      <c r="G1327">
        <v>8</v>
      </c>
      <c r="H1327">
        <v>3</v>
      </c>
      <c r="I1327" s="1" t="s">
        <v>36</v>
      </c>
      <c r="J1327">
        <v>1860</v>
      </c>
      <c r="K1327">
        <v>4</v>
      </c>
      <c r="L1327" s="1" t="s">
        <v>43</v>
      </c>
      <c r="M1327">
        <v>81</v>
      </c>
      <c r="N1327">
        <v>3</v>
      </c>
      <c r="O1327">
        <v>1</v>
      </c>
      <c r="P1327" s="1" t="s">
        <v>47</v>
      </c>
      <c r="Q1327">
        <v>3</v>
      </c>
      <c r="R1327" s="1" t="s">
        <v>39</v>
      </c>
      <c r="S1327">
        <v>3968</v>
      </c>
      <c r="T1327">
        <v>13624</v>
      </c>
      <c r="U1327">
        <v>4</v>
      </c>
      <c r="V1327" s="1" t="s">
        <v>40</v>
      </c>
      <c r="W1327">
        <v>13</v>
      </c>
      <c r="X1327">
        <v>3</v>
      </c>
      <c r="Y1327">
        <v>4</v>
      </c>
      <c r="Z1327">
        <v>80</v>
      </c>
      <c r="AA1327">
        <v>0</v>
      </c>
      <c r="AB1327">
        <v>8</v>
      </c>
      <c r="AC1327">
        <v>3</v>
      </c>
      <c r="AD1327">
        <v>3</v>
      </c>
      <c r="AE1327">
        <v>0</v>
      </c>
      <c r="AF1327">
        <v>0</v>
      </c>
      <c r="AG1327">
        <v>0</v>
      </c>
      <c r="AH1327">
        <v>0</v>
      </c>
      <c r="AI1327">
        <f>IF(tbl_HRData[[#This Row],[Attrition]] = "Yes",1,0)</f>
        <v>0</v>
      </c>
      <c r="AJ1327">
        <f>IF(tbl_HRData[[#This Row],[Attrition]] = "No",1,0)</f>
        <v>1</v>
      </c>
      <c r="AK1327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327" s="1" t="str">
        <f>IF(tbl_HRData[[#This Row],[MonthlyIncome]]&lt;5000,"Low",
IF(tbl_HRData[[#This Row],[MonthlyIncome]]&lt;10000,"Medium",
IF(tbl_HRData[[#This Row],[MonthlyIncome]]&lt;15000,"Upper Medium","High")))</f>
        <v>Low</v>
      </c>
      <c r="AM1327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328" spans="1:39" x14ac:dyDescent="0.35">
      <c r="A1328" s="1">
        <v>1327</v>
      </c>
      <c r="B1328">
        <v>32</v>
      </c>
      <c r="C1328" s="1" t="s">
        <v>33</v>
      </c>
      <c r="D1328" s="1" t="s">
        <v>34</v>
      </c>
      <c r="E1328">
        <v>414</v>
      </c>
      <c r="F1328" s="1" t="s">
        <v>35</v>
      </c>
      <c r="G1328">
        <v>2</v>
      </c>
      <c r="H1328">
        <v>4</v>
      </c>
      <c r="I1328" s="1" t="s">
        <v>56</v>
      </c>
      <c r="J1328">
        <v>1862</v>
      </c>
      <c r="K1328">
        <v>3</v>
      </c>
      <c r="L1328" s="1" t="s">
        <v>43</v>
      </c>
      <c r="M1328">
        <v>82</v>
      </c>
      <c r="N1328">
        <v>2</v>
      </c>
      <c r="O1328">
        <v>2</v>
      </c>
      <c r="P1328" s="1" t="s">
        <v>38</v>
      </c>
      <c r="Q1328">
        <v>2</v>
      </c>
      <c r="R1328" s="1" t="s">
        <v>39</v>
      </c>
      <c r="S1328">
        <v>9907</v>
      </c>
      <c r="T1328">
        <v>26186</v>
      </c>
      <c r="U1328">
        <v>7</v>
      </c>
      <c r="V1328" s="1" t="s">
        <v>33</v>
      </c>
      <c r="W1328">
        <v>12</v>
      </c>
      <c r="X1328">
        <v>3</v>
      </c>
      <c r="Y1328">
        <v>3</v>
      </c>
      <c r="Z1328">
        <v>80</v>
      </c>
      <c r="AA1328">
        <v>0</v>
      </c>
      <c r="AB1328">
        <v>7</v>
      </c>
      <c r="AC1328">
        <v>3</v>
      </c>
      <c r="AD1328">
        <v>2</v>
      </c>
      <c r="AE1328">
        <v>2</v>
      </c>
      <c r="AF1328">
        <v>2</v>
      </c>
      <c r="AG1328">
        <v>2</v>
      </c>
      <c r="AH1328">
        <v>2</v>
      </c>
      <c r="AI1328">
        <f>IF(tbl_HRData[[#This Row],[Attrition]] = "Yes",1,0)</f>
        <v>1</v>
      </c>
      <c r="AJ1328">
        <f>IF(tbl_HRData[[#This Row],[Attrition]] = "No",1,0)</f>
        <v>0</v>
      </c>
      <c r="AK1328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328" s="1" t="str">
        <f>IF(tbl_HRData[[#This Row],[MonthlyIncome]]&lt;5000,"Low",
IF(tbl_HRData[[#This Row],[MonthlyIncome]]&lt;10000,"Medium",
IF(tbl_HRData[[#This Row],[MonthlyIncome]]&lt;15000,"Upper Medium","High")))</f>
        <v>Medium</v>
      </c>
      <c r="AM1328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329" spans="1:39" x14ac:dyDescent="0.35">
      <c r="A1329" s="1">
        <v>1328</v>
      </c>
      <c r="B1329">
        <v>46</v>
      </c>
      <c r="C1329" s="1" t="s">
        <v>40</v>
      </c>
      <c r="D1329" s="1" t="s">
        <v>34</v>
      </c>
      <c r="E1329">
        <v>1319</v>
      </c>
      <c r="F1329" s="1" t="s">
        <v>35</v>
      </c>
      <c r="G1329">
        <v>3</v>
      </c>
      <c r="H1329">
        <v>3</v>
      </c>
      <c r="I1329" s="1" t="s">
        <v>57</v>
      </c>
      <c r="J1329">
        <v>1863</v>
      </c>
      <c r="K1329">
        <v>1</v>
      </c>
      <c r="L1329" s="1" t="s">
        <v>37</v>
      </c>
      <c r="M1329">
        <v>45</v>
      </c>
      <c r="N1329">
        <v>4</v>
      </c>
      <c r="O1329">
        <v>4</v>
      </c>
      <c r="P1329" s="1" t="s">
        <v>38</v>
      </c>
      <c r="Q1329">
        <v>1</v>
      </c>
      <c r="R1329" s="1" t="s">
        <v>49</v>
      </c>
      <c r="S1329">
        <v>13225</v>
      </c>
      <c r="T1329">
        <v>7739</v>
      </c>
      <c r="U1329">
        <v>2</v>
      </c>
      <c r="V1329" s="1" t="s">
        <v>40</v>
      </c>
      <c r="W1329">
        <v>12</v>
      </c>
      <c r="X1329">
        <v>3</v>
      </c>
      <c r="Y1329">
        <v>4</v>
      </c>
      <c r="Z1329">
        <v>80</v>
      </c>
      <c r="AA1329">
        <v>1</v>
      </c>
      <c r="AB1329">
        <v>25</v>
      </c>
      <c r="AC1329">
        <v>5</v>
      </c>
      <c r="AD1329">
        <v>3</v>
      </c>
      <c r="AE1329">
        <v>19</v>
      </c>
      <c r="AF1329">
        <v>17</v>
      </c>
      <c r="AG1329">
        <v>2</v>
      </c>
      <c r="AH1329">
        <v>8</v>
      </c>
      <c r="AI1329">
        <f>IF(tbl_HRData[[#This Row],[Attrition]] = "Yes",1,0)</f>
        <v>0</v>
      </c>
      <c r="AJ1329">
        <f>IF(tbl_HRData[[#This Row],[Attrition]] = "No",1,0)</f>
        <v>1</v>
      </c>
      <c r="AK1329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1329" s="1" t="str">
        <f>IF(tbl_HRData[[#This Row],[MonthlyIncome]]&lt;5000,"Low",
IF(tbl_HRData[[#This Row],[MonthlyIncome]]&lt;10000,"Medium",
IF(tbl_HRData[[#This Row],[MonthlyIncome]]&lt;15000,"Upper Medium","High")))</f>
        <v>Upper Medium</v>
      </c>
      <c r="AM1329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1330" spans="1:39" x14ac:dyDescent="0.35">
      <c r="A1330" s="1">
        <v>1329</v>
      </c>
      <c r="B1330">
        <v>27</v>
      </c>
      <c r="C1330" s="1" t="s">
        <v>40</v>
      </c>
      <c r="D1330" s="1" t="s">
        <v>34</v>
      </c>
      <c r="E1330">
        <v>728</v>
      </c>
      <c r="F1330" s="1" t="s">
        <v>35</v>
      </c>
      <c r="G1330">
        <v>23</v>
      </c>
      <c r="H1330">
        <v>1</v>
      </c>
      <c r="I1330" s="1" t="s">
        <v>48</v>
      </c>
      <c r="J1330">
        <v>1864</v>
      </c>
      <c r="K1330">
        <v>2</v>
      </c>
      <c r="L1330" s="1" t="s">
        <v>37</v>
      </c>
      <c r="M1330">
        <v>36</v>
      </c>
      <c r="N1330">
        <v>2</v>
      </c>
      <c r="O1330">
        <v>2</v>
      </c>
      <c r="P1330" s="1" t="s">
        <v>54</v>
      </c>
      <c r="Q1330">
        <v>3</v>
      </c>
      <c r="R1330" s="1" t="s">
        <v>45</v>
      </c>
      <c r="S1330">
        <v>3540</v>
      </c>
      <c r="T1330">
        <v>7018</v>
      </c>
      <c r="U1330">
        <v>1</v>
      </c>
      <c r="V1330" s="1" t="s">
        <v>40</v>
      </c>
      <c r="W1330">
        <v>21</v>
      </c>
      <c r="X1330">
        <v>4</v>
      </c>
      <c r="Y1330">
        <v>4</v>
      </c>
      <c r="Z1330">
        <v>80</v>
      </c>
      <c r="AA1330">
        <v>1</v>
      </c>
      <c r="AB1330">
        <v>9</v>
      </c>
      <c r="AC1330">
        <v>5</v>
      </c>
      <c r="AD1330">
        <v>3</v>
      </c>
      <c r="AE1330">
        <v>9</v>
      </c>
      <c r="AF1330">
        <v>8</v>
      </c>
      <c r="AG1330">
        <v>5</v>
      </c>
      <c r="AH1330">
        <v>8</v>
      </c>
      <c r="AI1330">
        <f>IF(tbl_HRData[[#This Row],[Attrition]] = "Yes",1,0)</f>
        <v>0</v>
      </c>
      <c r="AJ1330">
        <f>IF(tbl_HRData[[#This Row],[Attrition]] = "No",1,0)</f>
        <v>1</v>
      </c>
      <c r="AK1330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330" s="1" t="str">
        <f>IF(tbl_HRData[[#This Row],[MonthlyIncome]]&lt;5000,"Low",
IF(tbl_HRData[[#This Row],[MonthlyIncome]]&lt;10000,"Medium",
IF(tbl_HRData[[#This Row],[MonthlyIncome]]&lt;15000,"Upper Medium","High")))</f>
        <v>Low</v>
      </c>
      <c r="AM1330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331" spans="1:39" x14ac:dyDescent="0.35">
      <c r="A1331" s="1">
        <v>1330</v>
      </c>
      <c r="B1331">
        <v>29</v>
      </c>
      <c r="C1331" s="1" t="s">
        <v>40</v>
      </c>
      <c r="D1331" s="1" t="s">
        <v>34</v>
      </c>
      <c r="E1331">
        <v>352</v>
      </c>
      <c r="F1331" s="1" t="s">
        <v>58</v>
      </c>
      <c r="G1331">
        <v>6</v>
      </c>
      <c r="H1331">
        <v>1</v>
      </c>
      <c r="I1331" s="1" t="s">
        <v>48</v>
      </c>
      <c r="J1331">
        <v>1865</v>
      </c>
      <c r="K1331">
        <v>4</v>
      </c>
      <c r="L1331" s="1" t="s">
        <v>43</v>
      </c>
      <c r="M1331">
        <v>87</v>
      </c>
      <c r="N1331">
        <v>2</v>
      </c>
      <c r="O1331">
        <v>1</v>
      </c>
      <c r="P1331" s="1" t="s">
        <v>58</v>
      </c>
      <c r="Q1331">
        <v>2</v>
      </c>
      <c r="R1331" s="1" t="s">
        <v>45</v>
      </c>
      <c r="S1331">
        <v>2804</v>
      </c>
      <c r="T1331">
        <v>15434</v>
      </c>
      <c r="U1331">
        <v>1</v>
      </c>
      <c r="V1331" s="1" t="s">
        <v>40</v>
      </c>
      <c r="W1331">
        <v>11</v>
      </c>
      <c r="X1331">
        <v>3</v>
      </c>
      <c r="Y1331">
        <v>4</v>
      </c>
      <c r="Z1331">
        <v>80</v>
      </c>
      <c r="AA1331">
        <v>0</v>
      </c>
      <c r="AB1331">
        <v>1</v>
      </c>
      <c r="AC1331">
        <v>3</v>
      </c>
      <c r="AD1331">
        <v>3</v>
      </c>
      <c r="AE1331">
        <v>1</v>
      </c>
      <c r="AF1331">
        <v>0</v>
      </c>
      <c r="AG1331">
        <v>0</v>
      </c>
      <c r="AH1331">
        <v>0</v>
      </c>
      <c r="AI1331">
        <f>IF(tbl_HRData[[#This Row],[Attrition]] = "Yes",1,0)</f>
        <v>0</v>
      </c>
      <c r="AJ1331">
        <f>IF(tbl_HRData[[#This Row],[Attrition]] = "No",1,0)</f>
        <v>1</v>
      </c>
      <c r="AK1331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331" s="1" t="str">
        <f>IF(tbl_HRData[[#This Row],[MonthlyIncome]]&lt;5000,"Low",
IF(tbl_HRData[[#This Row],[MonthlyIncome]]&lt;10000,"Medium",
IF(tbl_HRData[[#This Row],[MonthlyIncome]]&lt;15000,"Upper Medium","High")))</f>
        <v>Low</v>
      </c>
      <c r="AM1331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332" spans="1:39" x14ac:dyDescent="0.35">
      <c r="A1332" s="1">
        <v>1331</v>
      </c>
      <c r="B1332">
        <v>43</v>
      </c>
      <c r="C1332" s="1" t="s">
        <v>40</v>
      </c>
      <c r="D1332" s="1" t="s">
        <v>34</v>
      </c>
      <c r="E1332">
        <v>823</v>
      </c>
      <c r="F1332" s="1" t="s">
        <v>42</v>
      </c>
      <c r="G1332">
        <v>6</v>
      </c>
      <c r="H1332">
        <v>3</v>
      </c>
      <c r="I1332" s="1" t="s">
        <v>48</v>
      </c>
      <c r="J1332">
        <v>1866</v>
      </c>
      <c r="K1332">
        <v>1</v>
      </c>
      <c r="L1332" s="1" t="s">
        <v>37</v>
      </c>
      <c r="M1332">
        <v>81</v>
      </c>
      <c r="N1332">
        <v>2</v>
      </c>
      <c r="O1332">
        <v>5</v>
      </c>
      <c r="P1332" s="1" t="s">
        <v>53</v>
      </c>
      <c r="Q1332">
        <v>3</v>
      </c>
      <c r="R1332" s="1" t="s">
        <v>45</v>
      </c>
      <c r="S1332">
        <v>19392</v>
      </c>
      <c r="T1332">
        <v>22539</v>
      </c>
      <c r="U1332">
        <v>7</v>
      </c>
      <c r="V1332" s="1" t="s">
        <v>40</v>
      </c>
      <c r="W1332">
        <v>13</v>
      </c>
      <c r="X1332">
        <v>3</v>
      </c>
      <c r="Y1332">
        <v>4</v>
      </c>
      <c r="Z1332">
        <v>80</v>
      </c>
      <c r="AA1332">
        <v>0</v>
      </c>
      <c r="AB1332">
        <v>21</v>
      </c>
      <c r="AC1332">
        <v>2</v>
      </c>
      <c r="AD1332">
        <v>3</v>
      </c>
      <c r="AE1332">
        <v>16</v>
      </c>
      <c r="AF1332">
        <v>12</v>
      </c>
      <c r="AG1332">
        <v>6</v>
      </c>
      <c r="AH1332">
        <v>14</v>
      </c>
      <c r="AI1332">
        <f>IF(tbl_HRData[[#This Row],[Attrition]] = "Yes",1,0)</f>
        <v>0</v>
      </c>
      <c r="AJ1332">
        <f>IF(tbl_HRData[[#This Row],[Attrition]] = "No",1,0)</f>
        <v>1</v>
      </c>
      <c r="AK1332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332" s="1" t="str">
        <f>IF(tbl_HRData[[#This Row],[MonthlyIncome]]&lt;5000,"Low",
IF(tbl_HRData[[#This Row],[MonthlyIncome]]&lt;10000,"Medium",
IF(tbl_HRData[[#This Row],[MonthlyIncome]]&lt;15000,"Upper Medium","High")))</f>
        <v>High</v>
      </c>
      <c r="AM1332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1333" spans="1:39" x14ac:dyDescent="0.35">
      <c r="A1333" s="1">
        <v>1332</v>
      </c>
      <c r="B1333">
        <v>48</v>
      </c>
      <c r="C1333" s="1" t="s">
        <v>40</v>
      </c>
      <c r="D1333" s="1" t="s">
        <v>34</v>
      </c>
      <c r="E1333">
        <v>1224</v>
      </c>
      <c r="F1333" s="1" t="s">
        <v>42</v>
      </c>
      <c r="G1333">
        <v>10</v>
      </c>
      <c r="H1333">
        <v>3</v>
      </c>
      <c r="I1333" s="1" t="s">
        <v>36</v>
      </c>
      <c r="J1333">
        <v>1867</v>
      </c>
      <c r="K1333">
        <v>4</v>
      </c>
      <c r="L1333" s="1" t="s">
        <v>43</v>
      </c>
      <c r="M1333">
        <v>91</v>
      </c>
      <c r="N1333">
        <v>2</v>
      </c>
      <c r="O1333">
        <v>5</v>
      </c>
      <c r="P1333" s="1" t="s">
        <v>55</v>
      </c>
      <c r="Q1333">
        <v>2</v>
      </c>
      <c r="R1333" s="1" t="s">
        <v>45</v>
      </c>
      <c r="S1333">
        <v>19665</v>
      </c>
      <c r="T1333">
        <v>13583</v>
      </c>
      <c r="U1333">
        <v>4</v>
      </c>
      <c r="V1333" s="1" t="s">
        <v>40</v>
      </c>
      <c r="W1333">
        <v>12</v>
      </c>
      <c r="X1333">
        <v>3</v>
      </c>
      <c r="Y1333">
        <v>4</v>
      </c>
      <c r="Z1333">
        <v>80</v>
      </c>
      <c r="AA1333">
        <v>0</v>
      </c>
      <c r="AB1333">
        <v>29</v>
      </c>
      <c r="AC1333">
        <v>3</v>
      </c>
      <c r="AD1333">
        <v>3</v>
      </c>
      <c r="AE1333">
        <v>22</v>
      </c>
      <c r="AF1333">
        <v>10</v>
      </c>
      <c r="AG1333">
        <v>12</v>
      </c>
      <c r="AH1333">
        <v>9</v>
      </c>
      <c r="AI1333">
        <f>IF(tbl_HRData[[#This Row],[Attrition]] = "Yes",1,0)</f>
        <v>0</v>
      </c>
      <c r="AJ1333">
        <f>IF(tbl_HRData[[#This Row],[Attrition]] = "No",1,0)</f>
        <v>1</v>
      </c>
      <c r="AK1333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1333" s="1" t="str">
        <f>IF(tbl_HRData[[#This Row],[MonthlyIncome]]&lt;5000,"Low",
IF(tbl_HRData[[#This Row],[MonthlyIncome]]&lt;10000,"Medium",
IF(tbl_HRData[[#This Row],[MonthlyIncome]]&lt;15000,"Upper Medium","High")))</f>
        <v>High</v>
      </c>
      <c r="AM1333" s="1" t="str">
        <f>IF(tbl_HRData[[#This Row],[YearsAtCompany]]&lt;=5,"0-5 Years",
IF(tbl_HRData[[#This Row],[YearsAtCompany]]&lt;=10,"6-10 Years",
IF(tbl_HRData[[#This Row],[YearsAtCompany]]&lt;=20,"11-20 Years","21+ Years")))</f>
        <v>21+ Years</v>
      </c>
    </row>
    <row r="1334" spans="1:39" x14ac:dyDescent="0.35">
      <c r="A1334" s="1">
        <v>1333</v>
      </c>
      <c r="B1334">
        <v>29</v>
      </c>
      <c r="C1334" s="1" t="s">
        <v>33</v>
      </c>
      <c r="D1334" s="1" t="s">
        <v>41</v>
      </c>
      <c r="E1334">
        <v>459</v>
      </c>
      <c r="F1334" s="1" t="s">
        <v>42</v>
      </c>
      <c r="G1334">
        <v>24</v>
      </c>
      <c r="H1334">
        <v>2</v>
      </c>
      <c r="I1334" s="1" t="s">
        <v>36</v>
      </c>
      <c r="J1334">
        <v>1868</v>
      </c>
      <c r="K1334">
        <v>4</v>
      </c>
      <c r="L1334" s="1" t="s">
        <v>43</v>
      </c>
      <c r="M1334">
        <v>73</v>
      </c>
      <c r="N1334">
        <v>2</v>
      </c>
      <c r="O1334">
        <v>1</v>
      </c>
      <c r="P1334" s="1" t="s">
        <v>44</v>
      </c>
      <c r="Q1334">
        <v>4</v>
      </c>
      <c r="R1334" s="1" t="s">
        <v>39</v>
      </c>
      <c r="S1334">
        <v>2439</v>
      </c>
      <c r="T1334">
        <v>14753</v>
      </c>
      <c r="U1334">
        <v>1</v>
      </c>
      <c r="V1334" s="1" t="s">
        <v>33</v>
      </c>
      <c r="W1334">
        <v>24</v>
      </c>
      <c r="X1334">
        <v>4</v>
      </c>
      <c r="Y1334">
        <v>2</v>
      </c>
      <c r="Z1334">
        <v>80</v>
      </c>
      <c r="AA1334">
        <v>0</v>
      </c>
      <c r="AB1334">
        <v>1</v>
      </c>
      <c r="AC1334">
        <v>3</v>
      </c>
      <c r="AD1334">
        <v>2</v>
      </c>
      <c r="AE1334">
        <v>1</v>
      </c>
      <c r="AF1334">
        <v>0</v>
      </c>
      <c r="AG1334">
        <v>1</v>
      </c>
      <c r="AH1334">
        <v>0</v>
      </c>
      <c r="AI1334">
        <f>IF(tbl_HRData[[#This Row],[Attrition]] = "Yes",1,0)</f>
        <v>1</v>
      </c>
      <c r="AJ1334">
        <f>IF(tbl_HRData[[#This Row],[Attrition]] = "No",1,0)</f>
        <v>0</v>
      </c>
      <c r="AK1334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334" s="1" t="str">
        <f>IF(tbl_HRData[[#This Row],[MonthlyIncome]]&lt;5000,"Low",
IF(tbl_HRData[[#This Row],[MonthlyIncome]]&lt;10000,"Medium",
IF(tbl_HRData[[#This Row],[MonthlyIncome]]&lt;15000,"Upper Medium","High")))</f>
        <v>Low</v>
      </c>
      <c r="AM1334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335" spans="1:39" x14ac:dyDescent="0.35">
      <c r="A1335" s="1">
        <v>1334</v>
      </c>
      <c r="B1335">
        <v>46</v>
      </c>
      <c r="C1335" s="1" t="s">
        <v>33</v>
      </c>
      <c r="D1335" s="1" t="s">
        <v>34</v>
      </c>
      <c r="E1335">
        <v>1254</v>
      </c>
      <c r="F1335" s="1" t="s">
        <v>35</v>
      </c>
      <c r="G1335">
        <v>10</v>
      </c>
      <c r="H1335">
        <v>3</v>
      </c>
      <c r="I1335" s="1" t="s">
        <v>36</v>
      </c>
      <c r="J1335">
        <v>1869</v>
      </c>
      <c r="K1335">
        <v>3</v>
      </c>
      <c r="L1335" s="1" t="s">
        <v>37</v>
      </c>
      <c r="M1335">
        <v>64</v>
      </c>
      <c r="N1335">
        <v>3</v>
      </c>
      <c r="O1335">
        <v>3</v>
      </c>
      <c r="P1335" s="1" t="s">
        <v>38</v>
      </c>
      <c r="Q1335">
        <v>2</v>
      </c>
      <c r="R1335" s="1" t="s">
        <v>45</v>
      </c>
      <c r="S1335">
        <v>7314</v>
      </c>
      <c r="T1335">
        <v>14011</v>
      </c>
      <c r="U1335">
        <v>5</v>
      </c>
      <c r="V1335" s="1" t="s">
        <v>40</v>
      </c>
      <c r="W1335">
        <v>21</v>
      </c>
      <c r="X1335">
        <v>4</v>
      </c>
      <c r="Y1335">
        <v>3</v>
      </c>
      <c r="Z1335">
        <v>80</v>
      </c>
      <c r="AA1335">
        <v>3</v>
      </c>
      <c r="AB1335">
        <v>14</v>
      </c>
      <c r="AC1335">
        <v>2</v>
      </c>
      <c r="AD1335">
        <v>3</v>
      </c>
      <c r="AE1335">
        <v>8</v>
      </c>
      <c r="AF1335">
        <v>7</v>
      </c>
      <c r="AG1335">
        <v>0</v>
      </c>
      <c r="AH1335">
        <v>7</v>
      </c>
      <c r="AI1335">
        <f>IF(tbl_HRData[[#This Row],[Attrition]] = "Yes",1,0)</f>
        <v>1</v>
      </c>
      <c r="AJ1335">
        <f>IF(tbl_HRData[[#This Row],[Attrition]] = "No",1,0)</f>
        <v>0</v>
      </c>
      <c r="AK1335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1335" s="1" t="str">
        <f>IF(tbl_HRData[[#This Row],[MonthlyIncome]]&lt;5000,"Low",
IF(tbl_HRData[[#This Row],[MonthlyIncome]]&lt;10000,"Medium",
IF(tbl_HRData[[#This Row],[MonthlyIncome]]&lt;15000,"Upper Medium","High")))</f>
        <v>Medium</v>
      </c>
      <c r="AM1335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336" spans="1:39" x14ac:dyDescent="0.35">
      <c r="A1336" s="1">
        <v>1335</v>
      </c>
      <c r="B1336">
        <v>27</v>
      </c>
      <c r="C1336" s="1" t="s">
        <v>40</v>
      </c>
      <c r="D1336" s="1" t="s">
        <v>41</v>
      </c>
      <c r="E1336">
        <v>1131</v>
      </c>
      <c r="F1336" s="1" t="s">
        <v>42</v>
      </c>
      <c r="G1336">
        <v>15</v>
      </c>
      <c r="H1336">
        <v>3</v>
      </c>
      <c r="I1336" s="1" t="s">
        <v>36</v>
      </c>
      <c r="J1336">
        <v>1870</v>
      </c>
      <c r="K1336">
        <v>4</v>
      </c>
      <c r="L1336" s="1" t="s">
        <v>37</v>
      </c>
      <c r="M1336">
        <v>77</v>
      </c>
      <c r="N1336">
        <v>2</v>
      </c>
      <c r="O1336">
        <v>1</v>
      </c>
      <c r="P1336" s="1" t="s">
        <v>44</v>
      </c>
      <c r="Q1336">
        <v>1</v>
      </c>
      <c r="R1336" s="1" t="s">
        <v>45</v>
      </c>
      <c r="S1336">
        <v>4774</v>
      </c>
      <c r="T1336">
        <v>23844</v>
      </c>
      <c r="U1336">
        <v>0</v>
      </c>
      <c r="V1336" s="1" t="s">
        <v>40</v>
      </c>
      <c r="W1336">
        <v>19</v>
      </c>
      <c r="X1336">
        <v>3</v>
      </c>
      <c r="Y1336">
        <v>4</v>
      </c>
      <c r="Z1336">
        <v>80</v>
      </c>
      <c r="AA1336">
        <v>1</v>
      </c>
      <c r="AB1336">
        <v>8</v>
      </c>
      <c r="AC1336">
        <v>2</v>
      </c>
      <c r="AD1336">
        <v>2</v>
      </c>
      <c r="AE1336">
        <v>7</v>
      </c>
      <c r="AF1336">
        <v>6</v>
      </c>
      <c r="AG1336">
        <v>7</v>
      </c>
      <c r="AH1336">
        <v>3</v>
      </c>
      <c r="AI1336">
        <f>IF(tbl_HRData[[#This Row],[Attrition]] = "Yes",1,0)</f>
        <v>0</v>
      </c>
      <c r="AJ1336">
        <f>IF(tbl_HRData[[#This Row],[Attrition]] = "No",1,0)</f>
        <v>1</v>
      </c>
      <c r="AK1336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336" s="1" t="str">
        <f>IF(tbl_HRData[[#This Row],[MonthlyIncome]]&lt;5000,"Low",
IF(tbl_HRData[[#This Row],[MonthlyIncome]]&lt;10000,"Medium",
IF(tbl_HRData[[#This Row],[MonthlyIncome]]&lt;15000,"Upper Medium","High")))</f>
        <v>Low</v>
      </c>
      <c r="AM1336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337" spans="1:39" x14ac:dyDescent="0.35">
      <c r="A1337" s="1">
        <v>1336</v>
      </c>
      <c r="B1337">
        <v>39</v>
      </c>
      <c r="C1337" s="1" t="s">
        <v>40</v>
      </c>
      <c r="D1337" s="1" t="s">
        <v>34</v>
      </c>
      <c r="E1337">
        <v>835</v>
      </c>
      <c r="F1337" s="1" t="s">
        <v>42</v>
      </c>
      <c r="G1337">
        <v>19</v>
      </c>
      <c r="H1337">
        <v>4</v>
      </c>
      <c r="I1337" s="1" t="s">
        <v>46</v>
      </c>
      <c r="J1337">
        <v>1871</v>
      </c>
      <c r="K1337">
        <v>4</v>
      </c>
      <c r="L1337" s="1" t="s">
        <v>43</v>
      </c>
      <c r="M1337">
        <v>41</v>
      </c>
      <c r="N1337">
        <v>3</v>
      </c>
      <c r="O1337">
        <v>2</v>
      </c>
      <c r="P1337" s="1" t="s">
        <v>44</v>
      </c>
      <c r="Q1337">
        <v>4</v>
      </c>
      <c r="R1337" s="1" t="s">
        <v>49</v>
      </c>
      <c r="S1337">
        <v>3902</v>
      </c>
      <c r="T1337">
        <v>5141</v>
      </c>
      <c r="U1337">
        <v>8</v>
      </c>
      <c r="V1337" s="1" t="s">
        <v>40</v>
      </c>
      <c r="W1337">
        <v>14</v>
      </c>
      <c r="X1337">
        <v>3</v>
      </c>
      <c r="Y1337">
        <v>2</v>
      </c>
      <c r="Z1337">
        <v>80</v>
      </c>
      <c r="AA1337">
        <v>3</v>
      </c>
      <c r="AB1337">
        <v>7</v>
      </c>
      <c r="AC1337">
        <v>2</v>
      </c>
      <c r="AD1337">
        <v>3</v>
      </c>
      <c r="AE1337">
        <v>2</v>
      </c>
      <c r="AF1337">
        <v>2</v>
      </c>
      <c r="AG1337">
        <v>2</v>
      </c>
      <c r="AH1337">
        <v>2</v>
      </c>
      <c r="AI1337">
        <f>IF(tbl_HRData[[#This Row],[Attrition]] = "Yes",1,0)</f>
        <v>0</v>
      </c>
      <c r="AJ1337">
        <f>IF(tbl_HRData[[#This Row],[Attrition]] = "No",1,0)</f>
        <v>1</v>
      </c>
      <c r="AK1337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337" s="1" t="str">
        <f>IF(tbl_HRData[[#This Row],[MonthlyIncome]]&lt;5000,"Low",
IF(tbl_HRData[[#This Row],[MonthlyIncome]]&lt;10000,"Medium",
IF(tbl_HRData[[#This Row],[MonthlyIncome]]&lt;15000,"Upper Medium","High")))</f>
        <v>Low</v>
      </c>
      <c r="AM1337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338" spans="1:39" x14ac:dyDescent="0.35">
      <c r="A1338" s="1">
        <v>1337</v>
      </c>
      <c r="B1338">
        <v>55</v>
      </c>
      <c r="C1338" s="1" t="s">
        <v>40</v>
      </c>
      <c r="D1338" s="1" t="s">
        <v>34</v>
      </c>
      <c r="E1338">
        <v>836</v>
      </c>
      <c r="F1338" s="1" t="s">
        <v>42</v>
      </c>
      <c r="G1338">
        <v>2</v>
      </c>
      <c r="H1338">
        <v>4</v>
      </c>
      <c r="I1338" s="1" t="s">
        <v>57</v>
      </c>
      <c r="J1338">
        <v>1873</v>
      </c>
      <c r="K1338">
        <v>2</v>
      </c>
      <c r="L1338" s="1" t="s">
        <v>43</v>
      </c>
      <c r="M1338">
        <v>98</v>
      </c>
      <c r="N1338">
        <v>2</v>
      </c>
      <c r="O1338">
        <v>1</v>
      </c>
      <c r="P1338" s="1" t="s">
        <v>44</v>
      </c>
      <c r="Q1338">
        <v>4</v>
      </c>
      <c r="R1338" s="1" t="s">
        <v>45</v>
      </c>
      <c r="S1338">
        <v>2662</v>
      </c>
      <c r="T1338">
        <v>7975</v>
      </c>
      <c r="U1338">
        <v>8</v>
      </c>
      <c r="V1338" s="1" t="s">
        <v>40</v>
      </c>
      <c r="W1338">
        <v>20</v>
      </c>
      <c r="X1338">
        <v>4</v>
      </c>
      <c r="Y1338">
        <v>2</v>
      </c>
      <c r="Z1338">
        <v>80</v>
      </c>
      <c r="AA1338">
        <v>1</v>
      </c>
      <c r="AB1338">
        <v>19</v>
      </c>
      <c r="AC1338">
        <v>2</v>
      </c>
      <c r="AD1338">
        <v>4</v>
      </c>
      <c r="AE1338">
        <v>5</v>
      </c>
      <c r="AF1338">
        <v>2</v>
      </c>
      <c r="AG1338">
        <v>0</v>
      </c>
      <c r="AH1338">
        <v>4</v>
      </c>
      <c r="AI1338">
        <f>IF(tbl_HRData[[#This Row],[Attrition]] = "Yes",1,0)</f>
        <v>0</v>
      </c>
      <c r="AJ1338">
        <f>IF(tbl_HRData[[#This Row],[Attrition]] = "No",1,0)</f>
        <v>1</v>
      </c>
      <c r="AK1338" t="str">
        <f>IF(tbl_HRData[[#This Row],[Age]] &lt; 25, "Under 25", IF(tbl_HRData[[#This Row],[Age]] &lt;= 34, "25-34", IF(tbl_HRData[[#This Row],[Age]] &lt;= 44, "35-44", IF(tbl_HRData[[#This Row],[Age]] &lt;= 54, "45-54", "55+"))))</f>
        <v>55+</v>
      </c>
      <c r="AL1338" s="1" t="str">
        <f>IF(tbl_HRData[[#This Row],[MonthlyIncome]]&lt;5000,"Low",
IF(tbl_HRData[[#This Row],[MonthlyIncome]]&lt;10000,"Medium",
IF(tbl_HRData[[#This Row],[MonthlyIncome]]&lt;15000,"Upper Medium","High")))</f>
        <v>Low</v>
      </c>
      <c r="AM1338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339" spans="1:39" x14ac:dyDescent="0.35">
      <c r="A1339" s="1">
        <v>1338</v>
      </c>
      <c r="B1339">
        <v>28</v>
      </c>
      <c r="C1339" s="1" t="s">
        <v>40</v>
      </c>
      <c r="D1339" s="1" t="s">
        <v>34</v>
      </c>
      <c r="E1339">
        <v>1172</v>
      </c>
      <c r="F1339" s="1" t="s">
        <v>35</v>
      </c>
      <c r="G1339">
        <v>3</v>
      </c>
      <c r="H1339">
        <v>3</v>
      </c>
      <c r="I1339" s="1" t="s">
        <v>48</v>
      </c>
      <c r="J1339">
        <v>1875</v>
      </c>
      <c r="K1339">
        <v>2</v>
      </c>
      <c r="L1339" s="1" t="s">
        <v>37</v>
      </c>
      <c r="M1339">
        <v>78</v>
      </c>
      <c r="N1339">
        <v>3</v>
      </c>
      <c r="O1339">
        <v>1</v>
      </c>
      <c r="P1339" s="1" t="s">
        <v>54</v>
      </c>
      <c r="Q1339">
        <v>2</v>
      </c>
      <c r="R1339" s="1" t="s">
        <v>45</v>
      </c>
      <c r="S1339">
        <v>2856</v>
      </c>
      <c r="T1339">
        <v>3692</v>
      </c>
      <c r="U1339">
        <v>1</v>
      </c>
      <c r="V1339" s="1" t="s">
        <v>40</v>
      </c>
      <c r="W1339">
        <v>19</v>
      </c>
      <c r="X1339">
        <v>3</v>
      </c>
      <c r="Y1339">
        <v>4</v>
      </c>
      <c r="Z1339">
        <v>80</v>
      </c>
      <c r="AA1339">
        <v>1</v>
      </c>
      <c r="AB1339">
        <v>1</v>
      </c>
      <c r="AC1339">
        <v>3</v>
      </c>
      <c r="AD1339">
        <v>3</v>
      </c>
      <c r="AE1339">
        <v>1</v>
      </c>
      <c r="AF1339">
        <v>0</v>
      </c>
      <c r="AG1339">
        <v>0</v>
      </c>
      <c r="AH1339">
        <v>0</v>
      </c>
      <c r="AI1339">
        <f>IF(tbl_HRData[[#This Row],[Attrition]] = "Yes",1,0)</f>
        <v>0</v>
      </c>
      <c r="AJ1339">
        <f>IF(tbl_HRData[[#This Row],[Attrition]] = "No",1,0)</f>
        <v>1</v>
      </c>
      <c r="AK1339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339" s="1" t="str">
        <f>IF(tbl_HRData[[#This Row],[MonthlyIncome]]&lt;5000,"Low",
IF(tbl_HRData[[#This Row],[MonthlyIncome]]&lt;10000,"Medium",
IF(tbl_HRData[[#This Row],[MonthlyIncome]]&lt;15000,"Upper Medium","High")))</f>
        <v>Low</v>
      </c>
      <c r="AM1339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340" spans="1:39" x14ac:dyDescent="0.35">
      <c r="A1340" s="1">
        <v>1339</v>
      </c>
      <c r="B1340">
        <v>30</v>
      </c>
      <c r="C1340" s="1" t="s">
        <v>33</v>
      </c>
      <c r="D1340" s="1" t="s">
        <v>34</v>
      </c>
      <c r="E1340">
        <v>945</v>
      </c>
      <c r="F1340" s="1" t="s">
        <v>35</v>
      </c>
      <c r="G1340">
        <v>9</v>
      </c>
      <c r="H1340">
        <v>3</v>
      </c>
      <c r="I1340" s="1" t="s">
        <v>48</v>
      </c>
      <c r="J1340">
        <v>1876</v>
      </c>
      <c r="K1340">
        <v>2</v>
      </c>
      <c r="L1340" s="1" t="s">
        <v>43</v>
      </c>
      <c r="M1340">
        <v>89</v>
      </c>
      <c r="N1340">
        <v>3</v>
      </c>
      <c r="O1340">
        <v>1</v>
      </c>
      <c r="P1340" s="1" t="s">
        <v>54</v>
      </c>
      <c r="Q1340">
        <v>4</v>
      </c>
      <c r="R1340" s="1" t="s">
        <v>39</v>
      </c>
      <c r="S1340">
        <v>1081</v>
      </c>
      <c r="T1340">
        <v>16019</v>
      </c>
      <c r="U1340">
        <v>1</v>
      </c>
      <c r="V1340" s="1" t="s">
        <v>40</v>
      </c>
      <c r="W1340">
        <v>13</v>
      </c>
      <c r="X1340">
        <v>3</v>
      </c>
      <c r="Y1340">
        <v>3</v>
      </c>
      <c r="Z1340">
        <v>80</v>
      </c>
      <c r="AA1340">
        <v>0</v>
      </c>
      <c r="AB1340">
        <v>1</v>
      </c>
      <c r="AC1340">
        <v>3</v>
      </c>
      <c r="AD1340">
        <v>2</v>
      </c>
      <c r="AE1340">
        <v>1</v>
      </c>
      <c r="AF1340">
        <v>0</v>
      </c>
      <c r="AG1340">
        <v>0</v>
      </c>
      <c r="AH1340">
        <v>0</v>
      </c>
      <c r="AI1340">
        <f>IF(tbl_HRData[[#This Row],[Attrition]] = "Yes",1,0)</f>
        <v>1</v>
      </c>
      <c r="AJ1340">
        <f>IF(tbl_HRData[[#This Row],[Attrition]] = "No",1,0)</f>
        <v>0</v>
      </c>
      <c r="AK1340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340" s="1" t="str">
        <f>IF(tbl_HRData[[#This Row],[MonthlyIncome]]&lt;5000,"Low",
IF(tbl_HRData[[#This Row],[MonthlyIncome]]&lt;10000,"Medium",
IF(tbl_HRData[[#This Row],[MonthlyIncome]]&lt;15000,"Upper Medium","High")))</f>
        <v>Low</v>
      </c>
      <c r="AM1340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341" spans="1:39" x14ac:dyDescent="0.35">
      <c r="A1341" s="1">
        <v>1340</v>
      </c>
      <c r="B1341">
        <v>22</v>
      </c>
      <c r="C1341" s="1" t="s">
        <v>33</v>
      </c>
      <c r="D1341" s="1" t="s">
        <v>34</v>
      </c>
      <c r="E1341">
        <v>391</v>
      </c>
      <c r="F1341" s="1" t="s">
        <v>42</v>
      </c>
      <c r="G1341">
        <v>7</v>
      </c>
      <c r="H1341">
        <v>1</v>
      </c>
      <c r="I1341" s="1" t="s">
        <v>36</v>
      </c>
      <c r="J1341">
        <v>1878</v>
      </c>
      <c r="K1341">
        <v>4</v>
      </c>
      <c r="L1341" s="1" t="s">
        <v>43</v>
      </c>
      <c r="M1341">
        <v>75</v>
      </c>
      <c r="N1341">
        <v>3</v>
      </c>
      <c r="O1341">
        <v>1</v>
      </c>
      <c r="P1341" s="1" t="s">
        <v>44</v>
      </c>
      <c r="Q1341">
        <v>2</v>
      </c>
      <c r="R1341" s="1" t="s">
        <v>39</v>
      </c>
      <c r="S1341">
        <v>2472</v>
      </c>
      <c r="T1341">
        <v>26092</v>
      </c>
      <c r="U1341">
        <v>1</v>
      </c>
      <c r="V1341" s="1" t="s">
        <v>33</v>
      </c>
      <c r="W1341">
        <v>23</v>
      </c>
      <c r="X1341">
        <v>4</v>
      </c>
      <c r="Y1341">
        <v>1</v>
      </c>
      <c r="Z1341">
        <v>80</v>
      </c>
      <c r="AA1341">
        <v>0</v>
      </c>
      <c r="AB1341">
        <v>1</v>
      </c>
      <c r="AC1341">
        <v>2</v>
      </c>
      <c r="AD1341">
        <v>3</v>
      </c>
      <c r="AE1341">
        <v>1</v>
      </c>
      <c r="AF1341">
        <v>0</v>
      </c>
      <c r="AG1341">
        <v>0</v>
      </c>
      <c r="AH1341">
        <v>0</v>
      </c>
      <c r="AI1341">
        <f>IF(tbl_HRData[[#This Row],[Attrition]] = "Yes",1,0)</f>
        <v>1</v>
      </c>
      <c r="AJ1341">
        <f>IF(tbl_HRData[[#This Row],[Attrition]] = "No",1,0)</f>
        <v>0</v>
      </c>
      <c r="AK1341" t="str">
        <f>IF(tbl_HRData[[#This Row],[Age]] &lt; 25, "Under 25", IF(tbl_HRData[[#This Row],[Age]] &lt;= 34, "25-34", IF(tbl_HRData[[#This Row],[Age]] &lt;= 44, "35-44", IF(tbl_HRData[[#This Row],[Age]] &lt;= 54, "45-54", "55+"))))</f>
        <v>Under 25</v>
      </c>
      <c r="AL1341" s="1" t="str">
        <f>IF(tbl_HRData[[#This Row],[MonthlyIncome]]&lt;5000,"Low",
IF(tbl_HRData[[#This Row],[MonthlyIncome]]&lt;10000,"Medium",
IF(tbl_HRData[[#This Row],[MonthlyIncome]]&lt;15000,"Upper Medium","High")))</f>
        <v>Low</v>
      </c>
      <c r="AM1341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342" spans="1:39" x14ac:dyDescent="0.35">
      <c r="A1342" s="1">
        <v>1341</v>
      </c>
      <c r="B1342">
        <v>36</v>
      </c>
      <c r="C1342" s="1" t="s">
        <v>40</v>
      </c>
      <c r="D1342" s="1" t="s">
        <v>34</v>
      </c>
      <c r="E1342">
        <v>1266</v>
      </c>
      <c r="F1342" s="1" t="s">
        <v>35</v>
      </c>
      <c r="G1342">
        <v>10</v>
      </c>
      <c r="H1342">
        <v>4</v>
      </c>
      <c r="I1342" s="1" t="s">
        <v>57</v>
      </c>
      <c r="J1342">
        <v>1880</v>
      </c>
      <c r="K1342">
        <v>2</v>
      </c>
      <c r="L1342" s="1" t="s">
        <v>37</v>
      </c>
      <c r="M1342">
        <v>63</v>
      </c>
      <c r="N1342">
        <v>2</v>
      </c>
      <c r="O1342">
        <v>2</v>
      </c>
      <c r="P1342" s="1" t="s">
        <v>38</v>
      </c>
      <c r="Q1342">
        <v>3</v>
      </c>
      <c r="R1342" s="1" t="s">
        <v>45</v>
      </c>
      <c r="S1342">
        <v>5673</v>
      </c>
      <c r="T1342">
        <v>6060</v>
      </c>
      <c r="U1342">
        <v>1</v>
      </c>
      <c r="V1342" s="1" t="s">
        <v>33</v>
      </c>
      <c r="W1342">
        <v>13</v>
      </c>
      <c r="X1342">
        <v>3</v>
      </c>
      <c r="Y1342">
        <v>1</v>
      </c>
      <c r="Z1342">
        <v>80</v>
      </c>
      <c r="AA1342">
        <v>1</v>
      </c>
      <c r="AB1342">
        <v>10</v>
      </c>
      <c r="AC1342">
        <v>4</v>
      </c>
      <c r="AD1342">
        <v>3</v>
      </c>
      <c r="AE1342">
        <v>10</v>
      </c>
      <c r="AF1342">
        <v>9</v>
      </c>
      <c r="AG1342">
        <v>1</v>
      </c>
      <c r="AH1342">
        <v>7</v>
      </c>
      <c r="AI1342">
        <f>IF(tbl_HRData[[#This Row],[Attrition]] = "Yes",1,0)</f>
        <v>0</v>
      </c>
      <c r="AJ1342">
        <f>IF(tbl_HRData[[#This Row],[Attrition]] = "No",1,0)</f>
        <v>1</v>
      </c>
      <c r="AK1342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342" s="1" t="str">
        <f>IF(tbl_HRData[[#This Row],[MonthlyIncome]]&lt;5000,"Low",
IF(tbl_HRData[[#This Row],[MonthlyIncome]]&lt;10000,"Medium",
IF(tbl_HRData[[#This Row],[MonthlyIncome]]&lt;15000,"Upper Medium","High")))</f>
        <v>Medium</v>
      </c>
      <c r="AM1342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343" spans="1:39" x14ac:dyDescent="0.35">
      <c r="A1343" s="1">
        <v>1342</v>
      </c>
      <c r="B1343">
        <v>31</v>
      </c>
      <c r="C1343" s="1" t="s">
        <v>40</v>
      </c>
      <c r="D1343" s="1" t="s">
        <v>34</v>
      </c>
      <c r="E1343">
        <v>311</v>
      </c>
      <c r="F1343" s="1" t="s">
        <v>42</v>
      </c>
      <c r="G1343">
        <v>20</v>
      </c>
      <c r="H1343">
        <v>3</v>
      </c>
      <c r="I1343" s="1" t="s">
        <v>36</v>
      </c>
      <c r="J1343">
        <v>1881</v>
      </c>
      <c r="K1343">
        <v>2</v>
      </c>
      <c r="L1343" s="1" t="s">
        <v>43</v>
      </c>
      <c r="M1343">
        <v>89</v>
      </c>
      <c r="N1343">
        <v>3</v>
      </c>
      <c r="O1343">
        <v>2</v>
      </c>
      <c r="P1343" s="1" t="s">
        <v>47</v>
      </c>
      <c r="Q1343">
        <v>3</v>
      </c>
      <c r="R1343" s="1" t="s">
        <v>49</v>
      </c>
      <c r="S1343">
        <v>4197</v>
      </c>
      <c r="T1343">
        <v>18624</v>
      </c>
      <c r="U1343">
        <v>1</v>
      </c>
      <c r="V1343" s="1" t="s">
        <v>40</v>
      </c>
      <c r="W1343">
        <v>11</v>
      </c>
      <c r="X1343">
        <v>3</v>
      </c>
      <c r="Y1343">
        <v>1</v>
      </c>
      <c r="Z1343">
        <v>80</v>
      </c>
      <c r="AA1343">
        <v>1</v>
      </c>
      <c r="AB1343">
        <v>10</v>
      </c>
      <c r="AC1343">
        <v>2</v>
      </c>
      <c r="AD1343">
        <v>3</v>
      </c>
      <c r="AE1343">
        <v>10</v>
      </c>
      <c r="AF1343">
        <v>8</v>
      </c>
      <c r="AG1343">
        <v>0</v>
      </c>
      <c r="AH1343">
        <v>2</v>
      </c>
      <c r="AI1343">
        <f>IF(tbl_HRData[[#This Row],[Attrition]] = "Yes",1,0)</f>
        <v>0</v>
      </c>
      <c r="AJ1343">
        <f>IF(tbl_HRData[[#This Row],[Attrition]] = "No",1,0)</f>
        <v>1</v>
      </c>
      <c r="AK1343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343" s="1" t="str">
        <f>IF(tbl_HRData[[#This Row],[MonthlyIncome]]&lt;5000,"Low",
IF(tbl_HRData[[#This Row],[MonthlyIncome]]&lt;10000,"Medium",
IF(tbl_HRData[[#This Row],[MonthlyIncome]]&lt;15000,"Upper Medium","High")))</f>
        <v>Low</v>
      </c>
      <c r="AM1343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344" spans="1:39" x14ac:dyDescent="0.35">
      <c r="A1344" s="1">
        <v>1343</v>
      </c>
      <c r="B1344">
        <v>34</v>
      </c>
      <c r="C1344" s="1" t="s">
        <v>40</v>
      </c>
      <c r="D1344" s="1" t="s">
        <v>34</v>
      </c>
      <c r="E1344">
        <v>1480</v>
      </c>
      <c r="F1344" s="1" t="s">
        <v>35</v>
      </c>
      <c r="G1344">
        <v>4</v>
      </c>
      <c r="H1344">
        <v>3</v>
      </c>
      <c r="I1344" s="1" t="s">
        <v>36</v>
      </c>
      <c r="J1344">
        <v>1882</v>
      </c>
      <c r="K1344">
        <v>3</v>
      </c>
      <c r="L1344" s="1" t="s">
        <v>43</v>
      </c>
      <c r="M1344">
        <v>64</v>
      </c>
      <c r="N1344">
        <v>3</v>
      </c>
      <c r="O1344">
        <v>3</v>
      </c>
      <c r="P1344" s="1" t="s">
        <v>38</v>
      </c>
      <c r="Q1344">
        <v>4</v>
      </c>
      <c r="R1344" s="1" t="s">
        <v>45</v>
      </c>
      <c r="S1344">
        <v>9713</v>
      </c>
      <c r="T1344">
        <v>24444</v>
      </c>
      <c r="U1344">
        <v>2</v>
      </c>
      <c r="V1344" s="1" t="s">
        <v>33</v>
      </c>
      <c r="W1344">
        <v>13</v>
      </c>
      <c r="X1344">
        <v>3</v>
      </c>
      <c r="Y1344">
        <v>4</v>
      </c>
      <c r="Z1344">
        <v>80</v>
      </c>
      <c r="AA1344">
        <v>3</v>
      </c>
      <c r="AB1344">
        <v>9</v>
      </c>
      <c r="AC1344">
        <v>3</v>
      </c>
      <c r="AD1344">
        <v>3</v>
      </c>
      <c r="AE1344">
        <v>5</v>
      </c>
      <c r="AF1344">
        <v>3</v>
      </c>
      <c r="AG1344">
        <v>1</v>
      </c>
      <c r="AH1344">
        <v>0</v>
      </c>
      <c r="AI1344">
        <f>IF(tbl_HRData[[#This Row],[Attrition]] = "Yes",1,0)</f>
        <v>0</v>
      </c>
      <c r="AJ1344">
        <f>IF(tbl_HRData[[#This Row],[Attrition]] = "No",1,0)</f>
        <v>1</v>
      </c>
      <c r="AK1344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344" s="1" t="str">
        <f>IF(tbl_HRData[[#This Row],[MonthlyIncome]]&lt;5000,"Low",
IF(tbl_HRData[[#This Row],[MonthlyIncome]]&lt;10000,"Medium",
IF(tbl_HRData[[#This Row],[MonthlyIncome]]&lt;15000,"Upper Medium","High")))</f>
        <v>Medium</v>
      </c>
      <c r="AM1344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345" spans="1:39" x14ac:dyDescent="0.35">
      <c r="A1345" s="1">
        <v>1344</v>
      </c>
      <c r="B1345">
        <v>29</v>
      </c>
      <c r="C1345" s="1" t="s">
        <v>40</v>
      </c>
      <c r="D1345" s="1" t="s">
        <v>34</v>
      </c>
      <c r="E1345">
        <v>592</v>
      </c>
      <c r="F1345" s="1" t="s">
        <v>42</v>
      </c>
      <c r="G1345">
        <v>7</v>
      </c>
      <c r="H1345">
        <v>3</v>
      </c>
      <c r="I1345" s="1" t="s">
        <v>36</v>
      </c>
      <c r="J1345">
        <v>1883</v>
      </c>
      <c r="K1345">
        <v>4</v>
      </c>
      <c r="L1345" s="1" t="s">
        <v>43</v>
      </c>
      <c r="M1345">
        <v>59</v>
      </c>
      <c r="N1345">
        <v>3</v>
      </c>
      <c r="O1345">
        <v>1</v>
      </c>
      <c r="P1345" s="1" t="s">
        <v>47</v>
      </c>
      <c r="Q1345">
        <v>1</v>
      </c>
      <c r="R1345" s="1" t="s">
        <v>39</v>
      </c>
      <c r="S1345">
        <v>2062</v>
      </c>
      <c r="T1345">
        <v>19384</v>
      </c>
      <c r="U1345">
        <v>3</v>
      </c>
      <c r="V1345" s="1" t="s">
        <v>40</v>
      </c>
      <c r="W1345">
        <v>14</v>
      </c>
      <c r="X1345">
        <v>3</v>
      </c>
      <c r="Y1345">
        <v>2</v>
      </c>
      <c r="Z1345">
        <v>80</v>
      </c>
      <c r="AA1345">
        <v>0</v>
      </c>
      <c r="AB1345">
        <v>11</v>
      </c>
      <c r="AC1345">
        <v>2</v>
      </c>
      <c r="AD1345">
        <v>3</v>
      </c>
      <c r="AE1345">
        <v>3</v>
      </c>
      <c r="AF1345">
        <v>2</v>
      </c>
      <c r="AG1345">
        <v>1</v>
      </c>
      <c r="AH1345">
        <v>2</v>
      </c>
      <c r="AI1345">
        <f>IF(tbl_HRData[[#This Row],[Attrition]] = "Yes",1,0)</f>
        <v>0</v>
      </c>
      <c r="AJ1345">
        <f>IF(tbl_HRData[[#This Row],[Attrition]] = "No",1,0)</f>
        <v>1</v>
      </c>
      <c r="AK1345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345" s="1" t="str">
        <f>IF(tbl_HRData[[#This Row],[MonthlyIncome]]&lt;5000,"Low",
IF(tbl_HRData[[#This Row],[MonthlyIncome]]&lt;10000,"Medium",
IF(tbl_HRData[[#This Row],[MonthlyIncome]]&lt;15000,"Upper Medium","High")))</f>
        <v>Low</v>
      </c>
      <c r="AM1345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346" spans="1:39" x14ac:dyDescent="0.35">
      <c r="A1346" s="1">
        <v>1345</v>
      </c>
      <c r="B1346">
        <v>37</v>
      </c>
      <c r="C1346" s="1" t="s">
        <v>40</v>
      </c>
      <c r="D1346" s="1" t="s">
        <v>34</v>
      </c>
      <c r="E1346">
        <v>783</v>
      </c>
      <c r="F1346" s="1" t="s">
        <v>42</v>
      </c>
      <c r="G1346">
        <v>7</v>
      </c>
      <c r="H1346">
        <v>4</v>
      </c>
      <c r="I1346" s="1" t="s">
        <v>48</v>
      </c>
      <c r="J1346">
        <v>1885</v>
      </c>
      <c r="K1346">
        <v>4</v>
      </c>
      <c r="L1346" s="1" t="s">
        <v>43</v>
      </c>
      <c r="M1346">
        <v>78</v>
      </c>
      <c r="N1346">
        <v>3</v>
      </c>
      <c r="O1346">
        <v>2</v>
      </c>
      <c r="P1346" s="1" t="s">
        <v>44</v>
      </c>
      <c r="Q1346">
        <v>1</v>
      </c>
      <c r="R1346" s="1" t="s">
        <v>45</v>
      </c>
      <c r="S1346">
        <v>4284</v>
      </c>
      <c r="T1346">
        <v>13588</v>
      </c>
      <c r="U1346">
        <v>5</v>
      </c>
      <c r="V1346" s="1" t="s">
        <v>33</v>
      </c>
      <c r="W1346">
        <v>22</v>
      </c>
      <c r="X1346">
        <v>4</v>
      </c>
      <c r="Y1346">
        <v>3</v>
      </c>
      <c r="Z1346">
        <v>80</v>
      </c>
      <c r="AA1346">
        <v>1</v>
      </c>
      <c r="AB1346">
        <v>16</v>
      </c>
      <c r="AC1346">
        <v>2</v>
      </c>
      <c r="AD1346">
        <v>3</v>
      </c>
      <c r="AE1346">
        <v>5</v>
      </c>
      <c r="AF1346">
        <v>3</v>
      </c>
      <c r="AG1346">
        <v>0</v>
      </c>
      <c r="AH1346">
        <v>4</v>
      </c>
      <c r="AI1346">
        <f>IF(tbl_HRData[[#This Row],[Attrition]] = "Yes",1,0)</f>
        <v>0</v>
      </c>
      <c r="AJ1346">
        <f>IF(tbl_HRData[[#This Row],[Attrition]] = "No",1,0)</f>
        <v>1</v>
      </c>
      <c r="AK1346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346" s="1" t="str">
        <f>IF(tbl_HRData[[#This Row],[MonthlyIncome]]&lt;5000,"Low",
IF(tbl_HRData[[#This Row],[MonthlyIncome]]&lt;10000,"Medium",
IF(tbl_HRData[[#This Row],[MonthlyIncome]]&lt;15000,"Upper Medium","High")))</f>
        <v>Low</v>
      </c>
      <c r="AM1346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347" spans="1:39" x14ac:dyDescent="0.35">
      <c r="A1347" s="1">
        <v>1346</v>
      </c>
      <c r="B1347">
        <v>35</v>
      </c>
      <c r="C1347" s="1" t="s">
        <v>40</v>
      </c>
      <c r="D1347" s="1" t="s">
        <v>34</v>
      </c>
      <c r="E1347">
        <v>219</v>
      </c>
      <c r="F1347" s="1" t="s">
        <v>42</v>
      </c>
      <c r="G1347">
        <v>16</v>
      </c>
      <c r="H1347">
        <v>2</v>
      </c>
      <c r="I1347" s="1" t="s">
        <v>46</v>
      </c>
      <c r="J1347">
        <v>1886</v>
      </c>
      <c r="K1347">
        <v>4</v>
      </c>
      <c r="L1347" s="1" t="s">
        <v>37</v>
      </c>
      <c r="M1347">
        <v>44</v>
      </c>
      <c r="N1347">
        <v>2</v>
      </c>
      <c r="O1347">
        <v>2</v>
      </c>
      <c r="P1347" s="1" t="s">
        <v>50</v>
      </c>
      <c r="Q1347">
        <v>2</v>
      </c>
      <c r="R1347" s="1" t="s">
        <v>45</v>
      </c>
      <c r="S1347">
        <v>4788</v>
      </c>
      <c r="T1347">
        <v>25388</v>
      </c>
      <c r="U1347">
        <v>0</v>
      </c>
      <c r="V1347" s="1" t="s">
        <v>33</v>
      </c>
      <c r="W1347">
        <v>11</v>
      </c>
      <c r="X1347">
        <v>3</v>
      </c>
      <c r="Y1347">
        <v>4</v>
      </c>
      <c r="Z1347">
        <v>80</v>
      </c>
      <c r="AA1347">
        <v>0</v>
      </c>
      <c r="AB1347">
        <v>4</v>
      </c>
      <c r="AC1347">
        <v>2</v>
      </c>
      <c r="AD1347">
        <v>3</v>
      </c>
      <c r="AE1347">
        <v>3</v>
      </c>
      <c r="AF1347">
        <v>2</v>
      </c>
      <c r="AG1347">
        <v>0</v>
      </c>
      <c r="AH1347">
        <v>2</v>
      </c>
      <c r="AI1347">
        <f>IF(tbl_HRData[[#This Row],[Attrition]] = "Yes",1,0)</f>
        <v>0</v>
      </c>
      <c r="AJ1347">
        <f>IF(tbl_HRData[[#This Row],[Attrition]] = "No",1,0)</f>
        <v>1</v>
      </c>
      <c r="AK1347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347" s="1" t="str">
        <f>IF(tbl_HRData[[#This Row],[MonthlyIncome]]&lt;5000,"Low",
IF(tbl_HRData[[#This Row],[MonthlyIncome]]&lt;10000,"Medium",
IF(tbl_HRData[[#This Row],[MonthlyIncome]]&lt;15000,"Upper Medium","High")))</f>
        <v>Low</v>
      </c>
      <c r="AM1347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348" spans="1:39" x14ac:dyDescent="0.35">
      <c r="A1348" s="1">
        <v>1347</v>
      </c>
      <c r="B1348">
        <v>45</v>
      </c>
      <c r="C1348" s="1" t="s">
        <v>40</v>
      </c>
      <c r="D1348" s="1" t="s">
        <v>34</v>
      </c>
      <c r="E1348">
        <v>556</v>
      </c>
      <c r="F1348" s="1" t="s">
        <v>42</v>
      </c>
      <c r="G1348">
        <v>25</v>
      </c>
      <c r="H1348">
        <v>2</v>
      </c>
      <c r="I1348" s="1" t="s">
        <v>36</v>
      </c>
      <c r="J1348">
        <v>1888</v>
      </c>
      <c r="K1348">
        <v>2</v>
      </c>
      <c r="L1348" s="1" t="s">
        <v>37</v>
      </c>
      <c r="M1348">
        <v>93</v>
      </c>
      <c r="N1348">
        <v>2</v>
      </c>
      <c r="O1348">
        <v>2</v>
      </c>
      <c r="P1348" s="1" t="s">
        <v>50</v>
      </c>
      <c r="Q1348">
        <v>4</v>
      </c>
      <c r="R1348" s="1" t="s">
        <v>45</v>
      </c>
      <c r="S1348">
        <v>5906</v>
      </c>
      <c r="T1348">
        <v>23888</v>
      </c>
      <c r="U1348">
        <v>0</v>
      </c>
      <c r="V1348" s="1" t="s">
        <v>40</v>
      </c>
      <c r="W1348">
        <v>13</v>
      </c>
      <c r="X1348">
        <v>3</v>
      </c>
      <c r="Y1348">
        <v>4</v>
      </c>
      <c r="Z1348">
        <v>80</v>
      </c>
      <c r="AA1348">
        <v>2</v>
      </c>
      <c r="AB1348">
        <v>10</v>
      </c>
      <c r="AC1348">
        <v>2</v>
      </c>
      <c r="AD1348">
        <v>2</v>
      </c>
      <c r="AE1348">
        <v>9</v>
      </c>
      <c r="AF1348">
        <v>8</v>
      </c>
      <c r="AG1348">
        <v>3</v>
      </c>
      <c r="AH1348">
        <v>8</v>
      </c>
      <c r="AI1348">
        <f>IF(tbl_HRData[[#This Row],[Attrition]] = "Yes",1,0)</f>
        <v>0</v>
      </c>
      <c r="AJ1348">
        <f>IF(tbl_HRData[[#This Row],[Attrition]] = "No",1,0)</f>
        <v>1</v>
      </c>
      <c r="AK1348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1348" s="1" t="str">
        <f>IF(tbl_HRData[[#This Row],[MonthlyIncome]]&lt;5000,"Low",
IF(tbl_HRData[[#This Row],[MonthlyIncome]]&lt;10000,"Medium",
IF(tbl_HRData[[#This Row],[MonthlyIncome]]&lt;15000,"Upper Medium","High")))</f>
        <v>Medium</v>
      </c>
      <c r="AM1348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349" spans="1:39" x14ac:dyDescent="0.35">
      <c r="A1349" s="1">
        <v>1348</v>
      </c>
      <c r="B1349">
        <v>36</v>
      </c>
      <c r="C1349" s="1" t="s">
        <v>40</v>
      </c>
      <c r="D1349" s="1" t="s">
        <v>41</v>
      </c>
      <c r="E1349">
        <v>1213</v>
      </c>
      <c r="F1349" s="1" t="s">
        <v>58</v>
      </c>
      <c r="G1349">
        <v>2</v>
      </c>
      <c r="H1349">
        <v>1</v>
      </c>
      <c r="I1349" s="1" t="s">
        <v>58</v>
      </c>
      <c r="J1349">
        <v>1890</v>
      </c>
      <c r="K1349">
        <v>2</v>
      </c>
      <c r="L1349" s="1" t="s">
        <v>43</v>
      </c>
      <c r="M1349">
        <v>94</v>
      </c>
      <c r="N1349">
        <v>2</v>
      </c>
      <c r="O1349">
        <v>2</v>
      </c>
      <c r="P1349" s="1" t="s">
        <v>58</v>
      </c>
      <c r="Q1349">
        <v>4</v>
      </c>
      <c r="R1349" s="1" t="s">
        <v>39</v>
      </c>
      <c r="S1349">
        <v>3886</v>
      </c>
      <c r="T1349">
        <v>4223</v>
      </c>
      <c r="U1349">
        <v>1</v>
      </c>
      <c r="V1349" s="1" t="s">
        <v>40</v>
      </c>
      <c r="W1349">
        <v>21</v>
      </c>
      <c r="X1349">
        <v>4</v>
      </c>
      <c r="Y1349">
        <v>4</v>
      </c>
      <c r="Z1349">
        <v>80</v>
      </c>
      <c r="AA1349">
        <v>0</v>
      </c>
      <c r="AB1349">
        <v>10</v>
      </c>
      <c r="AC1349">
        <v>2</v>
      </c>
      <c r="AD1349">
        <v>2</v>
      </c>
      <c r="AE1349">
        <v>10</v>
      </c>
      <c r="AF1349">
        <v>1</v>
      </c>
      <c r="AG1349">
        <v>0</v>
      </c>
      <c r="AH1349">
        <v>8</v>
      </c>
      <c r="AI1349">
        <f>IF(tbl_HRData[[#This Row],[Attrition]] = "Yes",1,0)</f>
        <v>0</v>
      </c>
      <c r="AJ1349">
        <f>IF(tbl_HRData[[#This Row],[Attrition]] = "No",1,0)</f>
        <v>1</v>
      </c>
      <c r="AK1349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349" s="1" t="str">
        <f>IF(tbl_HRData[[#This Row],[MonthlyIncome]]&lt;5000,"Low",
IF(tbl_HRData[[#This Row],[MonthlyIncome]]&lt;10000,"Medium",
IF(tbl_HRData[[#This Row],[MonthlyIncome]]&lt;15000,"Upper Medium","High")))</f>
        <v>Low</v>
      </c>
      <c r="AM1349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350" spans="1:39" x14ac:dyDescent="0.35">
      <c r="A1350" s="1">
        <v>1349</v>
      </c>
      <c r="B1350">
        <v>40</v>
      </c>
      <c r="C1350" s="1" t="s">
        <v>40</v>
      </c>
      <c r="D1350" s="1" t="s">
        <v>34</v>
      </c>
      <c r="E1350">
        <v>1137</v>
      </c>
      <c r="F1350" s="1" t="s">
        <v>42</v>
      </c>
      <c r="G1350">
        <v>1</v>
      </c>
      <c r="H1350">
        <v>4</v>
      </c>
      <c r="I1350" s="1" t="s">
        <v>36</v>
      </c>
      <c r="J1350">
        <v>1892</v>
      </c>
      <c r="K1350">
        <v>1</v>
      </c>
      <c r="L1350" s="1" t="s">
        <v>43</v>
      </c>
      <c r="M1350">
        <v>98</v>
      </c>
      <c r="N1350">
        <v>3</v>
      </c>
      <c r="O1350">
        <v>4</v>
      </c>
      <c r="P1350" s="1" t="s">
        <v>53</v>
      </c>
      <c r="Q1350">
        <v>1</v>
      </c>
      <c r="R1350" s="1" t="s">
        <v>49</v>
      </c>
      <c r="S1350">
        <v>16823</v>
      </c>
      <c r="T1350">
        <v>18991</v>
      </c>
      <c r="U1350">
        <v>2</v>
      </c>
      <c r="V1350" s="1" t="s">
        <v>40</v>
      </c>
      <c r="W1350">
        <v>11</v>
      </c>
      <c r="X1350">
        <v>3</v>
      </c>
      <c r="Y1350">
        <v>1</v>
      </c>
      <c r="Z1350">
        <v>80</v>
      </c>
      <c r="AA1350">
        <v>1</v>
      </c>
      <c r="AB1350">
        <v>22</v>
      </c>
      <c r="AC1350">
        <v>3</v>
      </c>
      <c r="AD1350">
        <v>3</v>
      </c>
      <c r="AE1350">
        <v>19</v>
      </c>
      <c r="AF1350">
        <v>7</v>
      </c>
      <c r="AG1350">
        <v>11</v>
      </c>
      <c r="AH1350">
        <v>16</v>
      </c>
      <c r="AI1350">
        <f>IF(tbl_HRData[[#This Row],[Attrition]] = "Yes",1,0)</f>
        <v>0</v>
      </c>
      <c r="AJ1350">
        <f>IF(tbl_HRData[[#This Row],[Attrition]] = "No",1,0)</f>
        <v>1</v>
      </c>
      <c r="AK1350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350" s="1" t="str">
        <f>IF(tbl_HRData[[#This Row],[MonthlyIncome]]&lt;5000,"Low",
IF(tbl_HRData[[#This Row],[MonthlyIncome]]&lt;10000,"Medium",
IF(tbl_HRData[[#This Row],[MonthlyIncome]]&lt;15000,"Upper Medium","High")))</f>
        <v>High</v>
      </c>
      <c r="AM1350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1351" spans="1:39" x14ac:dyDescent="0.35">
      <c r="A1351" s="1">
        <v>1350</v>
      </c>
      <c r="B1351">
        <v>26</v>
      </c>
      <c r="C1351" s="1" t="s">
        <v>40</v>
      </c>
      <c r="D1351" s="1" t="s">
        <v>34</v>
      </c>
      <c r="E1351">
        <v>482</v>
      </c>
      <c r="F1351" s="1" t="s">
        <v>42</v>
      </c>
      <c r="G1351">
        <v>1</v>
      </c>
      <c r="H1351">
        <v>2</v>
      </c>
      <c r="I1351" s="1" t="s">
        <v>36</v>
      </c>
      <c r="J1351">
        <v>1893</v>
      </c>
      <c r="K1351">
        <v>2</v>
      </c>
      <c r="L1351" s="1" t="s">
        <v>37</v>
      </c>
      <c r="M1351">
        <v>90</v>
      </c>
      <c r="N1351">
        <v>2</v>
      </c>
      <c r="O1351">
        <v>1</v>
      </c>
      <c r="P1351" s="1" t="s">
        <v>44</v>
      </c>
      <c r="Q1351">
        <v>3</v>
      </c>
      <c r="R1351" s="1" t="s">
        <v>45</v>
      </c>
      <c r="S1351">
        <v>2933</v>
      </c>
      <c r="T1351">
        <v>14908</v>
      </c>
      <c r="U1351">
        <v>1</v>
      </c>
      <c r="V1351" s="1" t="s">
        <v>33</v>
      </c>
      <c r="W1351">
        <v>13</v>
      </c>
      <c r="X1351">
        <v>3</v>
      </c>
      <c r="Y1351">
        <v>3</v>
      </c>
      <c r="Z1351">
        <v>80</v>
      </c>
      <c r="AA1351">
        <v>1</v>
      </c>
      <c r="AB1351">
        <v>1</v>
      </c>
      <c r="AC1351">
        <v>3</v>
      </c>
      <c r="AD1351">
        <v>2</v>
      </c>
      <c r="AE1351">
        <v>1</v>
      </c>
      <c r="AF1351">
        <v>0</v>
      </c>
      <c r="AG1351">
        <v>1</v>
      </c>
      <c r="AH1351">
        <v>0</v>
      </c>
      <c r="AI1351">
        <f>IF(tbl_HRData[[#This Row],[Attrition]] = "Yes",1,0)</f>
        <v>0</v>
      </c>
      <c r="AJ1351">
        <f>IF(tbl_HRData[[#This Row],[Attrition]] = "No",1,0)</f>
        <v>1</v>
      </c>
      <c r="AK1351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351" s="1" t="str">
        <f>IF(tbl_HRData[[#This Row],[MonthlyIncome]]&lt;5000,"Low",
IF(tbl_HRData[[#This Row],[MonthlyIncome]]&lt;10000,"Medium",
IF(tbl_HRData[[#This Row],[MonthlyIncome]]&lt;15000,"Upper Medium","High")))</f>
        <v>Low</v>
      </c>
      <c r="AM1351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352" spans="1:39" x14ac:dyDescent="0.35">
      <c r="A1352" s="1">
        <v>1351</v>
      </c>
      <c r="B1352">
        <v>27</v>
      </c>
      <c r="C1352" s="1" t="s">
        <v>40</v>
      </c>
      <c r="D1352" s="1" t="s">
        <v>34</v>
      </c>
      <c r="E1352">
        <v>511</v>
      </c>
      <c r="F1352" s="1" t="s">
        <v>35</v>
      </c>
      <c r="G1352">
        <v>2</v>
      </c>
      <c r="H1352">
        <v>2</v>
      </c>
      <c r="I1352" s="1" t="s">
        <v>48</v>
      </c>
      <c r="J1352">
        <v>1898</v>
      </c>
      <c r="K1352">
        <v>1</v>
      </c>
      <c r="L1352" s="1" t="s">
        <v>37</v>
      </c>
      <c r="M1352">
        <v>89</v>
      </c>
      <c r="N1352">
        <v>4</v>
      </c>
      <c r="O1352">
        <v>2</v>
      </c>
      <c r="P1352" s="1" t="s">
        <v>38</v>
      </c>
      <c r="Q1352">
        <v>3</v>
      </c>
      <c r="R1352" s="1" t="s">
        <v>39</v>
      </c>
      <c r="S1352">
        <v>6500</v>
      </c>
      <c r="T1352">
        <v>26997</v>
      </c>
      <c r="U1352">
        <v>0</v>
      </c>
      <c r="V1352" s="1" t="s">
        <v>40</v>
      </c>
      <c r="W1352">
        <v>14</v>
      </c>
      <c r="X1352">
        <v>3</v>
      </c>
      <c r="Y1352">
        <v>2</v>
      </c>
      <c r="Z1352">
        <v>80</v>
      </c>
      <c r="AA1352">
        <v>0</v>
      </c>
      <c r="AB1352">
        <v>9</v>
      </c>
      <c r="AC1352">
        <v>5</v>
      </c>
      <c r="AD1352">
        <v>2</v>
      </c>
      <c r="AE1352">
        <v>8</v>
      </c>
      <c r="AF1352">
        <v>7</v>
      </c>
      <c r="AG1352">
        <v>0</v>
      </c>
      <c r="AH1352">
        <v>7</v>
      </c>
      <c r="AI1352">
        <f>IF(tbl_HRData[[#This Row],[Attrition]] = "Yes",1,0)</f>
        <v>0</v>
      </c>
      <c r="AJ1352">
        <f>IF(tbl_HRData[[#This Row],[Attrition]] = "No",1,0)</f>
        <v>1</v>
      </c>
      <c r="AK1352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352" s="1" t="str">
        <f>IF(tbl_HRData[[#This Row],[MonthlyIncome]]&lt;5000,"Low",
IF(tbl_HRData[[#This Row],[MonthlyIncome]]&lt;10000,"Medium",
IF(tbl_HRData[[#This Row],[MonthlyIncome]]&lt;15000,"Upper Medium","High")))</f>
        <v>Medium</v>
      </c>
      <c r="AM1352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353" spans="1:39" x14ac:dyDescent="0.35">
      <c r="A1353" s="1">
        <v>1352</v>
      </c>
      <c r="B1353">
        <v>48</v>
      </c>
      <c r="C1353" s="1" t="s">
        <v>40</v>
      </c>
      <c r="D1353" s="1" t="s">
        <v>41</v>
      </c>
      <c r="E1353">
        <v>117</v>
      </c>
      <c r="F1353" s="1" t="s">
        <v>42</v>
      </c>
      <c r="G1353">
        <v>22</v>
      </c>
      <c r="H1353">
        <v>3</v>
      </c>
      <c r="I1353" s="1" t="s">
        <v>48</v>
      </c>
      <c r="J1353">
        <v>1900</v>
      </c>
      <c r="K1353">
        <v>4</v>
      </c>
      <c r="L1353" s="1" t="s">
        <v>37</v>
      </c>
      <c r="M1353">
        <v>58</v>
      </c>
      <c r="N1353">
        <v>3</v>
      </c>
      <c r="O1353">
        <v>4</v>
      </c>
      <c r="P1353" s="1" t="s">
        <v>53</v>
      </c>
      <c r="Q1353">
        <v>4</v>
      </c>
      <c r="R1353" s="1" t="s">
        <v>49</v>
      </c>
      <c r="S1353">
        <v>17174</v>
      </c>
      <c r="T1353">
        <v>2437</v>
      </c>
      <c r="U1353">
        <v>3</v>
      </c>
      <c r="V1353" s="1" t="s">
        <v>40</v>
      </c>
      <c r="W1353">
        <v>11</v>
      </c>
      <c r="X1353">
        <v>3</v>
      </c>
      <c r="Y1353">
        <v>2</v>
      </c>
      <c r="Z1353">
        <v>80</v>
      </c>
      <c r="AA1353">
        <v>1</v>
      </c>
      <c r="AB1353">
        <v>24</v>
      </c>
      <c r="AC1353">
        <v>3</v>
      </c>
      <c r="AD1353">
        <v>3</v>
      </c>
      <c r="AE1353">
        <v>22</v>
      </c>
      <c r="AF1353">
        <v>17</v>
      </c>
      <c r="AG1353">
        <v>4</v>
      </c>
      <c r="AH1353">
        <v>7</v>
      </c>
      <c r="AI1353">
        <f>IF(tbl_HRData[[#This Row],[Attrition]] = "Yes",1,0)</f>
        <v>0</v>
      </c>
      <c r="AJ1353">
        <f>IF(tbl_HRData[[#This Row],[Attrition]] = "No",1,0)</f>
        <v>1</v>
      </c>
      <c r="AK1353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1353" s="1" t="str">
        <f>IF(tbl_HRData[[#This Row],[MonthlyIncome]]&lt;5000,"Low",
IF(tbl_HRData[[#This Row],[MonthlyIncome]]&lt;10000,"Medium",
IF(tbl_HRData[[#This Row],[MonthlyIncome]]&lt;15000,"Upper Medium","High")))</f>
        <v>High</v>
      </c>
      <c r="AM1353" s="1" t="str">
        <f>IF(tbl_HRData[[#This Row],[YearsAtCompany]]&lt;=5,"0-5 Years",
IF(tbl_HRData[[#This Row],[YearsAtCompany]]&lt;=10,"6-10 Years",
IF(tbl_HRData[[#This Row],[YearsAtCompany]]&lt;=20,"11-20 Years","21+ Years")))</f>
        <v>21+ Years</v>
      </c>
    </row>
    <row r="1354" spans="1:39" x14ac:dyDescent="0.35">
      <c r="A1354" s="1">
        <v>1353</v>
      </c>
      <c r="B1354">
        <v>44</v>
      </c>
      <c r="C1354" s="1" t="s">
        <v>40</v>
      </c>
      <c r="D1354" s="1" t="s">
        <v>34</v>
      </c>
      <c r="E1354">
        <v>170</v>
      </c>
      <c r="F1354" s="1" t="s">
        <v>42</v>
      </c>
      <c r="G1354">
        <v>1</v>
      </c>
      <c r="H1354">
        <v>4</v>
      </c>
      <c r="I1354" s="1" t="s">
        <v>36</v>
      </c>
      <c r="J1354">
        <v>1903</v>
      </c>
      <c r="K1354">
        <v>2</v>
      </c>
      <c r="L1354" s="1" t="s">
        <v>43</v>
      </c>
      <c r="M1354">
        <v>78</v>
      </c>
      <c r="N1354">
        <v>4</v>
      </c>
      <c r="O1354">
        <v>2</v>
      </c>
      <c r="P1354" s="1" t="s">
        <v>51</v>
      </c>
      <c r="Q1354">
        <v>1</v>
      </c>
      <c r="R1354" s="1" t="s">
        <v>45</v>
      </c>
      <c r="S1354">
        <v>5033</v>
      </c>
      <c r="T1354">
        <v>9364</v>
      </c>
      <c r="U1354">
        <v>2</v>
      </c>
      <c r="V1354" s="1" t="s">
        <v>40</v>
      </c>
      <c r="W1354">
        <v>15</v>
      </c>
      <c r="X1354">
        <v>3</v>
      </c>
      <c r="Y1354">
        <v>4</v>
      </c>
      <c r="Z1354">
        <v>80</v>
      </c>
      <c r="AA1354">
        <v>1</v>
      </c>
      <c r="AB1354">
        <v>10</v>
      </c>
      <c r="AC1354">
        <v>5</v>
      </c>
      <c r="AD1354">
        <v>3</v>
      </c>
      <c r="AE1354">
        <v>2</v>
      </c>
      <c r="AF1354">
        <v>0</v>
      </c>
      <c r="AG1354">
        <v>2</v>
      </c>
      <c r="AH1354">
        <v>2</v>
      </c>
      <c r="AI1354">
        <f>IF(tbl_HRData[[#This Row],[Attrition]] = "Yes",1,0)</f>
        <v>0</v>
      </c>
      <c r="AJ1354">
        <f>IF(tbl_HRData[[#This Row],[Attrition]] = "No",1,0)</f>
        <v>1</v>
      </c>
      <c r="AK1354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354" s="1" t="str">
        <f>IF(tbl_HRData[[#This Row],[MonthlyIncome]]&lt;5000,"Low",
IF(tbl_HRData[[#This Row],[MonthlyIncome]]&lt;10000,"Medium",
IF(tbl_HRData[[#This Row],[MonthlyIncome]]&lt;15000,"Upper Medium","High")))</f>
        <v>Medium</v>
      </c>
      <c r="AM1354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355" spans="1:39" x14ac:dyDescent="0.35">
      <c r="A1355" s="1">
        <v>1354</v>
      </c>
      <c r="B1355">
        <v>34</v>
      </c>
      <c r="C1355" s="1" t="s">
        <v>33</v>
      </c>
      <c r="D1355" s="1" t="s">
        <v>52</v>
      </c>
      <c r="E1355">
        <v>967</v>
      </c>
      <c r="F1355" s="1" t="s">
        <v>42</v>
      </c>
      <c r="G1355">
        <v>16</v>
      </c>
      <c r="H1355">
        <v>4</v>
      </c>
      <c r="I1355" s="1" t="s">
        <v>57</v>
      </c>
      <c r="J1355">
        <v>1905</v>
      </c>
      <c r="K1355">
        <v>4</v>
      </c>
      <c r="L1355" s="1" t="s">
        <v>43</v>
      </c>
      <c r="M1355">
        <v>85</v>
      </c>
      <c r="N1355">
        <v>1</v>
      </c>
      <c r="O1355">
        <v>1</v>
      </c>
      <c r="P1355" s="1" t="s">
        <v>44</v>
      </c>
      <c r="Q1355">
        <v>1</v>
      </c>
      <c r="R1355" s="1" t="s">
        <v>45</v>
      </c>
      <c r="S1355">
        <v>2307</v>
      </c>
      <c r="T1355">
        <v>14460</v>
      </c>
      <c r="U1355">
        <v>1</v>
      </c>
      <c r="V1355" s="1" t="s">
        <v>33</v>
      </c>
      <c r="W1355">
        <v>23</v>
      </c>
      <c r="X1355">
        <v>4</v>
      </c>
      <c r="Y1355">
        <v>2</v>
      </c>
      <c r="Z1355">
        <v>80</v>
      </c>
      <c r="AA1355">
        <v>1</v>
      </c>
      <c r="AB1355">
        <v>5</v>
      </c>
      <c r="AC1355">
        <v>2</v>
      </c>
      <c r="AD1355">
        <v>3</v>
      </c>
      <c r="AE1355">
        <v>5</v>
      </c>
      <c r="AF1355">
        <v>2</v>
      </c>
      <c r="AG1355">
        <v>3</v>
      </c>
      <c r="AH1355">
        <v>0</v>
      </c>
      <c r="AI1355">
        <f>IF(tbl_HRData[[#This Row],[Attrition]] = "Yes",1,0)</f>
        <v>1</v>
      </c>
      <c r="AJ1355">
        <f>IF(tbl_HRData[[#This Row],[Attrition]] = "No",1,0)</f>
        <v>0</v>
      </c>
      <c r="AK1355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355" s="1" t="str">
        <f>IF(tbl_HRData[[#This Row],[MonthlyIncome]]&lt;5000,"Low",
IF(tbl_HRData[[#This Row],[MonthlyIncome]]&lt;10000,"Medium",
IF(tbl_HRData[[#This Row],[MonthlyIncome]]&lt;15000,"Upper Medium","High")))</f>
        <v>Low</v>
      </c>
      <c r="AM1355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356" spans="1:39" x14ac:dyDescent="0.35">
      <c r="A1356" s="1">
        <v>1355</v>
      </c>
      <c r="B1356">
        <v>56</v>
      </c>
      <c r="C1356" s="1" t="s">
        <v>33</v>
      </c>
      <c r="D1356" s="1" t="s">
        <v>34</v>
      </c>
      <c r="E1356">
        <v>1162</v>
      </c>
      <c r="F1356" s="1" t="s">
        <v>42</v>
      </c>
      <c r="G1356">
        <v>24</v>
      </c>
      <c r="H1356">
        <v>2</v>
      </c>
      <c r="I1356" s="1" t="s">
        <v>36</v>
      </c>
      <c r="J1356">
        <v>1907</v>
      </c>
      <c r="K1356">
        <v>1</v>
      </c>
      <c r="L1356" s="1" t="s">
        <v>43</v>
      </c>
      <c r="M1356">
        <v>97</v>
      </c>
      <c r="N1356">
        <v>3</v>
      </c>
      <c r="O1356">
        <v>1</v>
      </c>
      <c r="P1356" s="1" t="s">
        <v>47</v>
      </c>
      <c r="Q1356">
        <v>4</v>
      </c>
      <c r="R1356" s="1" t="s">
        <v>39</v>
      </c>
      <c r="S1356">
        <v>2587</v>
      </c>
      <c r="T1356">
        <v>10261</v>
      </c>
      <c r="U1356">
        <v>1</v>
      </c>
      <c r="V1356" s="1" t="s">
        <v>40</v>
      </c>
      <c r="W1356">
        <v>16</v>
      </c>
      <c r="X1356">
        <v>3</v>
      </c>
      <c r="Y1356">
        <v>4</v>
      </c>
      <c r="Z1356">
        <v>80</v>
      </c>
      <c r="AA1356">
        <v>0</v>
      </c>
      <c r="AB1356">
        <v>5</v>
      </c>
      <c r="AC1356">
        <v>3</v>
      </c>
      <c r="AD1356">
        <v>3</v>
      </c>
      <c r="AE1356">
        <v>4</v>
      </c>
      <c r="AF1356">
        <v>2</v>
      </c>
      <c r="AG1356">
        <v>1</v>
      </c>
      <c r="AH1356">
        <v>0</v>
      </c>
      <c r="AI1356">
        <f>IF(tbl_HRData[[#This Row],[Attrition]] = "Yes",1,0)</f>
        <v>1</v>
      </c>
      <c r="AJ1356">
        <f>IF(tbl_HRData[[#This Row],[Attrition]] = "No",1,0)</f>
        <v>0</v>
      </c>
      <c r="AK1356" t="str">
        <f>IF(tbl_HRData[[#This Row],[Age]] &lt; 25, "Under 25", IF(tbl_HRData[[#This Row],[Age]] &lt;= 34, "25-34", IF(tbl_HRData[[#This Row],[Age]] &lt;= 44, "35-44", IF(tbl_HRData[[#This Row],[Age]] &lt;= 54, "45-54", "55+"))))</f>
        <v>55+</v>
      </c>
      <c r="AL1356" s="1" t="str">
        <f>IF(tbl_HRData[[#This Row],[MonthlyIncome]]&lt;5000,"Low",
IF(tbl_HRData[[#This Row],[MonthlyIncome]]&lt;10000,"Medium",
IF(tbl_HRData[[#This Row],[MonthlyIncome]]&lt;15000,"Upper Medium","High")))</f>
        <v>Low</v>
      </c>
      <c r="AM1356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357" spans="1:39" x14ac:dyDescent="0.35">
      <c r="A1357" s="1">
        <v>1356</v>
      </c>
      <c r="B1357">
        <v>36</v>
      </c>
      <c r="C1357" s="1" t="s">
        <v>40</v>
      </c>
      <c r="D1357" s="1" t="s">
        <v>34</v>
      </c>
      <c r="E1357">
        <v>335</v>
      </c>
      <c r="F1357" s="1" t="s">
        <v>35</v>
      </c>
      <c r="G1357">
        <v>17</v>
      </c>
      <c r="H1357">
        <v>2</v>
      </c>
      <c r="I1357" s="1" t="s">
        <v>56</v>
      </c>
      <c r="J1357">
        <v>1908</v>
      </c>
      <c r="K1357">
        <v>3</v>
      </c>
      <c r="L1357" s="1" t="s">
        <v>43</v>
      </c>
      <c r="M1357">
        <v>33</v>
      </c>
      <c r="N1357">
        <v>2</v>
      </c>
      <c r="O1357">
        <v>2</v>
      </c>
      <c r="P1357" s="1" t="s">
        <v>38</v>
      </c>
      <c r="Q1357">
        <v>2</v>
      </c>
      <c r="R1357" s="1" t="s">
        <v>45</v>
      </c>
      <c r="S1357">
        <v>5507</v>
      </c>
      <c r="T1357">
        <v>16822</v>
      </c>
      <c r="U1357">
        <v>2</v>
      </c>
      <c r="V1357" s="1" t="s">
        <v>40</v>
      </c>
      <c r="W1357">
        <v>16</v>
      </c>
      <c r="X1357">
        <v>3</v>
      </c>
      <c r="Y1357">
        <v>3</v>
      </c>
      <c r="Z1357">
        <v>80</v>
      </c>
      <c r="AA1357">
        <v>2</v>
      </c>
      <c r="AB1357">
        <v>12</v>
      </c>
      <c r="AC1357">
        <v>1</v>
      </c>
      <c r="AD1357">
        <v>1</v>
      </c>
      <c r="AE1357">
        <v>4</v>
      </c>
      <c r="AF1357">
        <v>2</v>
      </c>
      <c r="AG1357">
        <v>1</v>
      </c>
      <c r="AH1357">
        <v>3</v>
      </c>
      <c r="AI1357">
        <f>IF(tbl_HRData[[#This Row],[Attrition]] = "Yes",1,0)</f>
        <v>0</v>
      </c>
      <c r="AJ1357">
        <f>IF(tbl_HRData[[#This Row],[Attrition]] = "No",1,0)</f>
        <v>1</v>
      </c>
      <c r="AK1357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357" s="1" t="str">
        <f>IF(tbl_HRData[[#This Row],[MonthlyIncome]]&lt;5000,"Low",
IF(tbl_HRData[[#This Row],[MonthlyIncome]]&lt;10000,"Medium",
IF(tbl_HRData[[#This Row],[MonthlyIncome]]&lt;15000,"Upper Medium","High")))</f>
        <v>Medium</v>
      </c>
      <c r="AM1357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358" spans="1:39" x14ac:dyDescent="0.35">
      <c r="A1358" s="1">
        <v>1357</v>
      </c>
      <c r="B1358">
        <v>41</v>
      </c>
      <c r="C1358" s="1" t="s">
        <v>40</v>
      </c>
      <c r="D1358" s="1" t="s">
        <v>34</v>
      </c>
      <c r="E1358">
        <v>337</v>
      </c>
      <c r="F1358" s="1" t="s">
        <v>35</v>
      </c>
      <c r="G1358">
        <v>8</v>
      </c>
      <c r="H1358">
        <v>3</v>
      </c>
      <c r="I1358" s="1" t="s">
        <v>56</v>
      </c>
      <c r="J1358">
        <v>1909</v>
      </c>
      <c r="K1358">
        <v>3</v>
      </c>
      <c r="L1358" s="1" t="s">
        <v>37</v>
      </c>
      <c r="M1358">
        <v>54</v>
      </c>
      <c r="N1358">
        <v>3</v>
      </c>
      <c r="O1358">
        <v>2</v>
      </c>
      <c r="P1358" s="1" t="s">
        <v>38</v>
      </c>
      <c r="Q1358">
        <v>2</v>
      </c>
      <c r="R1358" s="1" t="s">
        <v>45</v>
      </c>
      <c r="S1358">
        <v>4393</v>
      </c>
      <c r="T1358">
        <v>26841</v>
      </c>
      <c r="U1358">
        <v>5</v>
      </c>
      <c r="V1358" s="1" t="s">
        <v>40</v>
      </c>
      <c r="W1358">
        <v>21</v>
      </c>
      <c r="X1358">
        <v>4</v>
      </c>
      <c r="Y1358">
        <v>3</v>
      </c>
      <c r="Z1358">
        <v>80</v>
      </c>
      <c r="AA1358">
        <v>1</v>
      </c>
      <c r="AB1358">
        <v>14</v>
      </c>
      <c r="AC1358">
        <v>3</v>
      </c>
      <c r="AD1358">
        <v>3</v>
      </c>
      <c r="AE1358">
        <v>5</v>
      </c>
      <c r="AF1358">
        <v>4</v>
      </c>
      <c r="AG1358">
        <v>1</v>
      </c>
      <c r="AH1358">
        <v>4</v>
      </c>
      <c r="AI1358">
        <f>IF(tbl_HRData[[#This Row],[Attrition]] = "Yes",1,0)</f>
        <v>0</v>
      </c>
      <c r="AJ1358">
        <f>IF(tbl_HRData[[#This Row],[Attrition]] = "No",1,0)</f>
        <v>1</v>
      </c>
      <c r="AK1358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358" s="1" t="str">
        <f>IF(tbl_HRData[[#This Row],[MonthlyIncome]]&lt;5000,"Low",
IF(tbl_HRData[[#This Row],[MonthlyIncome]]&lt;10000,"Medium",
IF(tbl_HRData[[#This Row],[MonthlyIncome]]&lt;15000,"Upper Medium","High")))</f>
        <v>Low</v>
      </c>
      <c r="AM1358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359" spans="1:39" x14ac:dyDescent="0.35">
      <c r="A1359" s="1">
        <v>1358</v>
      </c>
      <c r="B1359">
        <v>42</v>
      </c>
      <c r="C1359" s="1" t="s">
        <v>40</v>
      </c>
      <c r="D1359" s="1" t="s">
        <v>34</v>
      </c>
      <c r="E1359">
        <v>1396</v>
      </c>
      <c r="F1359" s="1" t="s">
        <v>42</v>
      </c>
      <c r="G1359">
        <v>6</v>
      </c>
      <c r="H1359">
        <v>3</v>
      </c>
      <c r="I1359" s="1" t="s">
        <v>48</v>
      </c>
      <c r="J1359">
        <v>1911</v>
      </c>
      <c r="K1359">
        <v>3</v>
      </c>
      <c r="L1359" s="1" t="s">
        <v>43</v>
      </c>
      <c r="M1359">
        <v>83</v>
      </c>
      <c r="N1359">
        <v>3</v>
      </c>
      <c r="O1359">
        <v>3</v>
      </c>
      <c r="P1359" s="1" t="s">
        <v>55</v>
      </c>
      <c r="Q1359">
        <v>1</v>
      </c>
      <c r="R1359" s="1" t="s">
        <v>45</v>
      </c>
      <c r="S1359">
        <v>13348</v>
      </c>
      <c r="T1359">
        <v>14842</v>
      </c>
      <c r="U1359">
        <v>9</v>
      </c>
      <c r="V1359" s="1" t="s">
        <v>40</v>
      </c>
      <c r="W1359">
        <v>13</v>
      </c>
      <c r="X1359">
        <v>3</v>
      </c>
      <c r="Y1359">
        <v>2</v>
      </c>
      <c r="Z1359">
        <v>80</v>
      </c>
      <c r="AA1359">
        <v>1</v>
      </c>
      <c r="AB1359">
        <v>18</v>
      </c>
      <c r="AC1359">
        <v>3</v>
      </c>
      <c r="AD1359">
        <v>4</v>
      </c>
      <c r="AE1359">
        <v>13</v>
      </c>
      <c r="AF1359">
        <v>7</v>
      </c>
      <c r="AG1359">
        <v>5</v>
      </c>
      <c r="AH1359">
        <v>7</v>
      </c>
      <c r="AI1359">
        <f>IF(tbl_HRData[[#This Row],[Attrition]] = "Yes",1,0)</f>
        <v>0</v>
      </c>
      <c r="AJ1359">
        <f>IF(tbl_HRData[[#This Row],[Attrition]] = "No",1,0)</f>
        <v>1</v>
      </c>
      <c r="AK1359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359" s="1" t="str">
        <f>IF(tbl_HRData[[#This Row],[MonthlyIncome]]&lt;5000,"Low",
IF(tbl_HRData[[#This Row],[MonthlyIncome]]&lt;10000,"Medium",
IF(tbl_HRData[[#This Row],[MonthlyIncome]]&lt;15000,"Upper Medium","High")))</f>
        <v>Upper Medium</v>
      </c>
      <c r="AM1359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1360" spans="1:39" x14ac:dyDescent="0.35">
      <c r="A1360" s="1">
        <v>1359</v>
      </c>
      <c r="B1360">
        <v>31</v>
      </c>
      <c r="C1360" s="1" t="s">
        <v>40</v>
      </c>
      <c r="D1360" s="1" t="s">
        <v>34</v>
      </c>
      <c r="E1360">
        <v>1079</v>
      </c>
      <c r="F1360" s="1" t="s">
        <v>35</v>
      </c>
      <c r="G1360">
        <v>10</v>
      </c>
      <c r="H1360">
        <v>2</v>
      </c>
      <c r="I1360" s="1" t="s">
        <v>48</v>
      </c>
      <c r="J1360">
        <v>1912</v>
      </c>
      <c r="K1360">
        <v>3</v>
      </c>
      <c r="L1360" s="1" t="s">
        <v>37</v>
      </c>
      <c r="M1360">
        <v>86</v>
      </c>
      <c r="N1360">
        <v>3</v>
      </c>
      <c r="O1360">
        <v>2</v>
      </c>
      <c r="P1360" s="1" t="s">
        <v>38</v>
      </c>
      <c r="Q1360">
        <v>4</v>
      </c>
      <c r="R1360" s="1" t="s">
        <v>49</v>
      </c>
      <c r="S1360">
        <v>6583</v>
      </c>
      <c r="T1360">
        <v>20115</v>
      </c>
      <c r="U1360">
        <v>2</v>
      </c>
      <c r="V1360" s="1" t="s">
        <v>33</v>
      </c>
      <c r="W1360">
        <v>11</v>
      </c>
      <c r="X1360">
        <v>3</v>
      </c>
      <c r="Y1360">
        <v>4</v>
      </c>
      <c r="Z1360">
        <v>80</v>
      </c>
      <c r="AA1360">
        <v>1</v>
      </c>
      <c r="AB1360">
        <v>8</v>
      </c>
      <c r="AC1360">
        <v>2</v>
      </c>
      <c r="AD1360">
        <v>3</v>
      </c>
      <c r="AE1360">
        <v>5</v>
      </c>
      <c r="AF1360">
        <v>2</v>
      </c>
      <c r="AG1360">
        <v>1</v>
      </c>
      <c r="AH1360">
        <v>4</v>
      </c>
      <c r="AI1360">
        <f>IF(tbl_HRData[[#This Row],[Attrition]] = "Yes",1,0)</f>
        <v>0</v>
      </c>
      <c r="AJ1360">
        <f>IF(tbl_HRData[[#This Row],[Attrition]] = "No",1,0)</f>
        <v>1</v>
      </c>
      <c r="AK1360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360" s="1" t="str">
        <f>IF(tbl_HRData[[#This Row],[MonthlyIncome]]&lt;5000,"Low",
IF(tbl_HRData[[#This Row],[MonthlyIncome]]&lt;10000,"Medium",
IF(tbl_HRData[[#This Row],[MonthlyIncome]]&lt;15000,"Upper Medium","High")))</f>
        <v>Medium</v>
      </c>
      <c r="AM1360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361" spans="1:39" x14ac:dyDescent="0.35">
      <c r="A1361" s="1">
        <v>1360</v>
      </c>
      <c r="B1361">
        <v>34</v>
      </c>
      <c r="C1361" s="1" t="s">
        <v>40</v>
      </c>
      <c r="D1361" s="1" t="s">
        <v>34</v>
      </c>
      <c r="E1361">
        <v>735</v>
      </c>
      <c r="F1361" s="1" t="s">
        <v>35</v>
      </c>
      <c r="G1361">
        <v>3</v>
      </c>
      <c r="H1361">
        <v>1</v>
      </c>
      <c r="I1361" s="1" t="s">
        <v>48</v>
      </c>
      <c r="J1361">
        <v>1915</v>
      </c>
      <c r="K1361">
        <v>4</v>
      </c>
      <c r="L1361" s="1" t="s">
        <v>37</v>
      </c>
      <c r="M1361">
        <v>75</v>
      </c>
      <c r="N1361">
        <v>2</v>
      </c>
      <c r="O1361">
        <v>2</v>
      </c>
      <c r="P1361" s="1" t="s">
        <v>38</v>
      </c>
      <c r="Q1361">
        <v>4</v>
      </c>
      <c r="R1361" s="1" t="s">
        <v>45</v>
      </c>
      <c r="S1361">
        <v>8103</v>
      </c>
      <c r="T1361">
        <v>16495</v>
      </c>
      <c r="U1361">
        <v>3</v>
      </c>
      <c r="V1361" s="1" t="s">
        <v>33</v>
      </c>
      <c r="W1361">
        <v>12</v>
      </c>
      <c r="X1361">
        <v>3</v>
      </c>
      <c r="Y1361">
        <v>3</v>
      </c>
      <c r="Z1361">
        <v>80</v>
      </c>
      <c r="AA1361">
        <v>0</v>
      </c>
      <c r="AB1361">
        <v>9</v>
      </c>
      <c r="AC1361">
        <v>3</v>
      </c>
      <c r="AD1361">
        <v>2</v>
      </c>
      <c r="AE1361">
        <v>4</v>
      </c>
      <c r="AF1361">
        <v>2</v>
      </c>
      <c r="AG1361">
        <v>0</v>
      </c>
      <c r="AH1361">
        <v>1</v>
      </c>
      <c r="AI1361">
        <f>IF(tbl_HRData[[#This Row],[Attrition]] = "Yes",1,0)</f>
        <v>0</v>
      </c>
      <c r="AJ1361">
        <f>IF(tbl_HRData[[#This Row],[Attrition]] = "No",1,0)</f>
        <v>1</v>
      </c>
      <c r="AK1361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361" s="1" t="str">
        <f>IF(tbl_HRData[[#This Row],[MonthlyIncome]]&lt;5000,"Low",
IF(tbl_HRData[[#This Row],[MonthlyIncome]]&lt;10000,"Medium",
IF(tbl_HRData[[#This Row],[MonthlyIncome]]&lt;15000,"Upper Medium","High")))</f>
        <v>Medium</v>
      </c>
      <c r="AM1361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362" spans="1:39" x14ac:dyDescent="0.35">
      <c r="A1362" s="1">
        <v>1361</v>
      </c>
      <c r="B1362">
        <v>31</v>
      </c>
      <c r="C1362" s="1" t="s">
        <v>40</v>
      </c>
      <c r="D1362" s="1" t="s">
        <v>34</v>
      </c>
      <c r="E1362">
        <v>471</v>
      </c>
      <c r="F1362" s="1" t="s">
        <v>42</v>
      </c>
      <c r="G1362">
        <v>4</v>
      </c>
      <c r="H1362">
        <v>3</v>
      </c>
      <c r="I1362" s="1" t="s">
        <v>48</v>
      </c>
      <c r="J1362">
        <v>1916</v>
      </c>
      <c r="K1362">
        <v>1</v>
      </c>
      <c r="L1362" s="1" t="s">
        <v>37</v>
      </c>
      <c r="M1362">
        <v>62</v>
      </c>
      <c r="N1362">
        <v>4</v>
      </c>
      <c r="O1362">
        <v>1</v>
      </c>
      <c r="P1362" s="1" t="s">
        <v>47</v>
      </c>
      <c r="Q1362">
        <v>3</v>
      </c>
      <c r="R1362" s="1" t="s">
        <v>49</v>
      </c>
      <c r="S1362">
        <v>3978</v>
      </c>
      <c r="T1362">
        <v>16031</v>
      </c>
      <c r="U1362">
        <v>8</v>
      </c>
      <c r="V1362" s="1" t="s">
        <v>40</v>
      </c>
      <c r="W1362">
        <v>12</v>
      </c>
      <c r="X1362">
        <v>3</v>
      </c>
      <c r="Y1362">
        <v>2</v>
      </c>
      <c r="Z1362">
        <v>80</v>
      </c>
      <c r="AA1362">
        <v>1</v>
      </c>
      <c r="AB1362">
        <v>4</v>
      </c>
      <c r="AC1362">
        <v>0</v>
      </c>
      <c r="AD1362">
        <v>2</v>
      </c>
      <c r="AE1362">
        <v>2</v>
      </c>
      <c r="AF1362">
        <v>2</v>
      </c>
      <c r="AG1362">
        <v>2</v>
      </c>
      <c r="AH1362">
        <v>2</v>
      </c>
      <c r="AI1362">
        <f>IF(tbl_HRData[[#This Row],[Attrition]] = "Yes",1,0)</f>
        <v>0</v>
      </c>
      <c r="AJ1362">
        <f>IF(tbl_HRData[[#This Row],[Attrition]] = "No",1,0)</f>
        <v>1</v>
      </c>
      <c r="AK1362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362" s="1" t="str">
        <f>IF(tbl_HRData[[#This Row],[MonthlyIncome]]&lt;5000,"Low",
IF(tbl_HRData[[#This Row],[MonthlyIncome]]&lt;10000,"Medium",
IF(tbl_HRData[[#This Row],[MonthlyIncome]]&lt;15000,"Upper Medium","High")))</f>
        <v>Low</v>
      </c>
      <c r="AM1362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363" spans="1:39" x14ac:dyDescent="0.35">
      <c r="A1363" s="1">
        <v>1362</v>
      </c>
      <c r="B1363">
        <v>26</v>
      </c>
      <c r="C1363" s="1" t="s">
        <v>40</v>
      </c>
      <c r="D1363" s="1" t="s">
        <v>41</v>
      </c>
      <c r="E1363">
        <v>1096</v>
      </c>
      <c r="F1363" s="1" t="s">
        <v>42</v>
      </c>
      <c r="G1363">
        <v>6</v>
      </c>
      <c r="H1363">
        <v>3</v>
      </c>
      <c r="I1363" s="1" t="s">
        <v>46</v>
      </c>
      <c r="J1363">
        <v>1918</v>
      </c>
      <c r="K1363">
        <v>3</v>
      </c>
      <c r="L1363" s="1" t="s">
        <v>43</v>
      </c>
      <c r="M1363">
        <v>61</v>
      </c>
      <c r="N1363">
        <v>4</v>
      </c>
      <c r="O1363">
        <v>1</v>
      </c>
      <c r="P1363" s="1" t="s">
        <v>47</v>
      </c>
      <c r="Q1363">
        <v>4</v>
      </c>
      <c r="R1363" s="1" t="s">
        <v>45</v>
      </c>
      <c r="S1363">
        <v>2544</v>
      </c>
      <c r="T1363">
        <v>7102</v>
      </c>
      <c r="U1363">
        <v>0</v>
      </c>
      <c r="V1363" s="1" t="s">
        <v>40</v>
      </c>
      <c r="W1363">
        <v>18</v>
      </c>
      <c r="X1363">
        <v>3</v>
      </c>
      <c r="Y1363">
        <v>1</v>
      </c>
      <c r="Z1363">
        <v>80</v>
      </c>
      <c r="AA1363">
        <v>1</v>
      </c>
      <c r="AB1363">
        <v>8</v>
      </c>
      <c r="AC1363">
        <v>3</v>
      </c>
      <c r="AD1363">
        <v>3</v>
      </c>
      <c r="AE1363">
        <v>7</v>
      </c>
      <c r="AF1363">
        <v>7</v>
      </c>
      <c r="AG1363">
        <v>7</v>
      </c>
      <c r="AH1363">
        <v>7</v>
      </c>
      <c r="AI1363">
        <f>IF(tbl_HRData[[#This Row],[Attrition]] = "Yes",1,0)</f>
        <v>0</v>
      </c>
      <c r="AJ1363">
        <f>IF(tbl_HRData[[#This Row],[Attrition]] = "No",1,0)</f>
        <v>1</v>
      </c>
      <c r="AK1363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363" s="1" t="str">
        <f>IF(tbl_HRData[[#This Row],[MonthlyIncome]]&lt;5000,"Low",
IF(tbl_HRData[[#This Row],[MonthlyIncome]]&lt;10000,"Medium",
IF(tbl_HRData[[#This Row],[MonthlyIncome]]&lt;15000,"Upper Medium","High")))</f>
        <v>Low</v>
      </c>
      <c r="AM1363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364" spans="1:39" x14ac:dyDescent="0.35">
      <c r="A1364" s="1">
        <v>1363</v>
      </c>
      <c r="B1364">
        <v>45</v>
      </c>
      <c r="C1364" s="1" t="s">
        <v>40</v>
      </c>
      <c r="D1364" s="1" t="s">
        <v>41</v>
      </c>
      <c r="E1364">
        <v>1297</v>
      </c>
      <c r="F1364" s="1" t="s">
        <v>42</v>
      </c>
      <c r="G1364">
        <v>1</v>
      </c>
      <c r="H1364">
        <v>4</v>
      </c>
      <c r="I1364" s="1" t="s">
        <v>48</v>
      </c>
      <c r="J1364">
        <v>1922</v>
      </c>
      <c r="K1364">
        <v>2</v>
      </c>
      <c r="L1364" s="1" t="s">
        <v>43</v>
      </c>
      <c r="M1364">
        <v>44</v>
      </c>
      <c r="N1364">
        <v>3</v>
      </c>
      <c r="O1364">
        <v>2</v>
      </c>
      <c r="P1364" s="1" t="s">
        <v>51</v>
      </c>
      <c r="Q1364">
        <v>3</v>
      </c>
      <c r="R1364" s="1" t="s">
        <v>39</v>
      </c>
      <c r="S1364">
        <v>5399</v>
      </c>
      <c r="T1364">
        <v>14511</v>
      </c>
      <c r="U1364">
        <v>4</v>
      </c>
      <c r="V1364" s="1" t="s">
        <v>40</v>
      </c>
      <c r="W1364">
        <v>12</v>
      </c>
      <c r="X1364">
        <v>3</v>
      </c>
      <c r="Y1364">
        <v>3</v>
      </c>
      <c r="Z1364">
        <v>80</v>
      </c>
      <c r="AA1364">
        <v>0</v>
      </c>
      <c r="AB1364">
        <v>12</v>
      </c>
      <c r="AC1364">
        <v>3</v>
      </c>
      <c r="AD1364">
        <v>3</v>
      </c>
      <c r="AE1364">
        <v>4</v>
      </c>
      <c r="AF1364">
        <v>2</v>
      </c>
      <c r="AG1364">
        <v>0</v>
      </c>
      <c r="AH1364">
        <v>3</v>
      </c>
      <c r="AI1364">
        <f>IF(tbl_HRData[[#This Row],[Attrition]] = "Yes",1,0)</f>
        <v>0</v>
      </c>
      <c r="AJ1364">
        <f>IF(tbl_HRData[[#This Row],[Attrition]] = "No",1,0)</f>
        <v>1</v>
      </c>
      <c r="AK1364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1364" s="1" t="str">
        <f>IF(tbl_HRData[[#This Row],[MonthlyIncome]]&lt;5000,"Low",
IF(tbl_HRData[[#This Row],[MonthlyIncome]]&lt;10000,"Medium",
IF(tbl_HRData[[#This Row],[MonthlyIncome]]&lt;15000,"Upper Medium","High")))</f>
        <v>Medium</v>
      </c>
      <c r="AM1364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365" spans="1:39" x14ac:dyDescent="0.35">
      <c r="A1365" s="1">
        <v>1364</v>
      </c>
      <c r="B1365">
        <v>33</v>
      </c>
      <c r="C1365" s="1" t="s">
        <v>40</v>
      </c>
      <c r="D1365" s="1" t="s">
        <v>34</v>
      </c>
      <c r="E1365">
        <v>217</v>
      </c>
      <c r="F1365" s="1" t="s">
        <v>35</v>
      </c>
      <c r="G1365">
        <v>10</v>
      </c>
      <c r="H1365">
        <v>4</v>
      </c>
      <c r="I1365" s="1" t="s">
        <v>56</v>
      </c>
      <c r="J1365">
        <v>1924</v>
      </c>
      <c r="K1365">
        <v>2</v>
      </c>
      <c r="L1365" s="1" t="s">
        <v>43</v>
      </c>
      <c r="M1365">
        <v>43</v>
      </c>
      <c r="N1365">
        <v>3</v>
      </c>
      <c r="O1365">
        <v>2</v>
      </c>
      <c r="P1365" s="1" t="s">
        <v>38</v>
      </c>
      <c r="Q1365">
        <v>3</v>
      </c>
      <c r="R1365" s="1" t="s">
        <v>39</v>
      </c>
      <c r="S1365">
        <v>5487</v>
      </c>
      <c r="T1365">
        <v>10410</v>
      </c>
      <c r="U1365">
        <v>1</v>
      </c>
      <c r="V1365" s="1" t="s">
        <v>40</v>
      </c>
      <c r="W1365">
        <v>14</v>
      </c>
      <c r="X1365">
        <v>3</v>
      </c>
      <c r="Y1365">
        <v>2</v>
      </c>
      <c r="Z1365">
        <v>80</v>
      </c>
      <c r="AA1365">
        <v>0</v>
      </c>
      <c r="AB1365">
        <v>10</v>
      </c>
      <c r="AC1365">
        <v>2</v>
      </c>
      <c r="AD1365">
        <v>2</v>
      </c>
      <c r="AE1365">
        <v>10</v>
      </c>
      <c r="AF1365">
        <v>4</v>
      </c>
      <c r="AG1365">
        <v>0</v>
      </c>
      <c r="AH1365">
        <v>9</v>
      </c>
      <c r="AI1365">
        <f>IF(tbl_HRData[[#This Row],[Attrition]] = "Yes",1,0)</f>
        <v>0</v>
      </c>
      <c r="AJ1365">
        <f>IF(tbl_HRData[[#This Row],[Attrition]] = "No",1,0)</f>
        <v>1</v>
      </c>
      <c r="AK1365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365" s="1" t="str">
        <f>IF(tbl_HRData[[#This Row],[MonthlyIncome]]&lt;5000,"Low",
IF(tbl_HRData[[#This Row],[MonthlyIncome]]&lt;10000,"Medium",
IF(tbl_HRData[[#This Row],[MonthlyIncome]]&lt;15000,"Upper Medium","High")))</f>
        <v>Medium</v>
      </c>
      <c r="AM1365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366" spans="1:39" x14ac:dyDescent="0.35">
      <c r="A1366" s="1">
        <v>1365</v>
      </c>
      <c r="B1366">
        <v>28</v>
      </c>
      <c r="C1366" s="1" t="s">
        <v>40</v>
      </c>
      <c r="D1366" s="1" t="s">
        <v>41</v>
      </c>
      <c r="E1366">
        <v>783</v>
      </c>
      <c r="F1366" s="1" t="s">
        <v>35</v>
      </c>
      <c r="G1366">
        <v>1</v>
      </c>
      <c r="H1366">
        <v>2</v>
      </c>
      <c r="I1366" s="1" t="s">
        <v>36</v>
      </c>
      <c r="J1366">
        <v>1927</v>
      </c>
      <c r="K1366">
        <v>3</v>
      </c>
      <c r="L1366" s="1" t="s">
        <v>43</v>
      </c>
      <c r="M1366">
        <v>42</v>
      </c>
      <c r="N1366">
        <v>2</v>
      </c>
      <c r="O1366">
        <v>2</v>
      </c>
      <c r="P1366" s="1" t="s">
        <v>38</v>
      </c>
      <c r="Q1366">
        <v>4</v>
      </c>
      <c r="R1366" s="1" t="s">
        <v>45</v>
      </c>
      <c r="S1366">
        <v>6834</v>
      </c>
      <c r="T1366">
        <v>19255</v>
      </c>
      <c r="U1366">
        <v>1</v>
      </c>
      <c r="V1366" s="1" t="s">
        <v>33</v>
      </c>
      <c r="W1366">
        <v>12</v>
      </c>
      <c r="X1366">
        <v>3</v>
      </c>
      <c r="Y1366">
        <v>3</v>
      </c>
      <c r="Z1366">
        <v>80</v>
      </c>
      <c r="AA1366">
        <v>1</v>
      </c>
      <c r="AB1366">
        <v>7</v>
      </c>
      <c r="AC1366">
        <v>2</v>
      </c>
      <c r="AD1366">
        <v>3</v>
      </c>
      <c r="AE1366">
        <v>7</v>
      </c>
      <c r="AF1366">
        <v>7</v>
      </c>
      <c r="AG1366">
        <v>0</v>
      </c>
      <c r="AH1366">
        <v>7</v>
      </c>
      <c r="AI1366">
        <f>IF(tbl_HRData[[#This Row],[Attrition]] = "Yes",1,0)</f>
        <v>0</v>
      </c>
      <c r="AJ1366">
        <f>IF(tbl_HRData[[#This Row],[Attrition]] = "No",1,0)</f>
        <v>1</v>
      </c>
      <c r="AK1366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366" s="1" t="str">
        <f>IF(tbl_HRData[[#This Row],[MonthlyIncome]]&lt;5000,"Low",
IF(tbl_HRData[[#This Row],[MonthlyIncome]]&lt;10000,"Medium",
IF(tbl_HRData[[#This Row],[MonthlyIncome]]&lt;15000,"Upper Medium","High")))</f>
        <v>Medium</v>
      </c>
      <c r="AM1366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367" spans="1:39" x14ac:dyDescent="0.35">
      <c r="A1367" s="1">
        <v>1366</v>
      </c>
      <c r="B1367">
        <v>29</v>
      </c>
      <c r="C1367" s="1" t="s">
        <v>33</v>
      </c>
      <c r="D1367" s="1" t="s">
        <v>41</v>
      </c>
      <c r="E1367">
        <v>746</v>
      </c>
      <c r="F1367" s="1" t="s">
        <v>35</v>
      </c>
      <c r="G1367">
        <v>24</v>
      </c>
      <c r="H1367">
        <v>3</v>
      </c>
      <c r="I1367" s="1" t="s">
        <v>57</v>
      </c>
      <c r="J1367">
        <v>1928</v>
      </c>
      <c r="K1367">
        <v>3</v>
      </c>
      <c r="L1367" s="1" t="s">
        <v>43</v>
      </c>
      <c r="M1367">
        <v>45</v>
      </c>
      <c r="N1367">
        <v>4</v>
      </c>
      <c r="O1367">
        <v>1</v>
      </c>
      <c r="P1367" s="1" t="s">
        <v>54</v>
      </c>
      <c r="Q1367">
        <v>1</v>
      </c>
      <c r="R1367" s="1" t="s">
        <v>39</v>
      </c>
      <c r="S1367">
        <v>1091</v>
      </c>
      <c r="T1367">
        <v>10642</v>
      </c>
      <c r="U1367">
        <v>1</v>
      </c>
      <c r="V1367" s="1" t="s">
        <v>40</v>
      </c>
      <c r="W1367">
        <v>17</v>
      </c>
      <c r="X1367">
        <v>3</v>
      </c>
      <c r="Y1367">
        <v>4</v>
      </c>
      <c r="Z1367">
        <v>80</v>
      </c>
      <c r="AA1367">
        <v>0</v>
      </c>
      <c r="AB1367">
        <v>1</v>
      </c>
      <c r="AC1367">
        <v>3</v>
      </c>
      <c r="AD1367">
        <v>3</v>
      </c>
      <c r="AE1367">
        <v>1</v>
      </c>
      <c r="AF1367">
        <v>0</v>
      </c>
      <c r="AG1367">
        <v>0</v>
      </c>
      <c r="AH1367">
        <v>0</v>
      </c>
      <c r="AI1367">
        <f>IF(tbl_HRData[[#This Row],[Attrition]] = "Yes",1,0)</f>
        <v>1</v>
      </c>
      <c r="AJ1367">
        <f>IF(tbl_HRData[[#This Row],[Attrition]] = "No",1,0)</f>
        <v>0</v>
      </c>
      <c r="AK1367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367" s="1" t="str">
        <f>IF(tbl_HRData[[#This Row],[MonthlyIncome]]&lt;5000,"Low",
IF(tbl_HRData[[#This Row],[MonthlyIncome]]&lt;10000,"Medium",
IF(tbl_HRData[[#This Row],[MonthlyIncome]]&lt;15000,"Upper Medium","High")))</f>
        <v>Low</v>
      </c>
      <c r="AM1367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368" spans="1:39" x14ac:dyDescent="0.35">
      <c r="A1368" s="1">
        <v>1367</v>
      </c>
      <c r="B1368">
        <v>39</v>
      </c>
      <c r="C1368" s="1" t="s">
        <v>40</v>
      </c>
      <c r="D1368" s="1" t="s">
        <v>52</v>
      </c>
      <c r="E1368">
        <v>1251</v>
      </c>
      <c r="F1368" s="1" t="s">
        <v>35</v>
      </c>
      <c r="G1368">
        <v>21</v>
      </c>
      <c r="H1368">
        <v>4</v>
      </c>
      <c r="I1368" s="1" t="s">
        <v>36</v>
      </c>
      <c r="J1368">
        <v>1929</v>
      </c>
      <c r="K1368">
        <v>1</v>
      </c>
      <c r="L1368" s="1" t="s">
        <v>37</v>
      </c>
      <c r="M1368">
        <v>32</v>
      </c>
      <c r="N1368">
        <v>1</v>
      </c>
      <c r="O1368">
        <v>2</v>
      </c>
      <c r="P1368" s="1" t="s">
        <v>38</v>
      </c>
      <c r="Q1368">
        <v>3</v>
      </c>
      <c r="R1368" s="1" t="s">
        <v>45</v>
      </c>
      <c r="S1368">
        <v>5736</v>
      </c>
      <c r="T1368">
        <v>3987</v>
      </c>
      <c r="U1368">
        <v>6</v>
      </c>
      <c r="V1368" s="1" t="s">
        <v>40</v>
      </c>
      <c r="W1368">
        <v>19</v>
      </c>
      <c r="X1368">
        <v>3</v>
      </c>
      <c r="Y1368">
        <v>3</v>
      </c>
      <c r="Z1368">
        <v>80</v>
      </c>
      <c r="AA1368">
        <v>1</v>
      </c>
      <c r="AB1368">
        <v>10</v>
      </c>
      <c r="AC1368">
        <v>1</v>
      </c>
      <c r="AD1368">
        <v>3</v>
      </c>
      <c r="AE1368">
        <v>3</v>
      </c>
      <c r="AF1368">
        <v>2</v>
      </c>
      <c r="AG1368">
        <v>1</v>
      </c>
      <c r="AH1368">
        <v>2</v>
      </c>
      <c r="AI1368">
        <f>IF(tbl_HRData[[#This Row],[Attrition]] = "Yes",1,0)</f>
        <v>0</v>
      </c>
      <c r="AJ1368">
        <f>IF(tbl_HRData[[#This Row],[Attrition]] = "No",1,0)</f>
        <v>1</v>
      </c>
      <c r="AK1368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368" s="1" t="str">
        <f>IF(tbl_HRData[[#This Row],[MonthlyIncome]]&lt;5000,"Low",
IF(tbl_HRData[[#This Row],[MonthlyIncome]]&lt;10000,"Medium",
IF(tbl_HRData[[#This Row],[MonthlyIncome]]&lt;15000,"Upper Medium","High")))</f>
        <v>Medium</v>
      </c>
      <c r="AM1368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369" spans="1:39" x14ac:dyDescent="0.35">
      <c r="A1369" s="1">
        <v>1368</v>
      </c>
      <c r="B1369">
        <v>27</v>
      </c>
      <c r="C1369" s="1" t="s">
        <v>40</v>
      </c>
      <c r="D1369" s="1" t="s">
        <v>34</v>
      </c>
      <c r="E1369">
        <v>1354</v>
      </c>
      <c r="F1369" s="1" t="s">
        <v>42</v>
      </c>
      <c r="G1369">
        <v>2</v>
      </c>
      <c r="H1369">
        <v>4</v>
      </c>
      <c r="I1369" s="1" t="s">
        <v>57</v>
      </c>
      <c r="J1369">
        <v>1931</v>
      </c>
      <c r="K1369">
        <v>2</v>
      </c>
      <c r="L1369" s="1" t="s">
        <v>43</v>
      </c>
      <c r="M1369">
        <v>41</v>
      </c>
      <c r="N1369">
        <v>3</v>
      </c>
      <c r="O1369">
        <v>1</v>
      </c>
      <c r="P1369" s="1" t="s">
        <v>44</v>
      </c>
      <c r="Q1369">
        <v>2</v>
      </c>
      <c r="R1369" s="1" t="s">
        <v>45</v>
      </c>
      <c r="S1369">
        <v>2226</v>
      </c>
      <c r="T1369">
        <v>6073</v>
      </c>
      <c r="U1369">
        <v>1</v>
      </c>
      <c r="V1369" s="1" t="s">
        <v>40</v>
      </c>
      <c r="W1369">
        <v>11</v>
      </c>
      <c r="X1369">
        <v>3</v>
      </c>
      <c r="Y1369">
        <v>3</v>
      </c>
      <c r="Z1369">
        <v>80</v>
      </c>
      <c r="AA1369">
        <v>1</v>
      </c>
      <c r="AB1369">
        <v>6</v>
      </c>
      <c r="AC1369">
        <v>3</v>
      </c>
      <c r="AD1369">
        <v>2</v>
      </c>
      <c r="AE1369">
        <v>5</v>
      </c>
      <c r="AF1369">
        <v>3</v>
      </c>
      <c r="AG1369">
        <v>1</v>
      </c>
      <c r="AH1369">
        <v>2</v>
      </c>
      <c r="AI1369">
        <f>IF(tbl_HRData[[#This Row],[Attrition]] = "Yes",1,0)</f>
        <v>0</v>
      </c>
      <c r="AJ1369">
        <f>IF(tbl_HRData[[#This Row],[Attrition]] = "No",1,0)</f>
        <v>1</v>
      </c>
      <c r="AK1369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369" s="1" t="str">
        <f>IF(tbl_HRData[[#This Row],[MonthlyIncome]]&lt;5000,"Low",
IF(tbl_HRData[[#This Row],[MonthlyIncome]]&lt;10000,"Medium",
IF(tbl_HRData[[#This Row],[MonthlyIncome]]&lt;15000,"Upper Medium","High")))</f>
        <v>Low</v>
      </c>
      <c r="AM1369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370" spans="1:39" x14ac:dyDescent="0.35">
      <c r="A1370" s="1">
        <v>1369</v>
      </c>
      <c r="B1370">
        <v>34</v>
      </c>
      <c r="C1370" s="1" t="s">
        <v>40</v>
      </c>
      <c r="D1370" s="1" t="s">
        <v>41</v>
      </c>
      <c r="E1370">
        <v>735</v>
      </c>
      <c r="F1370" s="1" t="s">
        <v>42</v>
      </c>
      <c r="G1370">
        <v>22</v>
      </c>
      <c r="H1370">
        <v>4</v>
      </c>
      <c r="I1370" s="1" t="s">
        <v>46</v>
      </c>
      <c r="J1370">
        <v>1932</v>
      </c>
      <c r="K1370">
        <v>3</v>
      </c>
      <c r="L1370" s="1" t="s">
        <v>43</v>
      </c>
      <c r="M1370">
        <v>86</v>
      </c>
      <c r="N1370">
        <v>2</v>
      </c>
      <c r="O1370">
        <v>2</v>
      </c>
      <c r="P1370" s="1" t="s">
        <v>44</v>
      </c>
      <c r="Q1370">
        <v>4</v>
      </c>
      <c r="R1370" s="1" t="s">
        <v>45</v>
      </c>
      <c r="S1370">
        <v>5747</v>
      </c>
      <c r="T1370">
        <v>26496</v>
      </c>
      <c r="U1370">
        <v>1</v>
      </c>
      <c r="V1370" s="1" t="s">
        <v>33</v>
      </c>
      <c r="W1370">
        <v>15</v>
      </c>
      <c r="X1370">
        <v>3</v>
      </c>
      <c r="Y1370">
        <v>2</v>
      </c>
      <c r="Z1370">
        <v>80</v>
      </c>
      <c r="AA1370">
        <v>0</v>
      </c>
      <c r="AB1370">
        <v>16</v>
      </c>
      <c r="AC1370">
        <v>3</v>
      </c>
      <c r="AD1370">
        <v>3</v>
      </c>
      <c r="AE1370">
        <v>15</v>
      </c>
      <c r="AF1370">
        <v>10</v>
      </c>
      <c r="AG1370">
        <v>6</v>
      </c>
      <c r="AH1370">
        <v>11</v>
      </c>
      <c r="AI1370">
        <f>IF(tbl_HRData[[#This Row],[Attrition]] = "Yes",1,0)</f>
        <v>0</v>
      </c>
      <c r="AJ1370">
        <f>IF(tbl_HRData[[#This Row],[Attrition]] = "No",1,0)</f>
        <v>1</v>
      </c>
      <c r="AK1370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370" s="1" t="str">
        <f>IF(tbl_HRData[[#This Row],[MonthlyIncome]]&lt;5000,"Low",
IF(tbl_HRData[[#This Row],[MonthlyIncome]]&lt;10000,"Medium",
IF(tbl_HRData[[#This Row],[MonthlyIncome]]&lt;15000,"Upper Medium","High")))</f>
        <v>Medium</v>
      </c>
      <c r="AM1370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1371" spans="1:39" x14ac:dyDescent="0.35">
      <c r="A1371" s="1">
        <v>1370</v>
      </c>
      <c r="B1371">
        <v>28</v>
      </c>
      <c r="C1371" s="1" t="s">
        <v>33</v>
      </c>
      <c r="D1371" s="1" t="s">
        <v>34</v>
      </c>
      <c r="E1371">
        <v>1475</v>
      </c>
      <c r="F1371" s="1" t="s">
        <v>35</v>
      </c>
      <c r="G1371">
        <v>13</v>
      </c>
      <c r="H1371">
        <v>2</v>
      </c>
      <c r="I1371" s="1" t="s">
        <v>56</v>
      </c>
      <c r="J1371">
        <v>1933</v>
      </c>
      <c r="K1371">
        <v>4</v>
      </c>
      <c r="L1371" s="1" t="s">
        <v>37</v>
      </c>
      <c r="M1371">
        <v>84</v>
      </c>
      <c r="N1371">
        <v>3</v>
      </c>
      <c r="O1371">
        <v>2</v>
      </c>
      <c r="P1371" s="1" t="s">
        <v>38</v>
      </c>
      <c r="Q1371">
        <v>3</v>
      </c>
      <c r="R1371" s="1" t="s">
        <v>39</v>
      </c>
      <c r="S1371">
        <v>9854</v>
      </c>
      <c r="T1371">
        <v>23352</v>
      </c>
      <c r="U1371">
        <v>3</v>
      </c>
      <c r="V1371" s="1" t="s">
        <v>33</v>
      </c>
      <c r="W1371">
        <v>11</v>
      </c>
      <c r="X1371">
        <v>3</v>
      </c>
      <c r="Y1371">
        <v>4</v>
      </c>
      <c r="Z1371">
        <v>80</v>
      </c>
      <c r="AA1371">
        <v>0</v>
      </c>
      <c r="AB1371">
        <v>6</v>
      </c>
      <c r="AC1371">
        <v>0</v>
      </c>
      <c r="AD1371">
        <v>3</v>
      </c>
      <c r="AE1371">
        <v>2</v>
      </c>
      <c r="AF1371">
        <v>0</v>
      </c>
      <c r="AG1371">
        <v>2</v>
      </c>
      <c r="AH1371">
        <v>2</v>
      </c>
      <c r="AI1371">
        <f>IF(tbl_HRData[[#This Row],[Attrition]] = "Yes",1,0)</f>
        <v>1</v>
      </c>
      <c r="AJ1371">
        <f>IF(tbl_HRData[[#This Row],[Attrition]] = "No",1,0)</f>
        <v>0</v>
      </c>
      <c r="AK1371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371" s="1" t="str">
        <f>IF(tbl_HRData[[#This Row],[MonthlyIncome]]&lt;5000,"Low",
IF(tbl_HRData[[#This Row],[MonthlyIncome]]&lt;10000,"Medium",
IF(tbl_HRData[[#This Row],[MonthlyIncome]]&lt;15000,"Upper Medium","High")))</f>
        <v>Medium</v>
      </c>
      <c r="AM1371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372" spans="1:39" x14ac:dyDescent="0.35">
      <c r="A1372" s="1">
        <v>1371</v>
      </c>
      <c r="B1372">
        <v>47</v>
      </c>
      <c r="C1372" s="1" t="s">
        <v>40</v>
      </c>
      <c r="D1372" s="1" t="s">
        <v>52</v>
      </c>
      <c r="E1372">
        <v>1169</v>
      </c>
      <c r="F1372" s="1" t="s">
        <v>42</v>
      </c>
      <c r="G1372">
        <v>14</v>
      </c>
      <c r="H1372">
        <v>4</v>
      </c>
      <c r="I1372" s="1" t="s">
        <v>57</v>
      </c>
      <c r="J1372">
        <v>1934</v>
      </c>
      <c r="K1372">
        <v>3</v>
      </c>
      <c r="L1372" s="1" t="s">
        <v>43</v>
      </c>
      <c r="M1372">
        <v>64</v>
      </c>
      <c r="N1372">
        <v>3</v>
      </c>
      <c r="O1372">
        <v>2</v>
      </c>
      <c r="P1372" s="1" t="s">
        <v>44</v>
      </c>
      <c r="Q1372">
        <v>2</v>
      </c>
      <c r="R1372" s="1" t="s">
        <v>45</v>
      </c>
      <c r="S1372">
        <v>5467</v>
      </c>
      <c r="T1372">
        <v>2125</v>
      </c>
      <c r="U1372">
        <v>8</v>
      </c>
      <c r="V1372" s="1" t="s">
        <v>40</v>
      </c>
      <c r="W1372">
        <v>18</v>
      </c>
      <c r="X1372">
        <v>3</v>
      </c>
      <c r="Y1372">
        <v>3</v>
      </c>
      <c r="Z1372">
        <v>80</v>
      </c>
      <c r="AA1372">
        <v>1</v>
      </c>
      <c r="AB1372">
        <v>16</v>
      </c>
      <c r="AC1372">
        <v>4</v>
      </c>
      <c r="AD1372">
        <v>4</v>
      </c>
      <c r="AE1372">
        <v>8</v>
      </c>
      <c r="AF1372">
        <v>7</v>
      </c>
      <c r="AG1372">
        <v>1</v>
      </c>
      <c r="AH1372">
        <v>7</v>
      </c>
      <c r="AI1372">
        <f>IF(tbl_HRData[[#This Row],[Attrition]] = "Yes",1,0)</f>
        <v>0</v>
      </c>
      <c r="AJ1372">
        <f>IF(tbl_HRData[[#This Row],[Attrition]] = "No",1,0)</f>
        <v>1</v>
      </c>
      <c r="AK1372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1372" s="1" t="str">
        <f>IF(tbl_HRData[[#This Row],[MonthlyIncome]]&lt;5000,"Low",
IF(tbl_HRData[[#This Row],[MonthlyIncome]]&lt;10000,"Medium",
IF(tbl_HRData[[#This Row],[MonthlyIncome]]&lt;15000,"Upper Medium","High")))</f>
        <v>Medium</v>
      </c>
      <c r="AM1372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373" spans="1:39" x14ac:dyDescent="0.35">
      <c r="A1373" s="1">
        <v>1372</v>
      </c>
      <c r="B1373">
        <v>56</v>
      </c>
      <c r="C1373" s="1" t="s">
        <v>40</v>
      </c>
      <c r="D1373" s="1" t="s">
        <v>34</v>
      </c>
      <c r="E1373">
        <v>1443</v>
      </c>
      <c r="F1373" s="1" t="s">
        <v>35</v>
      </c>
      <c r="G1373">
        <v>11</v>
      </c>
      <c r="H1373">
        <v>5</v>
      </c>
      <c r="I1373" s="1" t="s">
        <v>56</v>
      </c>
      <c r="J1373">
        <v>1935</v>
      </c>
      <c r="K1373">
        <v>4</v>
      </c>
      <c r="L1373" s="1" t="s">
        <v>37</v>
      </c>
      <c r="M1373">
        <v>89</v>
      </c>
      <c r="N1373">
        <v>2</v>
      </c>
      <c r="O1373">
        <v>2</v>
      </c>
      <c r="P1373" s="1" t="s">
        <v>38</v>
      </c>
      <c r="Q1373">
        <v>1</v>
      </c>
      <c r="R1373" s="1" t="s">
        <v>45</v>
      </c>
      <c r="S1373">
        <v>5380</v>
      </c>
      <c r="T1373">
        <v>20328</v>
      </c>
      <c r="U1373">
        <v>4</v>
      </c>
      <c r="V1373" s="1" t="s">
        <v>40</v>
      </c>
      <c r="W1373">
        <v>16</v>
      </c>
      <c r="X1373">
        <v>3</v>
      </c>
      <c r="Y1373">
        <v>3</v>
      </c>
      <c r="Z1373">
        <v>80</v>
      </c>
      <c r="AA1373">
        <v>1</v>
      </c>
      <c r="AB1373">
        <v>6</v>
      </c>
      <c r="AC1373">
        <v>3</v>
      </c>
      <c r="AD1373">
        <v>3</v>
      </c>
      <c r="AE1373">
        <v>0</v>
      </c>
      <c r="AF1373">
        <v>0</v>
      </c>
      <c r="AG1373">
        <v>0</v>
      </c>
      <c r="AH1373">
        <v>0</v>
      </c>
      <c r="AI1373">
        <f>IF(tbl_HRData[[#This Row],[Attrition]] = "Yes",1,0)</f>
        <v>0</v>
      </c>
      <c r="AJ1373">
        <f>IF(tbl_HRData[[#This Row],[Attrition]] = "No",1,0)</f>
        <v>1</v>
      </c>
      <c r="AK1373" t="str">
        <f>IF(tbl_HRData[[#This Row],[Age]] &lt; 25, "Under 25", IF(tbl_HRData[[#This Row],[Age]] &lt;= 34, "25-34", IF(tbl_HRData[[#This Row],[Age]] &lt;= 44, "35-44", IF(tbl_HRData[[#This Row],[Age]] &lt;= 54, "45-54", "55+"))))</f>
        <v>55+</v>
      </c>
      <c r="AL1373" s="1" t="str">
        <f>IF(tbl_HRData[[#This Row],[MonthlyIncome]]&lt;5000,"Low",
IF(tbl_HRData[[#This Row],[MonthlyIncome]]&lt;10000,"Medium",
IF(tbl_HRData[[#This Row],[MonthlyIncome]]&lt;15000,"Upper Medium","High")))</f>
        <v>Medium</v>
      </c>
      <c r="AM1373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374" spans="1:39" x14ac:dyDescent="0.35">
      <c r="A1374" s="1">
        <v>1373</v>
      </c>
      <c r="B1374">
        <v>39</v>
      </c>
      <c r="C1374" s="1" t="s">
        <v>40</v>
      </c>
      <c r="D1374" s="1" t="s">
        <v>34</v>
      </c>
      <c r="E1374">
        <v>867</v>
      </c>
      <c r="F1374" s="1" t="s">
        <v>42</v>
      </c>
      <c r="G1374">
        <v>9</v>
      </c>
      <c r="H1374">
        <v>2</v>
      </c>
      <c r="I1374" s="1" t="s">
        <v>48</v>
      </c>
      <c r="J1374">
        <v>1936</v>
      </c>
      <c r="K1374">
        <v>1</v>
      </c>
      <c r="L1374" s="1" t="s">
        <v>43</v>
      </c>
      <c r="M1374">
        <v>87</v>
      </c>
      <c r="N1374">
        <v>3</v>
      </c>
      <c r="O1374">
        <v>2</v>
      </c>
      <c r="P1374" s="1" t="s">
        <v>50</v>
      </c>
      <c r="Q1374">
        <v>1</v>
      </c>
      <c r="R1374" s="1" t="s">
        <v>45</v>
      </c>
      <c r="S1374">
        <v>5151</v>
      </c>
      <c r="T1374">
        <v>12315</v>
      </c>
      <c r="U1374">
        <v>1</v>
      </c>
      <c r="V1374" s="1" t="s">
        <v>40</v>
      </c>
      <c r="W1374">
        <v>25</v>
      </c>
      <c r="X1374">
        <v>4</v>
      </c>
      <c r="Y1374">
        <v>4</v>
      </c>
      <c r="Z1374">
        <v>80</v>
      </c>
      <c r="AA1374">
        <v>1</v>
      </c>
      <c r="AB1374">
        <v>10</v>
      </c>
      <c r="AC1374">
        <v>3</v>
      </c>
      <c r="AD1374">
        <v>3</v>
      </c>
      <c r="AE1374">
        <v>10</v>
      </c>
      <c r="AF1374">
        <v>0</v>
      </c>
      <c r="AG1374">
        <v>7</v>
      </c>
      <c r="AH1374">
        <v>9</v>
      </c>
      <c r="AI1374">
        <f>IF(tbl_HRData[[#This Row],[Attrition]] = "Yes",1,0)</f>
        <v>0</v>
      </c>
      <c r="AJ1374">
        <f>IF(tbl_HRData[[#This Row],[Attrition]] = "No",1,0)</f>
        <v>1</v>
      </c>
      <c r="AK1374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374" s="1" t="str">
        <f>IF(tbl_HRData[[#This Row],[MonthlyIncome]]&lt;5000,"Low",
IF(tbl_HRData[[#This Row],[MonthlyIncome]]&lt;10000,"Medium",
IF(tbl_HRData[[#This Row],[MonthlyIncome]]&lt;15000,"Upper Medium","High")))</f>
        <v>Medium</v>
      </c>
      <c r="AM1374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375" spans="1:39" x14ac:dyDescent="0.35">
      <c r="A1375" s="1">
        <v>1374</v>
      </c>
      <c r="B1375">
        <v>38</v>
      </c>
      <c r="C1375" s="1" t="s">
        <v>40</v>
      </c>
      <c r="D1375" s="1" t="s">
        <v>41</v>
      </c>
      <c r="E1375">
        <v>1394</v>
      </c>
      <c r="F1375" s="1" t="s">
        <v>42</v>
      </c>
      <c r="G1375">
        <v>8</v>
      </c>
      <c r="H1375">
        <v>3</v>
      </c>
      <c r="I1375" s="1" t="s">
        <v>48</v>
      </c>
      <c r="J1375">
        <v>1937</v>
      </c>
      <c r="K1375">
        <v>4</v>
      </c>
      <c r="L1375" s="1" t="s">
        <v>37</v>
      </c>
      <c r="M1375">
        <v>58</v>
      </c>
      <c r="N1375">
        <v>2</v>
      </c>
      <c r="O1375">
        <v>2</v>
      </c>
      <c r="P1375" s="1" t="s">
        <v>44</v>
      </c>
      <c r="Q1375">
        <v>2</v>
      </c>
      <c r="R1375" s="1" t="s">
        <v>49</v>
      </c>
      <c r="S1375">
        <v>2133</v>
      </c>
      <c r="T1375">
        <v>18115</v>
      </c>
      <c r="U1375">
        <v>1</v>
      </c>
      <c r="V1375" s="1" t="s">
        <v>33</v>
      </c>
      <c r="W1375">
        <v>16</v>
      </c>
      <c r="X1375">
        <v>3</v>
      </c>
      <c r="Y1375">
        <v>3</v>
      </c>
      <c r="Z1375">
        <v>80</v>
      </c>
      <c r="AA1375">
        <v>1</v>
      </c>
      <c r="AB1375">
        <v>20</v>
      </c>
      <c r="AC1375">
        <v>3</v>
      </c>
      <c r="AD1375">
        <v>3</v>
      </c>
      <c r="AE1375">
        <v>20</v>
      </c>
      <c r="AF1375">
        <v>11</v>
      </c>
      <c r="AG1375">
        <v>0</v>
      </c>
      <c r="AH1375">
        <v>7</v>
      </c>
      <c r="AI1375">
        <f>IF(tbl_HRData[[#This Row],[Attrition]] = "Yes",1,0)</f>
        <v>0</v>
      </c>
      <c r="AJ1375">
        <f>IF(tbl_HRData[[#This Row],[Attrition]] = "No",1,0)</f>
        <v>1</v>
      </c>
      <c r="AK1375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375" s="1" t="str">
        <f>IF(tbl_HRData[[#This Row],[MonthlyIncome]]&lt;5000,"Low",
IF(tbl_HRData[[#This Row],[MonthlyIncome]]&lt;10000,"Medium",
IF(tbl_HRData[[#This Row],[MonthlyIncome]]&lt;15000,"Upper Medium","High")))</f>
        <v>Low</v>
      </c>
      <c r="AM1375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1376" spans="1:39" x14ac:dyDescent="0.35">
      <c r="A1376" s="1">
        <v>1375</v>
      </c>
      <c r="B1376">
        <v>58</v>
      </c>
      <c r="C1376" s="1" t="s">
        <v>40</v>
      </c>
      <c r="D1376" s="1" t="s">
        <v>34</v>
      </c>
      <c r="E1376">
        <v>605</v>
      </c>
      <c r="F1376" s="1" t="s">
        <v>35</v>
      </c>
      <c r="G1376">
        <v>21</v>
      </c>
      <c r="H1376">
        <v>3</v>
      </c>
      <c r="I1376" s="1" t="s">
        <v>36</v>
      </c>
      <c r="J1376">
        <v>1938</v>
      </c>
      <c r="K1376">
        <v>4</v>
      </c>
      <c r="L1376" s="1" t="s">
        <v>37</v>
      </c>
      <c r="M1376">
        <v>72</v>
      </c>
      <c r="N1376">
        <v>3</v>
      </c>
      <c r="O1376">
        <v>4</v>
      </c>
      <c r="P1376" s="1" t="s">
        <v>53</v>
      </c>
      <c r="Q1376">
        <v>4</v>
      </c>
      <c r="R1376" s="1" t="s">
        <v>45</v>
      </c>
      <c r="S1376">
        <v>17875</v>
      </c>
      <c r="T1376">
        <v>11761</v>
      </c>
      <c r="U1376">
        <v>4</v>
      </c>
      <c r="V1376" s="1" t="s">
        <v>33</v>
      </c>
      <c r="W1376">
        <v>13</v>
      </c>
      <c r="X1376">
        <v>3</v>
      </c>
      <c r="Y1376">
        <v>3</v>
      </c>
      <c r="Z1376">
        <v>80</v>
      </c>
      <c r="AA1376">
        <v>1</v>
      </c>
      <c r="AB1376">
        <v>29</v>
      </c>
      <c r="AC1376">
        <v>2</v>
      </c>
      <c r="AD1376">
        <v>2</v>
      </c>
      <c r="AE1376">
        <v>1</v>
      </c>
      <c r="AF1376">
        <v>0</v>
      </c>
      <c r="AG1376">
        <v>0</v>
      </c>
      <c r="AH1376">
        <v>0</v>
      </c>
      <c r="AI1376">
        <f>IF(tbl_HRData[[#This Row],[Attrition]] = "Yes",1,0)</f>
        <v>0</v>
      </c>
      <c r="AJ1376">
        <f>IF(tbl_HRData[[#This Row],[Attrition]] = "No",1,0)</f>
        <v>1</v>
      </c>
      <c r="AK1376" t="str">
        <f>IF(tbl_HRData[[#This Row],[Age]] &lt; 25, "Under 25", IF(tbl_HRData[[#This Row],[Age]] &lt;= 34, "25-34", IF(tbl_HRData[[#This Row],[Age]] &lt;= 44, "35-44", IF(tbl_HRData[[#This Row],[Age]] &lt;= 54, "45-54", "55+"))))</f>
        <v>55+</v>
      </c>
      <c r="AL1376" s="1" t="str">
        <f>IF(tbl_HRData[[#This Row],[MonthlyIncome]]&lt;5000,"Low",
IF(tbl_HRData[[#This Row],[MonthlyIncome]]&lt;10000,"Medium",
IF(tbl_HRData[[#This Row],[MonthlyIncome]]&lt;15000,"Upper Medium","High")))</f>
        <v>High</v>
      </c>
      <c r="AM1376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377" spans="1:39" x14ac:dyDescent="0.35">
      <c r="A1377" s="1">
        <v>1376</v>
      </c>
      <c r="B1377">
        <v>32</v>
      </c>
      <c r="C1377" s="1" t="s">
        <v>33</v>
      </c>
      <c r="D1377" s="1" t="s">
        <v>41</v>
      </c>
      <c r="E1377">
        <v>238</v>
      </c>
      <c r="F1377" s="1" t="s">
        <v>42</v>
      </c>
      <c r="G1377">
        <v>5</v>
      </c>
      <c r="H1377">
        <v>2</v>
      </c>
      <c r="I1377" s="1" t="s">
        <v>36</v>
      </c>
      <c r="J1377">
        <v>1939</v>
      </c>
      <c r="K1377">
        <v>1</v>
      </c>
      <c r="L1377" s="1" t="s">
        <v>37</v>
      </c>
      <c r="M1377">
        <v>47</v>
      </c>
      <c r="N1377">
        <v>4</v>
      </c>
      <c r="O1377">
        <v>1</v>
      </c>
      <c r="P1377" s="1" t="s">
        <v>44</v>
      </c>
      <c r="Q1377">
        <v>3</v>
      </c>
      <c r="R1377" s="1" t="s">
        <v>39</v>
      </c>
      <c r="S1377">
        <v>2432</v>
      </c>
      <c r="T1377">
        <v>15318</v>
      </c>
      <c r="U1377">
        <v>3</v>
      </c>
      <c r="V1377" s="1" t="s">
        <v>33</v>
      </c>
      <c r="W1377">
        <v>14</v>
      </c>
      <c r="X1377">
        <v>3</v>
      </c>
      <c r="Y1377">
        <v>1</v>
      </c>
      <c r="Z1377">
        <v>80</v>
      </c>
      <c r="AA1377">
        <v>0</v>
      </c>
      <c r="AB1377">
        <v>8</v>
      </c>
      <c r="AC1377">
        <v>2</v>
      </c>
      <c r="AD1377">
        <v>3</v>
      </c>
      <c r="AE1377">
        <v>4</v>
      </c>
      <c r="AF1377">
        <v>1</v>
      </c>
      <c r="AG1377">
        <v>0</v>
      </c>
      <c r="AH1377">
        <v>3</v>
      </c>
      <c r="AI1377">
        <f>IF(tbl_HRData[[#This Row],[Attrition]] = "Yes",1,0)</f>
        <v>1</v>
      </c>
      <c r="AJ1377">
        <f>IF(tbl_HRData[[#This Row],[Attrition]] = "No",1,0)</f>
        <v>0</v>
      </c>
      <c r="AK1377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377" s="1" t="str">
        <f>IF(tbl_HRData[[#This Row],[MonthlyIncome]]&lt;5000,"Low",
IF(tbl_HRData[[#This Row],[MonthlyIncome]]&lt;10000,"Medium",
IF(tbl_HRData[[#This Row],[MonthlyIncome]]&lt;15000,"Upper Medium","High")))</f>
        <v>Low</v>
      </c>
      <c r="AM1377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378" spans="1:39" x14ac:dyDescent="0.35">
      <c r="A1378" s="1">
        <v>1377</v>
      </c>
      <c r="B1378">
        <v>38</v>
      </c>
      <c r="C1378" s="1" t="s">
        <v>40</v>
      </c>
      <c r="D1378" s="1" t="s">
        <v>34</v>
      </c>
      <c r="E1378">
        <v>1206</v>
      </c>
      <c r="F1378" s="1" t="s">
        <v>42</v>
      </c>
      <c r="G1378">
        <v>9</v>
      </c>
      <c r="H1378">
        <v>2</v>
      </c>
      <c r="I1378" s="1" t="s">
        <v>36</v>
      </c>
      <c r="J1378">
        <v>1940</v>
      </c>
      <c r="K1378">
        <v>2</v>
      </c>
      <c r="L1378" s="1" t="s">
        <v>43</v>
      </c>
      <c r="M1378">
        <v>71</v>
      </c>
      <c r="N1378">
        <v>3</v>
      </c>
      <c r="O1378">
        <v>1</v>
      </c>
      <c r="P1378" s="1" t="s">
        <v>44</v>
      </c>
      <c r="Q1378">
        <v>4</v>
      </c>
      <c r="R1378" s="1" t="s">
        <v>49</v>
      </c>
      <c r="S1378">
        <v>4771</v>
      </c>
      <c r="T1378">
        <v>14293</v>
      </c>
      <c r="U1378">
        <v>2</v>
      </c>
      <c r="V1378" s="1" t="s">
        <v>40</v>
      </c>
      <c r="W1378">
        <v>19</v>
      </c>
      <c r="X1378">
        <v>3</v>
      </c>
      <c r="Y1378">
        <v>4</v>
      </c>
      <c r="Z1378">
        <v>80</v>
      </c>
      <c r="AA1378">
        <v>2</v>
      </c>
      <c r="AB1378">
        <v>10</v>
      </c>
      <c r="AC1378">
        <v>0</v>
      </c>
      <c r="AD1378">
        <v>4</v>
      </c>
      <c r="AE1378">
        <v>5</v>
      </c>
      <c r="AF1378">
        <v>2</v>
      </c>
      <c r="AG1378">
        <v>0</v>
      </c>
      <c r="AH1378">
        <v>3</v>
      </c>
      <c r="AI1378">
        <f>IF(tbl_HRData[[#This Row],[Attrition]] = "Yes",1,0)</f>
        <v>0</v>
      </c>
      <c r="AJ1378">
        <f>IF(tbl_HRData[[#This Row],[Attrition]] = "No",1,0)</f>
        <v>1</v>
      </c>
      <c r="AK1378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378" s="1" t="str">
        <f>IF(tbl_HRData[[#This Row],[MonthlyIncome]]&lt;5000,"Low",
IF(tbl_HRData[[#This Row],[MonthlyIncome]]&lt;10000,"Medium",
IF(tbl_HRData[[#This Row],[MonthlyIncome]]&lt;15000,"Upper Medium","High")))</f>
        <v>Low</v>
      </c>
      <c r="AM1378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379" spans="1:39" x14ac:dyDescent="0.35">
      <c r="A1379" s="1">
        <v>1378</v>
      </c>
      <c r="B1379">
        <v>49</v>
      </c>
      <c r="C1379" s="1" t="s">
        <v>40</v>
      </c>
      <c r="D1379" s="1" t="s">
        <v>41</v>
      </c>
      <c r="E1379">
        <v>1064</v>
      </c>
      <c r="F1379" s="1" t="s">
        <v>42</v>
      </c>
      <c r="G1379">
        <v>2</v>
      </c>
      <c r="H1379">
        <v>1</v>
      </c>
      <c r="I1379" s="1" t="s">
        <v>36</v>
      </c>
      <c r="J1379">
        <v>1941</v>
      </c>
      <c r="K1379">
        <v>2</v>
      </c>
      <c r="L1379" s="1" t="s">
        <v>43</v>
      </c>
      <c r="M1379">
        <v>42</v>
      </c>
      <c r="N1379">
        <v>3</v>
      </c>
      <c r="O1379">
        <v>5</v>
      </c>
      <c r="P1379" s="1" t="s">
        <v>55</v>
      </c>
      <c r="Q1379">
        <v>4</v>
      </c>
      <c r="R1379" s="1" t="s">
        <v>45</v>
      </c>
      <c r="S1379">
        <v>19161</v>
      </c>
      <c r="T1379">
        <v>13738</v>
      </c>
      <c r="U1379">
        <v>3</v>
      </c>
      <c r="V1379" s="1" t="s">
        <v>40</v>
      </c>
      <c r="W1379">
        <v>15</v>
      </c>
      <c r="X1379">
        <v>3</v>
      </c>
      <c r="Y1379">
        <v>4</v>
      </c>
      <c r="Z1379">
        <v>80</v>
      </c>
      <c r="AA1379">
        <v>0</v>
      </c>
      <c r="AB1379">
        <v>28</v>
      </c>
      <c r="AC1379">
        <v>3</v>
      </c>
      <c r="AD1379">
        <v>3</v>
      </c>
      <c r="AE1379">
        <v>5</v>
      </c>
      <c r="AF1379">
        <v>4</v>
      </c>
      <c r="AG1379">
        <v>4</v>
      </c>
      <c r="AH1379">
        <v>3</v>
      </c>
      <c r="AI1379">
        <f>IF(tbl_HRData[[#This Row],[Attrition]] = "Yes",1,0)</f>
        <v>0</v>
      </c>
      <c r="AJ1379">
        <f>IF(tbl_HRData[[#This Row],[Attrition]] = "No",1,0)</f>
        <v>1</v>
      </c>
      <c r="AK1379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1379" s="1" t="str">
        <f>IF(tbl_HRData[[#This Row],[MonthlyIncome]]&lt;5000,"Low",
IF(tbl_HRData[[#This Row],[MonthlyIncome]]&lt;10000,"Medium",
IF(tbl_HRData[[#This Row],[MonthlyIncome]]&lt;15000,"Upper Medium","High")))</f>
        <v>High</v>
      </c>
      <c r="AM1379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380" spans="1:39" x14ac:dyDescent="0.35">
      <c r="A1380" s="1">
        <v>1379</v>
      </c>
      <c r="B1380">
        <v>42</v>
      </c>
      <c r="C1380" s="1" t="s">
        <v>40</v>
      </c>
      <c r="D1380" s="1" t="s">
        <v>34</v>
      </c>
      <c r="E1380">
        <v>419</v>
      </c>
      <c r="F1380" s="1" t="s">
        <v>35</v>
      </c>
      <c r="G1380">
        <v>12</v>
      </c>
      <c r="H1380">
        <v>4</v>
      </c>
      <c r="I1380" s="1" t="s">
        <v>56</v>
      </c>
      <c r="J1380">
        <v>1943</v>
      </c>
      <c r="K1380">
        <v>2</v>
      </c>
      <c r="L1380" s="1" t="s">
        <v>43</v>
      </c>
      <c r="M1380">
        <v>77</v>
      </c>
      <c r="N1380">
        <v>3</v>
      </c>
      <c r="O1380">
        <v>2</v>
      </c>
      <c r="P1380" s="1" t="s">
        <v>38</v>
      </c>
      <c r="Q1380">
        <v>4</v>
      </c>
      <c r="R1380" s="1" t="s">
        <v>49</v>
      </c>
      <c r="S1380">
        <v>5087</v>
      </c>
      <c r="T1380">
        <v>2900</v>
      </c>
      <c r="U1380">
        <v>3</v>
      </c>
      <c r="V1380" s="1" t="s">
        <v>33</v>
      </c>
      <c r="W1380">
        <v>12</v>
      </c>
      <c r="X1380">
        <v>3</v>
      </c>
      <c r="Y1380">
        <v>3</v>
      </c>
      <c r="Z1380">
        <v>80</v>
      </c>
      <c r="AA1380">
        <v>2</v>
      </c>
      <c r="AB1380">
        <v>14</v>
      </c>
      <c r="AC1380">
        <v>4</v>
      </c>
      <c r="AD1380">
        <v>3</v>
      </c>
      <c r="AE1380">
        <v>0</v>
      </c>
      <c r="AF1380">
        <v>0</v>
      </c>
      <c r="AG1380">
        <v>0</v>
      </c>
      <c r="AH1380">
        <v>0</v>
      </c>
      <c r="AI1380">
        <f>IF(tbl_HRData[[#This Row],[Attrition]] = "Yes",1,0)</f>
        <v>0</v>
      </c>
      <c r="AJ1380">
        <f>IF(tbl_HRData[[#This Row],[Attrition]] = "No",1,0)</f>
        <v>1</v>
      </c>
      <c r="AK1380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380" s="1" t="str">
        <f>IF(tbl_HRData[[#This Row],[MonthlyIncome]]&lt;5000,"Low",
IF(tbl_HRData[[#This Row],[MonthlyIncome]]&lt;10000,"Medium",
IF(tbl_HRData[[#This Row],[MonthlyIncome]]&lt;15000,"Upper Medium","High")))</f>
        <v>Medium</v>
      </c>
      <c r="AM1380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381" spans="1:39" x14ac:dyDescent="0.35">
      <c r="A1381" s="1">
        <v>1380</v>
      </c>
      <c r="B1381">
        <v>27</v>
      </c>
      <c r="C1381" s="1" t="s">
        <v>33</v>
      </c>
      <c r="D1381" s="1" t="s">
        <v>41</v>
      </c>
      <c r="E1381">
        <v>1337</v>
      </c>
      <c r="F1381" s="1" t="s">
        <v>58</v>
      </c>
      <c r="G1381">
        <v>22</v>
      </c>
      <c r="H1381">
        <v>3</v>
      </c>
      <c r="I1381" s="1" t="s">
        <v>58</v>
      </c>
      <c r="J1381">
        <v>1944</v>
      </c>
      <c r="K1381">
        <v>1</v>
      </c>
      <c r="L1381" s="1" t="s">
        <v>37</v>
      </c>
      <c r="M1381">
        <v>58</v>
      </c>
      <c r="N1381">
        <v>2</v>
      </c>
      <c r="O1381">
        <v>1</v>
      </c>
      <c r="P1381" s="1" t="s">
        <v>58</v>
      </c>
      <c r="Q1381">
        <v>2</v>
      </c>
      <c r="R1381" s="1" t="s">
        <v>45</v>
      </c>
      <c r="S1381">
        <v>2863</v>
      </c>
      <c r="T1381">
        <v>19555</v>
      </c>
      <c r="U1381">
        <v>1</v>
      </c>
      <c r="V1381" s="1" t="s">
        <v>40</v>
      </c>
      <c r="W1381">
        <v>12</v>
      </c>
      <c r="X1381">
        <v>3</v>
      </c>
      <c r="Y1381">
        <v>1</v>
      </c>
      <c r="Z1381">
        <v>80</v>
      </c>
      <c r="AA1381">
        <v>0</v>
      </c>
      <c r="AB1381">
        <v>1</v>
      </c>
      <c r="AC1381">
        <v>2</v>
      </c>
      <c r="AD1381">
        <v>3</v>
      </c>
      <c r="AE1381">
        <v>1</v>
      </c>
      <c r="AF1381">
        <v>0</v>
      </c>
      <c r="AG1381">
        <v>0</v>
      </c>
      <c r="AH1381">
        <v>0</v>
      </c>
      <c r="AI1381">
        <f>IF(tbl_HRData[[#This Row],[Attrition]] = "Yes",1,0)</f>
        <v>1</v>
      </c>
      <c r="AJ1381">
        <f>IF(tbl_HRData[[#This Row],[Attrition]] = "No",1,0)</f>
        <v>0</v>
      </c>
      <c r="AK1381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381" s="1" t="str">
        <f>IF(tbl_HRData[[#This Row],[MonthlyIncome]]&lt;5000,"Low",
IF(tbl_HRData[[#This Row],[MonthlyIncome]]&lt;10000,"Medium",
IF(tbl_HRData[[#This Row],[MonthlyIncome]]&lt;15000,"Upper Medium","High")))</f>
        <v>Low</v>
      </c>
      <c r="AM1381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382" spans="1:39" x14ac:dyDescent="0.35">
      <c r="A1382" s="1">
        <v>1381</v>
      </c>
      <c r="B1382">
        <v>35</v>
      </c>
      <c r="C1382" s="1" t="s">
        <v>40</v>
      </c>
      <c r="D1382" s="1" t="s">
        <v>34</v>
      </c>
      <c r="E1382">
        <v>682</v>
      </c>
      <c r="F1382" s="1" t="s">
        <v>35</v>
      </c>
      <c r="G1382">
        <v>18</v>
      </c>
      <c r="H1382">
        <v>4</v>
      </c>
      <c r="I1382" s="1" t="s">
        <v>48</v>
      </c>
      <c r="J1382">
        <v>1945</v>
      </c>
      <c r="K1382">
        <v>2</v>
      </c>
      <c r="L1382" s="1" t="s">
        <v>43</v>
      </c>
      <c r="M1382">
        <v>71</v>
      </c>
      <c r="N1382">
        <v>3</v>
      </c>
      <c r="O1382">
        <v>2</v>
      </c>
      <c r="P1382" s="1" t="s">
        <v>38</v>
      </c>
      <c r="Q1382">
        <v>1</v>
      </c>
      <c r="R1382" s="1" t="s">
        <v>45</v>
      </c>
      <c r="S1382">
        <v>5561</v>
      </c>
      <c r="T1382">
        <v>15975</v>
      </c>
      <c r="U1382">
        <v>0</v>
      </c>
      <c r="V1382" s="1" t="s">
        <v>40</v>
      </c>
      <c r="W1382">
        <v>16</v>
      </c>
      <c r="X1382">
        <v>3</v>
      </c>
      <c r="Y1382">
        <v>4</v>
      </c>
      <c r="Z1382">
        <v>80</v>
      </c>
      <c r="AA1382">
        <v>1</v>
      </c>
      <c r="AB1382">
        <v>6</v>
      </c>
      <c r="AC1382">
        <v>2</v>
      </c>
      <c r="AD1382">
        <v>1</v>
      </c>
      <c r="AE1382">
        <v>5</v>
      </c>
      <c r="AF1382">
        <v>3</v>
      </c>
      <c r="AG1382">
        <v>0</v>
      </c>
      <c r="AH1382">
        <v>4</v>
      </c>
      <c r="AI1382">
        <f>IF(tbl_HRData[[#This Row],[Attrition]] = "Yes",1,0)</f>
        <v>0</v>
      </c>
      <c r="AJ1382">
        <f>IF(tbl_HRData[[#This Row],[Attrition]] = "No",1,0)</f>
        <v>1</v>
      </c>
      <c r="AK1382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382" s="1" t="str">
        <f>IF(tbl_HRData[[#This Row],[MonthlyIncome]]&lt;5000,"Low",
IF(tbl_HRData[[#This Row],[MonthlyIncome]]&lt;10000,"Medium",
IF(tbl_HRData[[#This Row],[MonthlyIncome]]&lt;15000,"Upper Medium","High")))</f>
        <v>Medium</v>
      </c>
      <c r="AM1382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383" spans="1:39" x14ac:dyDescent="0.35">
      <c r="A1383" s="1">
        <v>1382</v>
      </c>
      <c r="B1383">
        <v>28</v>
      </c>
      <c r="C1383" s="1" t="s">
        <v>40</v>
      </c>
      <c r="D1383" s="1" t="s">
        <v>52</v>
      </c>
      <c r="E1383">
        <v>1103</v>
      </c>
      <c r="F1383" s="1" t="s">
        <v>42</v>
      </c>
      <c r="G1383">
        <v>16</v>
      </c>
      <c r="H1383">
        <v>3</v>
      </c>
      <c r="I1383" s="1" t="s">
        <v>48</v>
      </c>
      <c r="J1383">
        <v>1947</v>
      </c>
      <c r="K1383">
        <v>3</v>
      </c>
      <c r="L1383" s="1" t="s">
        <v>43</v>
      </c>
      <c r="M1383">
        <v>49</v>
      </c>
      <c r="N1383">
        <v>3</v>
      </c>
      <c r="O1383">
        <v>1</v>
      </c>
      <c r="P1383" s="1" t="s">
        <v>44</v>
      </c>
      <c r="Q1383">
        <v>3</v>
      </c>
      <c r="R1383" s="1" t="s">
        <v>39</v>
      </c>
      <c r="S1383">
        <v>2144</v>
      </c>
      <c r="T1383">
        <v>2122</v>
      </c>
      <c r="U1383">
        <v>1</v>
      </c>
      <c r="V1383" s="1" t="s">
        <v>40</v>
      </c>
      <c r="W1383">
        <v>14</v>
      </c>
      <c r="X1383">
        <v>3</v>
      </c>
      <c r="Y1383">
        <v>3</v>
      </c>
      <c r="Z1383">
        <v>80</v>
      </c>
      <c r="AA1383">
        <v>0</v>
      </c>
      <c r="AB1383">
        <v>5</v>
      </c>
      <c r="AC1383">
        <v>3</v>
      </c>
      <c r="AD1383">
        <v>2</v>
      </c>
      <c r="AE1383">
        <v>5</v>
      </c>
      <c r="AF1383">
        <v>3</v>
      </c>
      <c r="AG1383">
        <v>1</v>
      </c>
      <c r="AH1383">
        <v>4</v>
      </c>
      <c r="AI1383">
        <f>IF(tbl_HRData[[#This Row],[Attrition]] = "Yes",1,0)</f>
        <v>0</v>
      </c>
      <c r="AJ1383">
        <f>IF(tbl_HRData[[#This Row],[Attrition]] = "No",1,0)</f>
        <v>1</v>
      </c>
      <c r="AK1383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383" s="1" t="str">
        <f>IF(tbl_HRData[[#This Row],[MonthlyIncome]]&lt;5000,"Low",
IF(tbl_HRData[[#This Row],[MonthlyIncome]]&lt;10000,"Medium",
IF(tbl_HRData[[#This Row],[MonthlyIncome]]&lt;15000,"Upper Medium","High")))</f>
        <v>Low</v>
      </c>
      <c r="AM1383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384" spans="1:39" x14ac:dyDescent="0.35">
      <c r="A1384" s="1">
        <v>1383</v>
      </c>
      <c r="B1384">
        <v>31</v>
      </c>
      <c r="C1384" s="1" t="s">
        <v>40</v>
      </c>
      <c r="D1384" s="1" t="s">
        <v>52</v>
      </c>
      <c r="E1384">
        <v>976</v>
      </c>
      <c r="F1384" s="1" t="s">
        <v>42</v>
      </c>
      <c r="G1384">
        <v>3</v>
      </c>
      <c r="H1384">
        <v>2</v>
      </c>
      <c r="I1384" s="1" t="s">
        <v>48</v>
      </c>
      <c r="J1384">
        <v>1948</v>
      </c>
      <c r="K1384">
        <v>3</v>
      </c>
      <c r="L1384" s="1" t="s">
        <v>43</v>
      </c>
      <c r="M1384">
        <v>48</v>
      </c>
      <c r="N1384">
        <v>3</v>
      </c>
      <c r="O1384">
        <v>1</v>
      </c>
      <c r="P1384" s="1" t="s">
        <v>44</v>
      </c>
      <c r="Q1384">
        <v>1</v>
      </c>
      <c r="R1384" s="1" t="s">
        <v>49</v>
      </c>
      <c r="S1384">
        <v>3065</v>
      </c>
      <c r="T1384">
        <v>3995</v>
      </c>
      <c r="U1384">
        <v>1</v>
      </c>
      <c r="V1384" s="1" t="s">
        <v>33</v>
      </c>
      <c r="W1384">
        <v>13</v>
      </c>
      <c r="X1384">
        <v>3</v>
      </c>
      <c r="Y1384">
        <v>4</v>
      </c>
      <c r="Z1384">
        <v>80</v>
      </c>
      <c r="AA1384">
        <v>1</v>
      </c>
      <c r="AB1384">
        <v>4</v>
      </c>
      <c r="AC1384">
        <v>3</v>
      </c>
      <c r="AD1384">
        <v>4</v>
      </c>
      <c r="AE1384">
        <v>4</v>
      </c>
      <c r="AF1384">
        <v>2</v>
      </c>
      <c r="AG1384">
        <v>2</v>
      </c>
      <c r="AH1384">
        <v>3</v>
      </c>
      <c r="AI1384">
        <f>IF(tbl_HRData[[#This Row],[Attrition]] = "Yes",1,0)</f>
        <v>0</v>
      </c>
      <c r="AJ1384">
        <f>IF(tbl_HRData[[#This Row],[Attrition]] = "No",1,0)</f>
        <v>1</v>
      </c>
      <c r="AK1384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384" s="1" t="str">
        <f>IF(tbl_HRData[[#This Row],[MonthlyIncome]]&lt;5000,"Low",
IF(tbl_HRData[[#This Row],[MonthlyIncome]]&lt;10000,"Medium",
IF(tbl_HRData[[#This Row],[MonthlyIncome]]&lt;15000,"Upper Medium","High")))</f>
        <v>Low</v>
      </c>
      <c r="AM1384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385" spans="1:39" x14ac:dyDescent="0.35">
      <c r="A1385" s="1">
        <v>1384</v>
      </c>
      <c r="B1385">
        <v>36</v>
      </c>
      <c r="C1385" s="1" t="s">
        <v>40</v>
      </c>
      <c r="D1385" s="1" t="s">
        <v>52</v>
      </c>
      <c r="E1385">
        <v>1351</v>
      </c>
      <c r="F1385" s="1" t="s">
        <v>42</v>
      </c>
      <c r="G1385">
        <v>9</v>
      </c>
      <c r="H1385">
        <v>4</v>
      </c>
      <c r="I1385" s="1" t="s">
        <v>36</v>
      </c>
      <c r="J1385">
        <v>1949</v>
      </c>
      <c r="K1385">
        <v>1</v>
      </c>
      <c r="L1385" s="1" t="s">
        <v>43</v>
      </c>
      <c r="M1385">
        <v>66</v>
      </c>
      <c r="N1385">
        <v>4</v>
      </c>
      <c r="O1385">
        <v>1</v>
      </c>
      <c r="P1385" s="1" t="s">
        <v>47</v>
      </c>
      <c r="Q1385">
        <v>2</v>
      </c>
      <c r="R1385" s="1" t="s">
        <v>45</v>
      </c>
      <c r="S1385">
        <v>2810</v>
      </c>
      <c r="T1385">
        <v>9238</v>
      </c>
      <c r="U1385">
        <v>1</v>
      </c>
      <c r="V1385" s="1" t="s">
        <v>40</v>
      </c>
      <c r="W1385">
        <v>22</v>
      </c>
      <c r="X1385">
        <v>4</v>
      </c>
      <c r="Y1385">
        <v>2</v>
      </c>
      <c r="Z1385">
        <v>80</v>
      </c>
      <c r="AA1385">
        <v>0</v>
      </c>
      <c r="AB1385">
        <v>5</v>
      </c>
      <c r="AC1385">
        <v>3</v>
      </c>
      <c r="AD1385">
        <v>3</v>
      </c>
      <c r="AE1385">
        <v>5</v>
      </c>
      <c r="AF1385">
        <v>4</v>
      </c>
      <c r="AG1385">
        <v>0</v>
      </c>
      <c r="AH1385">
        <v>2</v>
      </c>
      <c r="AI1385">
        <f>IF(tbl_HRData[[#This Row],[Attrition]] = "Yes",1,0)</f>
        <v>0</v>
      </c>
      <c r="AJ1385">
        <f>IF(tbl_HRData[[#This Row],[Attrition]] = "No",1,0)</f>
        <v>1</v>
      </c>
      <c r="AK1385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385" s="1" t="str">
        <f>IF(tbl_HRData[[#This Row],[MonthlyIncome]]&lt;5000,"Low",
IF(tbl_HRData[[#This Row],[MonthlyIncome]]&lt;10000,"Medium",
IF(tbl_HRData[[#This Row],[MonthlyIncome]]&lt;15000,"Upper Medium","High")))</f>
        <v>Low</v>
      </c>
      <c r="AM1385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386" spans="1:39" x14ac:dyDescent="0.35">
      <c r="A1386" s="1">
        <v>1385</v>
      </c>
      <c r="B1386">
        <v>34</v>
      </c>
      <c r="C1386" s="1" t="s">
        <v>40</v>
      </c>
      <c r="D1386" s="1" t="s">
        <v>34</v>
      </c>
      <c r="E1386">
        <v>937</v>
      </c>
      <c r="F1386" s="1" t="s">
        <v>35</v>
      </c>
      <c r="G1386">
        <v>1</v>
      </c>
      <c r="H1386">
        <v>3</v>
      </c>
      <c r="I1386" s="1" t="s">
        <v>56</v>
      </c>
      <c r="J1386">
        <v>1950</v>
      </c>
      <c r="K1386">
        <v>1</v>
      </c>
      <c r="L1386" s="1" t="s">
        <v>43</v>
      </c>
      <c r="M1386">
        <v>32</v>
      </c>
      <c r="N1386">
        <v>3</v>
      </c>
      <c r="O1386">
        <v>3</v>
      </c>
      <c r="P1386" s="1" t="s">
        <v>38</v>
      </c>
      <c r="Q1386">
        <v>4</v>
      </c>
      <c r="R1386" s="1" t="s">
        <v>39</v>
      </c>
      <c r="S1386">
        <v>9888</v>
      </c>
      <c r="T1386">
        <v>6770</v>
      </c>
      <c r="U1386">
        <v>1</v>
      </c>
      <c r="V1386" s="1" t="s">
        <v>40</v>
      </c>
      <c r="W1386">
        <v>21</v>
      </c>
      <c r="X1386">
        <v>4</v>
      </c>
      <c r="Y1386">
        <v>1</v>
      </c>
      <c r="Z1386">
        <v>80</v>
      </c>
      <c r="AA1386">
        <v>0</v>
      </c>
      <c r="AB1386">
        <v>14</v>
      </c>
      <c r="AC1386">
        <v>3</v>
      </c>
      <c r="AD1386">
        <v>2</v>
      </c>
      <c r="AE1386">
        <v>14</v>
      </c>
      <c r="AF1386">
        <v>8</v>
      </c>
      <c r="AG1386">
        <v>2</v>
      </c>
      <c r="AH1386">
        <v>1</v>
      </c>
      <c r="AI1386">
        <f>IF(tbl_HRData[[#This Row],[Attrition]] = "Yes",1,0)</f>
        <v>0</v>
      </c>
      <c r="AJ1386">
        <f>IF(tbl_HRData[[#This Row],[Attrition]] = "No",1,0)</f>
        <v>1</v>
      </c>
      <c r="AK1386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386" s="1" t="str">
        <f>IF(tbl_HRData[[#This Row],[MonthlyIncome]]&lt;5000,"Low",
IF(tbl_HRData[[#This Row],[MonthlyIncome]]&lt;10000,"Medium",
IF(tbl_HRData[[#This Row],[MonthlyIncome]]&lt;15000,"Upper Medium","High")))</f>
        <v>Medium</v>
      </c>
      <c r="AM1386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1387" spans="1:39" x14ac:dyDescent="0.35">
      <c r="A1387" s="1">
        <v>1386</v>
      </c>
      <c r="B1387">
        <v>34</v>
      </c>
      <c r="C1387" s="1" t="s">
        <v>40</v>
      </c>
      <c r="D1387" s="1" t="s">
        <v>34</v>
      </c>
      <c r="E1387">
        <v>1239</v>
      </c>
      <c r="F1387" s="1" t="s">
        <v>35</v>
      </c>
      <c r="G1387">
        <v>13</v>
      </c>
      <c r="H1387">
        <v>4</v>
      </c>
      <c r="I1387" s="1" t="s">
        <v>48</v>
      </c>
      <c r="J1387">
        <v>1951</v>
      </c>
      <c r="K1387">
        <v>4</v>
      </c>
      <c r="L1387" s="1" t="s">
        <v>43</v>
      </c>
      <c r="M1387">
        <v>39</v>
      </c>
      <c r="N1387">
        <v>3</v>
      </c>
      <c r="O1387">
        <v>3</v>
      </c>
      <c r="P1387" s="1" t="s">
        <v>38</v>
      </c>
      <c r="Q1387">
        <v>3</v>
      </c>
      <c r="R1387" s="1" t="s">
        <v>49</v>
      </c>
      <c r="S1387">
        <v>8628</v>
      </c>
      <c r="T1387">
        <v>22914</v>
      </c>
      <c r="U1387">
        <v>1</v>
      </c>
      <c r="V1387" s="1" t="s">
        <v>40</v>
      </c>
      <c r="W1387">
        <v>18</v>
      </c>
      <c r="X1387">
        <v>3</v>
      </c>
      <c r="Y1387">
        <v>3</v>
      </c>
      <c r="Z1387">
        <v>80</v>
      </c>
      <c r="AA1387">
        <v>1</v>
      </c>
      <c r="AB1387">
        <v>9</v>
      </c>
      <c r="AC1387">
        <v>2</v>
      </c>
      <c r="AD1387">
        <v>2</v>
      </c>
      <c r="AE1387">
        <v>8</v>
      </c>
      <c r="AF1387">
        <v>7</v>
      </c>
      <c r="AG1387">
        <v>1</v>
      </c>
      <c r="AH1387">
        <v>1</v>
      </c>
      <c r="AI1387">
        <f>IF(tbl_HRData[[#This Row],[Attrition]] = "Yes",1,0)</f>
        <v>0</v>
      </c>
      <c r="AJ1387">
        <f>IF(tbl_HRData[[#This Row],[Attrition]] = "No",1,0)</f>
        <v>1</v>
      </c>
      <c r="AK1387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387" s="1" t="str">
        <f>IF(tbl_HRData[[#This Row],[MonthlyIncome]]&lt;5000,"Low",
IF(tbl_HRData[[#This Row],[MonthlyIncome]]&lt;10000,"Medium",
IF(tbl_HRData[[#This Row],[MonthlyIncome]]&lt;15000,"Upper Medium","High")))</f>
        <v>Medium</v>
      </c>
      <c r="AM1387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388" spans="1:39" x14ac:dyDescent="0.35">
      <c r="A1388" s="1">
        <v>1387</v>
      </c>
      <c r="B1388">
        <v>26</v>
      </c>
      <c r="C1388" s="1" t="s">
        <v>40</v>
      </c>
      <c r="D1388" s="1" t="s">
        <v>34</v>
      </c>
      <c r="E1388">
        <v>157</v>
      </c>
      <c r="F1388" s="1" t="s">
        <v>42</v>
      </c>
      <c r="G1388">
        <v>1</v>
      </c>
      <c r="H1388">
        <v>3</v>
      </c>
      <c r="I1388" s="1" t="s">
        <v>48</v>
      </c>
      <c r="J1388">
        <v>1952</v>
      </c>
      <c r="K1388">
        <v>3</v>
      </c>
      <c r="L1388" s="1" t="s">
        <v>43</v>
      </c>
      <c r="M1388">
        <v>95</v>
      </c>
      <c r="N1388">
        <v>3</v>
      </c>
      <c r="O1388">
        <v>1</v>
      </c>
      <c r="P1388" s="1" t="s">
        <v>47</v>
      </c>
      <c r="Q1388">
        <v>1</v>
      </c>
      <c r="R1388" s="1" t="s">
        <v>39</v>
      </c>
      <c r="S1388">
        <v>2867</v>
      </c>
      <c r="T1388">
        <v>20006</v>
      </c>
      <c r="U1388">
        <v>0</v>
      </c>
      <c r="V1388" s="1" t="s">
        <v>40</v>
      </c>
      <c r="W1388">
        <v>13</v>
      </c>
      <c r="X1388">
        <v>3</v>
      </c>
      <c r="Y1388">
        <v>4</v>
      </c>
      <c r="Z1388">
        <v>80</v>
      </c>
      <c r="AA1388">
        <v>0</v>
      </c>
      <c r="AB1388">
        <v>8</v>
      </c>
      <c r="AC1388">
        <v>6</v>
      </c>
      <c r="AD1388">
        <v>2</v>
      </c>
      <c r="AE1388">
        <v>7</v>
      </c>
      <c r="AF1388">
        <v>7</v>
      </c>
      <c r="AG1388">
        <v>7</v>
      </c>
      <c r="AH1388">
        <v>6</v>
      </c>
      <c r="AI1388">
        <f>IF(tbl_HRData[[#This Row],[Attrition]] = "Yes",1,0)</f>
        <v>0</v>
      </c>
      <c r="AJ1388">
        <f>IF(tbl_HRData[[#This Row],[Attrition]] = "No",1,0)</f>
        <v>1</v>
      </c>
      <c r="AK1388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388" s="1" t="str">
        <f>IF(tbl_HRData[[#This Row],[MonthlyIncome]]&lt;5000,"Low",
IF(tbl_HRData[[#This Row],[MonthlyIncome]]&lt;10000,"Medium",
IF(tbl_HRData[[#This Row],[MonthlyIncome]]&lt;15000,"Upper Medium","High")))</f>
        <v>Low</v>
      </c>
      <c r="AM1388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389" spans="1:39" x14ac:dyDescent="0.35">
      <c r="A1389" s="1">
        <v>1388</v>
      </c>
      <c r="B1389">
        <v>29</v>
      </c>
      <c r="C1389" s="1" t="s">
        <v>40</v>
      </c>
      <c r="D1389" s="1" t="s">
        <v>34</v>
      </c>
      <c r="E1389">
        <v>136</v>
      </c>
      <c r="F1389" s="1" t="s">
        <v>42</v>
      </c>
      <c r="G1389">
        <v>1</v>
      </c>
      <c r="H1389">
        <v>3</v>
      </c>
      <c r="I1389" s="1" t="s">
        <v>36</v>
      </c>
      <c r="J1389">
        <v>1954</v>
      </c>
      <c r="K1389">
        <v>1</v>
      </c>
      <c r="L1389" s="1" t="s">
        <v>43</v>
      </c>
      <c r="M1389">
        <v>89</v>
      </c>
      <c r="N1389">
        <v>3</v>
      </c>
      <c r="O1389">
        <v>2</v>
      </c>
      <c r="P1389" s="1" t="s">
        <v>51</v>
      </c>
      <c r="Q1389">
        <v>1</v>
      </c>
      <c r="R1389" s="1" t="s">
        <v>45</v>
      </c>
      <c r="S1389">
        <v>5373</v>
      </c>
      <c r="T1389">
        <v>6225</v>
      </c>
      <c r="U1389">
        <v>0</v>
      </c>
      <c r="V1389" s="1" t="s">
        <v>40</v>
      </c>
      <c r="W1389">
        <v>12</v>
      </c>
      <c r="X1389">
        <v>3</v>
      </c>
      <c r="Y1389">
        <v>1</v>
      </c>
      <c r="Z1389">
        <v>80</v>
      </c>
      <c r="AA1389">
        <v>1</v>
      </c>
      <c r="AB1389">
        <v>6</v>
      </c>
      <c r="AC1389">
        <v>5</v>
      </c>
      <c r="AD1389">
        <v>2</v>
      </c>
      <c r="AE1389">
        <v>5</v>
      </c>
      <c r="AF1389">
        <v>3</v>
      </c>
      <c r="AG1389">
        <v>0</v>
      </c>
      <c r="AH1389">
        <v>2</v>
      </c>
      <c r="AI1389">
        <f>IF(tbl_HRData[[#This Row],[Attrition]] = "Yes",1,0)</f>
        <v>0</v>
      </c>
      <c r="AJ1389">
        <f>IF(tbl_HRData[[#This Row],[Attrition]] = "No",1,0)</f>
        <v>1</v>
      </c>
      <c r="AK1389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389" s="1" t="str">
        <f>IF(tbl_HRData[[#This Row],[MonthlyIncome]]&lt;5000,"Low",
IF(tbl_HRData[[#This Row],[MonthlyIncome]]&lt;10000,"Medium",
IF(tbl_HRData[[#This Row],[MonthlyIncome]]&lt;15000,"Upper Medium","High")))</f>
        <v>Medium</v>
      </c>
      <c r="AM1389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390" spans="1:39" x14ac:dyDescent="0.35">
      <c r="A1390" s="1">
        <v>1389</v>
      </c>
      <c r="B1390">
        <v>32</v>
      </c>
      <c r="C1390" s="1" t="s">
        <v>40</v>
      </c>
      <c r="D1390" s="1" t="s">
        <v>52</v>
      </c>
      <c r="E1390">
        <v>1146</v>
      </c>
      <c r="F1390" s="1" t="s">
        <v>42</v>
      </c>
      <c r="G1390">
        <v>15</v>
      </c>
      <c r="H1390">
        <v>4</v>
      </c>
      <c r="I1390" s="1" t="s">
        <v>48</v>
      </c>
      <c r="J1390">
        <v>1955</v>
      </c>
      <c r="K1390">
        <v>3</v>
      </c>
      <c r="L1390" s="1" t="s">
        <v>37</v>
      </c>
      <c r="M1390">
        <v>34</v>
      </c>
      <c r="N1390">
        <v>3</v>
      </c>
      <c r="O1390">
        <v>2</v>
      </c>
      <c r="P1390" s="1" t="s">
        <v>51</v>
      </c>
      <c r="Q1390">
        <v>4</v>
      </c>
      <c r="R1390" s="1" t="s">
        <v>49</v>
      </c>
      <c r="S1390">
        <v>6667</v>
      </c>
      <c r="T1390">
        <v>16542</v>
      </c>
      <c r="U1390">
        <v>5</v>
      </c>
      <c r="V1390" s="1" t="s">
        <v>40</v>
      </c>
      <c r="W1390">
        <v>18</v>
      </c>
      <c r="X1390">
        <v>3</v>
      </c>
      <c r="Y1390">
        <v>2</v>
      </c>
      <c r="Z1390">
        <v>80</v>
      </c>
      <c r="AA1390">
        <v>1</v>
      </c>
      <c r="AB1390">
        <v>9</v>
      </c>
      <c r="AC1390">
        <v>6</v>
      </c>
      <c r="AD1390">
        <v>3</v>
      </c>
      <c r="AE1390">
        <v>5</v>
      </c>
      <c r="AF1390">
        <v>1</v>
      </c>
      <c r="AG1390">
        <v>1</v>
      </c>
      <c r="AH1390">
        <v>2</v>
      </c>
      <c r="AI1390">
        <f>IF(tbl_HRData[[#This Row],[Attrition]] = "Yes",1,0)</f>
        <v>0</v>
      </c>
      <c r="AJ1390">
        <f>IF(tbl_HRData[[#This Row],[Attrition]] = "No",1,0)</f>
        <v>1</v>
      </c>
      <c r="AK1390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390" s="1" t="str">
        <f>IF(tbl_HRData[[#This Row],[MonthlyIncome]]&lt;5000,"Low",
IF(tbl_HRData[[#This Row],[MonthlyIncome]]&lt;10000,"Medium",
IF(tbl_HRData[[#This Row],[MonthlyIncome]]&lt;15000,"Upper Medium","High")))</f>
        <v>Medium</v>
      </c>
      <c r="AM1390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391" spans="1:39" x14ac:dyDescent="0.35">
      <c r="A1391" s="1">
        <v>1390</v>
      </c>
      <c r="B1391">
        <v>31</v>
      </c>
      <c r="C1391" s="1" t="s">
        <v>40</v>
      </c>
      <c r="D1391" s="1" t="s">
        <v>41</v>
      </c>
      <c r="E1391">
        <v>1125</v>
      </c>
      <c r="F1391" s="1" t="s">
        <v>42</v>
      </c>
      <c r="G1391">
        <v>1</v>
      </c>
      <c r="H1391">
        <v>3</v>
      </c>
      <c r="I1391" s="1" t="s">
        <v>36</v>
      </c>
      <c r="J1391">
        <v>1956</v>
      </c>
      <c r="K1391">
        <v>4</v>
      </c>
      <c r="L1391" s="1" t="s">
        <v>43</v>
      </c>
      <c r="M1391">
        <v>48</v>
      </c>
      <c r="N1391">
        <v>1</v>
      </c>
      <c r="O1391">
        <v>2</v>
      </c>
      <c r="P1391" s="1" t="s">
        <v>44</v>
      </c>
      <c r="Q1391">
        <v>1</v>
      </c>
      <c r="R1391" s="1" t="s">
        <v>45</v>
      </c>
      <c r="S1391">
        <v>5003</v>
      </c>
      <c r="T1391">
        <v>5771</v>
      </c>
      <c r="U1391">
        <v>1</v>
      </c>
      <c r="V1391" s="1" t="s">
        <v>40</v>
      </c>
      <c r="W1391">
        <v>21</v>
      </c>
      <c r="X1391">
        <v>4</v>
      </c>
      <c r="Y1391">
        <v>2</v>
      </c>
      <c r="Z1391">
        <v>80</v>
      </c>
      <c r="AA1391">
        <v>0</v>
      </c>
      <c r="AB1391">
        <v>10</v>
      </c>
      <c r="AC1391">
        <v>6</v>
      </c>
      <c r="AD1391">
        <v>3</v>
      </c>
      <c r="AE1391">
        <v>10</v>
      </c>
      <c r="AF1391">
        <v>8</v>
      </c>
      <c r="AG1391">
        <v>8</v>
      </c>
      <c r="AH1391">
        <v>7</v>
      </c>
      <c r="AI1391">
        <f>IF(tbl_HRData[[#This Row],[Attrition]] = "Yes",1,0)</f>
        <v>0</v>
      </c>
      <c r="AJ1391">
        <f>IF(tbl_HRData[[#This Row],[Attrition]] = "No",1,0)</f>
        <v>1</v>
      </c>
      <c r="AK1391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391" s="1" t="str">
        <f>IF(tbl_HRData[[#This Row],[MonthlyIncome]]&lt;5000,"Low",
IF(tbl_HRData[[#This Row],[MonthlyIncome]]&lt;10000,"Medium",
IF(tbl_HRData[[#This Row],[MonthlyIncome]]&lt;15000,"Upper Medium","High")))</f>
        <v>Medium</v>
      </c>
      <c r="AM1391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392" spans="1:39" x14ac:dyDescent="0.35">
      <c r="A1392" s="1">
        <v>1391</v>
      </c>
      <c r="B1392">
        <v>28</v>
      </c>
      <c r="C1392" s="1" t="s">
        <v>33</v>
      </c>
      <c r="D1392" s="1" t="s">
        <v>34</v>
      </c>
      <c r="E1392">
        <v>1404</v>
      </c>
      <c r="F1392" s="1" t="s">
        <v>42</v>
      </c>
      <c r="G1392">
        <v>17</v>
      </c>
      <c r="H1392">
        <v>3</v>
      </c>
      <c r="I1392" s="1" t="s">
        <v>57</v>
      </c>
      <c r="J1392">
        <v>1960</v>
      </c>
      <c r="K1392">
        <v>3</v>
      </c>
      <c r="L1392" s="1" t="s">
        <v>43</v>
      </c>
      <c r="M1392">
        <v>32</v>
      </c>
      <c r="N1392">
        <v>2</v>
      </c>
      <c r="O1392">
        <v>1</v>
      </c>
      <c r="P1392" s="1" t="s">
        <v>47</v>
      </c>
      <c r="Q1392">
        <v>4</v>
      </c>
      <c r="R1392" s="1" t="s">
        <v>49</v>
      </c>
      <c r="S1392">
        <v>2367</v>
      </c>
      <c r="T1392">
        <v>18779</v>
      </c>
      <c r="U1392">
        <v>5</v>
      </c>
      <c r="V1392" s="1" t="s">
        <v>40</v>
      </c>
      <c r="W1392">
        <v>12</v>
      </c>
      <c r="X1392">
        <v>3</v>
      </c>
      <c r="Y1392">
        <v>1</v>
      </c>
      <c r="Z1392">
        <v>80</v>
      </c>
      <c r="AA1392">
        <v>1</v>
      </c>
      <c r="AB1392">
        <v>6</v>
      </c>
      <c r="AC1392">
        <v>2</v>
      </c>
      <c r="AD1392">
        <v>2</v>
      </c>
      <c r="AE1392">
        <v>4</v>
      </c>
      <c r="AF1392">
        <v>1</v>
      </c>
      <c r="AG1392">
        <v>0</v>
      </c>
      <c r="AH1392">
        <v>3</v>
      </c>
      <c r="AI1392">
        <f>IF(tbl_HRData[[#This Row],[Attrition]] = "Yes",1,0)</f>
        <v>1</v>
      </c>
      <c r="AJ1392">
        <f>IF(tbl_HRData[[#This Row],[Attrition]] = "No",1,0)</f>
        <v>0</v>
      </c>
      <c r="AK1392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392" s="1" t="str">
        <f>IF(tbl_HRData[[#This Row],[MonthlyIncome]]&lt;5000,"Low",
IF(tbl_HRData[[#This Row],[MonthlyIncome]]&lt;10000,"Medium",
IF(tbl_HRData[[#This Row],[MonthlyIncome]]&lt;15000,"Upper Medium","High")))</f>
        <v>Low</v>
      </c>
      <c r="AM1392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393" spans="1:39" x14ac:dyDescent="0.35">
      <c r="A1393" s="1">
        <v>1392</v>
      </c>
      <c r="B1393">
        <v>38</v>
      </c>
      <c r="C1393" s="1" t="s">
        <v>40</v>
      </c>
      <c r="D1393" s="1" t="s">
        <v>34</v>
      </c>
      <c r="E1393">
        <v>1404</v>
      </c>
      <c r="F1393" s="1" t="s">
        <v>35</v>
      </c>
      <c r="G1393">
        <v>1</v>
      </c>
      <c r="H1393">
        <v>3</v>
      </c>
      <c r="I1393" s="1" t="s">
        <v>36</v>
      </c>
      <c r="J1393">
        <v>1961</v>
      </c>
      <c r="K1393">
        <v>1</v>
      </c>
      <c r="L1393" s="1" t="s">
        <v>43</v>
      </c>
      <c r="M1393">
        <v>59</v>
      </c>
      <c r="N1393">
        <v>2</v>
      </c>
      <c r="O1393">
        <v>1</v>
      </c>
      <c r="P1393" s="1" t="s">
        <v>54</v>
      </c>
      <c r="Q1393">
        <v>1</v>
      </c>
      <c r="R1393" s="1" t="s">
        <v>39</v>
      </c>
      <c r="S1393">
        <v>2858</v>
      </c>
      <c r="T1393">
        <v>11473</v>
      </c>
      <c r="U1393">
        <v>4</v>
      </c>
      <c r="V1393" s="1" t="s">
        <v>40</v>
      </c>
      <c r="W1393">
        <v>14</v>
      </c>
      <c r="X1393">
        <v>3</v>
      </c>
      <c r="Y1393">
        <v>1</v>
      </c>
      <c r="Z1393">
        <v>80</v>
      </c>
      <c r="AA1393">
        <v>0</v>
      </c>
      <c r="AB1393">
        <v>20</v>
      </c>
      <c r="AC1393">
        <v>3</v>
      </c>
      <c r="AD1393">
        <v>2</v>
      </c>
      <c r="AE1393">
        <v>1</v>
      </c>
      <c r="AF1393">
        <v>0</v>
      </c>
      <c r="AG1393">
        <v>0</v>
      </c>
      <c r="AH1393">
        <v>0</v>
      </c>
      <c r="AI1393">
        <f>IF(tbl_HRData[[#This Row],[Attrition]] = "Yes",1,0)</f>
        <v>0</v>
      </c>
      <c r="AJ1393">
        <f>IF(tbl_HRData[[#This Row],[Attrition]] = "No",1,0)</f>
        <v>1</v>
      </c>
      <c r="AK1393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393" s="1" t="str">
        <f>IF(tbl_HRData[[#This Row],[MonthlyIncome]]&lt;5000,"Low",
IF(tbl_HRData[[#This Row],[MonthlyIncome]]&lt;10000,"Medium",
IF(tbl_HRData[[#This Row],[MonthlyIncome]]&lt;15000,"Upper Medium","High")))</f>
        <v>Low</v>
      </c>
      <c r="AM1393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394" spans="1:39" x14ac:dyDescent="0.35">
      <c r="A1394" s="1">
        <v>1393</v>
      </c>
      <c r="B1394">
        <v>35</v>
      </c>
      <c r="C1394" s="1" t="s">
        <v>40</v>
      </c>
      <c r="D1394" s="1" t="s">
        <v>34</v>
      </c>
      <c r="E1394">
        <v>1224</v>
      </c>
      <c r="F1394" s="1" t="s">
        <v>35</v>
      </c>
      <c r="G1394">
        <v>7</v>
      </c>
      <c r="H1394">
        <v>4</v>
      </c>
      <c r="I1394" s="1" t="s">
        <v>36</v>
      </c>
      <c r="J1394">
        <v>1962</v>
      </c>
      <c r="K1394">
        <v>3</v>
      </c>
      <c r="L1394" s="1" t="s">
        <v>37</v>
      </c>
      <c r="M1394">
        <v>55</v>
      </c>
      <c r="N1394">
        <v>3</v>
      </c>
      <c r="O1394">
        <v>2</v>
      </c>
      <c r="P1394" s="1" t="s">
        <v>38</v>
      </c>
      <c r="Q1394">
        <v>4</v>
      </c>
      <c r="R1394" s="1" t="s">
        <v>45</v>
      </c>
      <c r="S1394">
        <v>5204</v>
      </c>
      <c r="T1394">
        <v>13586</v>
      </c>
      <c r="U1394">
        <v>1</v>
      </c>
      <c r="V1394" s="1" t="s">
        <v>33</v>
      </c>
      <c r="W1394">
        <v>11</v>
      </c>
      <c r="X1394">
        <v>3</v>
      </c>
      <c r="Y1394">
        <v>4</v>
      </c>
      <c r="Z1394">
        <v>80</v>
      </c>
      <c r="AA1394">
        <v>0</v>
      </c>
      <c r="AB1394">
        <v>10</v>
      </c>
      <c r="AC1394">
        <v>2</v>
      </c>
      <c r="AD1394">
        <v>3</v>
      </c>
      <c r="AE1394">
        <v>10</v>
      </c>
      <c r="AF1394">
        <v>8</v>
      </c>
      <c r="AG1394">
        <v>0</v>
      </c>
      <c r="AH1394">
        <v>9</v>
      </c>
      <c r="AI1394">
        <f>IF(tbl_HRData[[#This Row],[Attrition]] = "Yes",1,0)</f>
        <v>0</v>
      </c>
      <c r="AJ1394">
        <f>IF(tbl_HRData[[#This Row],[Attrition]] = "No",1,0)</f>
        <v>1</v>
      </c>
      <c r="AK1394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394" s="1" t="str">
        <f>IF(tbl_HRData[[#This Row],[MonthlyIncome]]&lt;5000,"Low",
IF(tbl_HRData[[#This Row],[MonthlyIncome]]&lt;10000,"Medium",
IF(tbl_HRData[[#This Row],[MonthlyIncome]]&lt;15000,"Upper Medium","High")))</f>
        <v>Medium</v>
      </c>
      <c r="AM1394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395" spans="1:39" x14ac:dyDescent="0.35">
      <c r="A1395" s="1">
        <v>1394</v>
      </c>
      <c r="B1395">
        <v>27</v>
      </c>
      <c r="C1395" s="1" t="s">
        <v>40</v>
      </c>
      <c r="D1395" s="1" t="s">
        <v>34</v>
      </c>
      <c r="E1395">
        <v>954</v>
      </c>
      <c r="F1395" s="1" t="s">
        <v>35</v>
      </c>
      <c r="G1395">
        <v>9</v>
      </c>
      <c r="H1395">
        <v>3</v>
      </c>
      <c r="I1395" s="1" t="s">
        <v>56</v>
      </c>
      <c r="J1395">
        <v>1965</v>
      </c>
      <c r="K1395">
        <v>4</v>
      </c>
      <c r="L1395" s="1" t="s">
        <v>43</v>
      </c>
      <c r="M1395">
        <v>44</v>
      </c>
      <c r="N1395">
        <v>3</v>
      </c>
      <c r="O1395">
        <v>2</v>
      </c>
      <c r="P1395" s="1" t="s">
        <v>38</v>
      </c>
      <c r="Q1395">
        <v>4</v>
      </c>
      <c r="R1395" s="1" t="s">
        <v>39</v>
      </c>
      <c r="S1395">
        <v>4105</v>
      </c>
      <c r="T1395">
        <v>5099</v>
      </c>
      <c r="U1395">
        <v>1</v>
      </c>
      <c r="V1395" s="1" t="s">
        <v>40</v>
      </c>
      <c r="W1395">
        <v>14</v>
      </c>
      <c r="X1395">
        <v>3</v>
      </c>
      <c r="Y1395">
        <v>1</v>
      </c>
      <c r="Z1395">
        <v>80</v>
      </c>
      <c r="AA1395">
        <v>0</v>
      </c>
      <c r="AB1395">
        <v>7</v>
      </c>
      <c r="AC1395">
        <v>5</v>
      </c>
      <c r="AD1395">
        <v>3</v>
      </c>
      <c r="AE1395">
        <v>7</v>
      </c>
      <c r="AF1395">
        <v>7</v>
      </c>
      <c r="AG1395">
        <v>0</v>
      </c>
      <c r="AH1395">
        <v>7</v>
      </c>
      <c r="AI1395">
        <f>IF(tbl_HRData[[#This Row],[Attrition]] = "Yes",1,0)</f>
        <v>0</v>
      </c>
      <c r="AJ1395">
        <f>IF(tbl_HRData[[#This Row],[Attrition]] = "No",1,0)</f>
        <v>1</v>
      </c>
      <c r="AK1395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395" s="1" t="str">
        <f>IF(tbl_HRData[[#This Row],[MonthlyIncome]]&lt;5000,"Low",
IF(tbl_HRData[[#This Row],[MonthlyIncome]]&lt;10000,"Medium",
IF(tbl_HRData[[#This Row],[MonthlyIncome]]&lt;15000,"Upper Medium","High")))</f>
        <v>Low</v>
      </c>
      <c r="AM1395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396" spans="1:39" x14ac:dyDescent="0.35">
      <c r="A1396" s="1">
        <v>1395</v>
      </c>
      <c r="B1396">
        <v>32</v>
      </c>
      <c r="C1396" s="1" t="s">
        <v>40</v>
      </c>
      <c r="D1396" s="1" t="s">
        <v>34</v>
      </c>
      <c r="E1396">
        <v>1373</v>
      </c>
      <c r="F1396" s="1" t="s">
        <v>42</v>
      </c>
      <c r="G1396">
        <v>5</v>
      </c>
      <c r="H1396">
        <v>4</v>
      </c>
      <c r="I1396" s="1" t="s">
        <v>36</v>
      </c>
      <c r="J1396">
        <v>1966</v>
      </c>
      <c r="K1396">
        <v>4</v>
      </c>
      <c r="L1396" s="1" t="s">
        <v>43</v>
      </c>
      <c r="M1396">
        <v>56</v>
      </c>
      <c r="N1396">
        <v>2</v>
      </c>
      <c r="O1396">
        <v>2</v>
      </c>
      <c r="P1396" s="1" t="s">
        <v>50</v>
      </c>
      <c r="Q1396">
        <v>4</v>
      </c>
      <c r="R1396" s="1" t="s">
        <v>39</v>
      </c>
      <c r="S1396">
        <v>9679</v>
      </c>
      <c r="T1396">
        <v>10138</v>
      </c>
      <c r="U1396">
        <v>8</v>
      </c>
      <c r="V1396" s="1" t="s">
        <v>40</v>
      </c>
      <c r="W1396">
        <v>24</v>
      </c>
      <c r="X1396">
        <v>4</v>
      </c>
      <c r="Y1396">
        <v>2</v>
      </c>
      <c r="Z1396">
        <v>80</v>
      </c>
      <c r="AA1396">
        <v>0</v>
      </c>
      <c r="AB1396">
        <v>8</v>
      </c>
      <c r="AC1396">
        <v>1</v>
      </c>
      <c r="AD1396">
        <v>3</v>
      </c>
      <c r="AE1396">
        <v>1</v>
      </c>
      <c r="AF1396">
        <v>0</v>
      </c>
      <c r="AG1396">
        <v>0</v>
      </c>
      <c r="AH1396">
        <v>0</v>
      </c>
      <c r="AI1396">
        <f>IF(tbl_HRData[[#This Row],[Attrition]] = "Yes",1,0)</f>
        <v>0</v>
      </c>
      <c r="AJ1396">
        <f>IF(tbl_HRData[[#This Row],[Attrition]] = "No",1,0)</f>
        <v>1</v>
      </c>
      <c r="AK1396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396" s="1" t="str">
        <f>IF(tbl_HRData[[#This Row],[MonthlyIncome]]&lt;5000,"Low",
IF(tbl_HRData[[#This Row],[MonthlyIncome]]&lt;10000,"Medium",
IF(tbl_HRData[[#This Row],[MonthlyIncome]]&lt;15000,"Upper Medium","High")))</f>
        <v>Medium</v>
      </c>
      <c r="AM1396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397" spans="1:39" x14ac:dyDescent="0.35">
      <c r="A1397" s="1">
        <v>1396</v>
      </c>
      <c r="B1397">
        <v>31</v>
      </c>
      <c r="C1397" s="1" t="s">
        <v>33</v>
      </c>
      <c r="D1397" s="1" t="s">
        <v>41</v>
      </c>
      <c r="E1397">
        <v>754</v>
      </c>
      <c r="F1397" s="1" t="s">
        <v>35</v>
      </c>
      <c r="G1397">
        <v>26</v>
      </c>
      <c r="H1397">
        <v>4</v>
      </c>
      <c r="I1397" s="1" t="s">
        <v>56</v>
      </c>
      <c r="J1397">
        <v>1967</v>
      </c>
      <c r="K1397">
        <v>1</v>
      </c>
      <c r="L1397" s="1" t="s">
        <v>43</v>
      </c>
      <c r="M1397">
        <v>63</v>
      </c>
      <c r="N1397">
        <v>3</v>
      </c>
      <c r="O1397">
        <v>2</v>
      </c>
      <c r="P1397" s="1" t="s">
        <v>38</v>
      </c>
      <c r="Q1397">
        <v>4</v>
      </c>
      <c r="R1397" s="1" t="s">
        <v>45</v>
      </c>
      <c r="S1397">
        <v>5617</v>
      </c>
      <c r="T1397">
        <v>21075</v>
      </c>
      <c r="U1397">
        <v>1</v>
      </c>
      <c r="V1397" s="1" t="s">
        <v>33</v>
      </c>
      <c r="W1397">
        <v>11</v>
      </c>
      <c r="X1397">
        <v>3</v>
      </c>
      <c r="Y1397">
        <v>3</v>
      </c>
      <c r="Z1397">
        <v>80</v>
      </c>
      <c r="AA1397">
        <v>0</v>
      </c>
      <c r="AB1397">
        <v>10</v>
      </c>
      <c r="AC1397">
        <v>4</v>
      </c>
      <c r="AD1397">
        <v>3</v>
      </c>
      <c r="AE1397">
        <v>10</v>
      </c>
      <c r="AF1397">
        <v>7</v>
      </c>
      <c r="AG1397">
        <v>0</v>
      </c>
      <c r="AH1397">
        <v>8</v>
      </c>
      <c r="AI1397">
        <f>IF(tbl_HRData[[#This Row],[Attrition]] = "Yes",1,0)</f>
        <v>1</v>
      </c>
      <c r="AJ1397">
        <f>IF(tbl_HRData[[#This Row],[Attrition]] = "No",1,0)</f>
        <v>0</v>
      </c>
      <c r="AK1397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397" s="1" t="str">
        <f>IF(tbl_HRData[[#This Row],[MonthlyIncome]]&lt;5000,"Low",
IF(tbl_HRData[[#This Row],[MonthlyIncome]]&lt;10000,"Medium",
IF(tbl_HRData[[#This Row],[MonthlyIncome]]&lt;15000,"Upper Medium","High")))</f>
        <v>Medium</v>
      </c>
      <c r="AM1397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398" spans="1:39" x14ac:dyDescent="0.35">
      <c r="A1398" s="1">
        <v>1397</v>
      </c>
      <c r="B1398">
        <v>53</v>
      </c>
      <c r="C1398" s="1" t="s">
        <v>33</v>
      </c>
      <c r="D1398" s="1" t="s">
        <v>34</v>
      </c>
      <c r="E1398">
        <v>1168</v>
      </c>
      <c r="F1398" s="1" t="s">
        <v>35</v>
      </c>
      <c r="G1398">
        <v>24</v>
      </c>
      <c r="H1398">
        <v>4</v>
      </c>
      <c r="I1398" s="1" t="s">
        <v>36</v>
      </c>
      <c r="J1398">
        <v>1968</v>
      </c>
      <c r="K1398">
        <v>1</v>
      </c>
      <c r="L1398" s="1" t="s">
        <v>43</v>
      </c>
      <c r="M1398">
        <v>66</v>
      </c>
      <c r="N1398">
        <v>3</v>
      </c>
      <c r="O1398">
        <v>3</v>
      </c>
      <c r="P1398" s="1" t="s">
        <v>38</v>
      </c>
      <c r="Q1398">
        <v>1</v>
      </c>
      <c r="R1398" s="1" t="s">
        <v>39</v>
      </c>
      <c r="S1398">
        <v>10448</v>
      </c>
      <c r="T1398">
        <v>5843</v>
      </c>
      <c r="U1398">
        <v>6</v>
      </c>
      <c r="V1398" s="1" t="s">
        <v>33</v>
      </c>
      <c r="W1398">
        <v>13</v>
      </c>
      <c r="X1398">
        <v>3</v>
      </c>
      <c r="Y1398">
        <v>2</v>
      </c>
      <c r="Z1398">
        <v>80</v>
      </c>
      <c r="AA1398">
        <v>0</v>
      </c>
      <c r="AB1398">
        <v>15</v>
      </c>
      <c r="AC1398">
        <v>2</v>
      </c>
      <c r="AD1398">
        <v>2</v>
      </c>
      <c r="AE1398">
        <v>2</v>
      </c>
      <c r="AF1398">
        <v>2</v>
      </c>
      <c r="AG1398">
        <v>2</v>
      </c>
      <c r="AH1398">
        <v>2</v>
      </c>
      <c r="AI1398">
        <f>IF(tbl_HRData[[#This Row],[Attrition]] = "Yes",1,0)</f>
        <v>1</v>
      </c>
      <c r="AJ1398">
        <f>IF(tbl_HRData[[#This Row],[Attrition]] = "No",1,0)</f>
        <v>0</v>
      </c>
      <c r="AK1398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1398" s="1" t="str">
        <f>IF(tbl_HRData[[#This Row],[MonthlyIncome]]&lt;5000,"Low",
IF(tbl_HRData[[#This Row],[MonthlyIncome]]&lt;10000,"Medium",
IF(tbl_HRData[[#This Row],[MonthlyIncome]]&lt;15000,"Upper Medium","High")))</f>
        <v>Upper Medium</v>
      </c>
      <c r="AM1398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399" spans="1:39" x14ac:dyDescent="0.35">
      <c r="A1399" s="1">
        <v>1398</v>
      </c>
      <c r="B1399">
        <v>54</v>
      </c>
      <c r="C1399" s="1" t="s">
        <v>40</v>
      </c>
      <c r="D1399" s="1" t="s">
        <v>34</v>
      </c>
      <c r="E1399">
        <v>155</v>
      </c>
      <c r="F1399" s="1" t="s">
        <v>42</v>
      </c>
      <c r="G1399">
        <v>9</v>
      </c>
      <c r="H1399">
        <v>2</v>
      </c>
      <c r="I1399" s="1" t="s">
        <v>36</v>
      </c>
      <c r="J1399">
        <v>1969</v>
      </c>
      <c r="K1399">
        <v>1</v>
      </c>
      <c r="L1399" s="1" t="s">
        <v>37</v>
      </c>
      <c r="M1399">
        <v>67</v>
      </c>
      <c r="N1399">
        <v>3</v>
      </c>
      <c r="O1399">
        <v>2</v>
      </c>
      <c r="P1399" s="1" t="s">
        <v>44</v>
      </c>
      <c r="Q1399">
        <v>3</v>
      </c>
      <c r="R1399" s="1" t="s">
        <v>45</v>
      </c>
      <c r="S1399">
        <v>2897</v>
      </c>
      <c r="T1399">
        <v>22474</v>
      </c>
      <c r="U1399">
        <v>3</v>
      </c>
      <c r="V1399" s="1" t="s">
        <v>40</v>
      </c>
      <c r="W1399">
        <v>11</v>
      </c>
      <c r="X1399">
        <v>3</v>
      </c>
      <c r="Y1399">
        <v>3</v>
      </c>
      <c r="Z1399">
        <v>80</v>
      </c>
      <c r="AA1399">
        <v>2</v>
      </c>
      <c r="AB1399">
        <v>9</v>
      </c>
      <c r="AC1399">
        <v>6</v>
      </c>
      <c r="AD1399">
        <v>2</v>
      </c>
      <c r="AE1399">
        <v>4</v>
      </c>
      <c r="AF1399">
        <v>3</v>
      </c>
      <c r="AG1399">
        <v>2</v>
      </c>
      <c r="AH1399">
        <v>3</v>
      </c>
      <c r="AI1399">
        <f>IF(tbl_HRData[[#This Row],[Attrition]] = "Yes",1,0)</f>
        <v>0</v>
      </c>
      <c r="AJ1399">
        <f>IF(tbl_HRData[[#This Row],[Attrition]] = "No",1,0)</f>
        <v>1</v>
      </c>
      <c r="AK1399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1399" s="1" t="str">
        <f>IF(tbl_HRData[[#This Row],[MonthlyIncome]]&lt;5000,"Low",
IF(tbl_HRData[[#This Row],[MonthlyIncome]]&lt;10000,"Medium",
IF(tbl_HRData[[#This Row],[MonthlyIncome]]&lt;15000,"Upper Medium","High")))</f>
        <v>Low</v>
      </c>
      <c r="AM1399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400" spans="1:39" x14ac:dyDescent="0.35">
      <c r="A1400" s="1">
        <v>1399</v>
      </c>
      <c r="B1400">
        <v>33</v>
      </c>
      <c r="C1400" s="1" t="s">
        <v>40</v>
      </c>
      <c r="D1400" s="1" t="s">
        <v>41</v>
      </c>
      <c r="E1400">
        <v>1303</v>
      </c>
      <c r="F1400" s="1" t="s">
        <v>42</v>
      </c>
      <c r="G1400">
        <v>7</v>
      </c>
      <c r="H1400">
        <v>2</v>
      </c>
      <c r="I1400" s="1" t="s">
        <v>36</v>
      </c>
      <c r="J1400">
        <v>1970</v>
      </c>
      <c r="K1400">
        <v>4</v>
      </c>
      <c r="L1400" s="1" t="s">
        <v>43</v>
      </c>
      <c r="M1400">
        <v>36</v>
      </c>
      <c r="N1400">
        <v>3</v>
      </c>
      <c r="O1400">
        <v>2</v>
      </c>
      <c r="P1400" s="1" t="s">
        <v>51</v>
      </c>
      <c r="Q1400">
        <v>3</v>
      </c>
      <c r="R1400" s="1" t="s">
        <v>49</v>
      </c>
      <c r="S1400">
        <v>5968</v>
      </c>
      <c r="T1400">
        <v>18079</v>
      </c>
      <c r="U1400">
        <v>1</v>
      </c>
      <c r="V1400" s="1" t="s">
        <v>40</v>
      </c>
      <c r="W1400">
        <v>20</v>
      </c>
      <c r="X1400">
        <v>4</v>
      </c>
      <c r="Y1400">
        <v>3</v>
      </c>
      <c r="Z1400">
        <v>80</v>
      </c>
      <c r="AA1400">
        <v>3</v>
      </c>
      <c r="AB1400">
        <v>9</v>
      </c>
      <c r="AC1400">
        <v>2</v>
      </c>
      <c r="AD1400">
        <v>3</v>
      </c>
      <c r="AE1400">
        <v>9</v>
      </c>
      <c r="AF1400">
        <v>7</v>
      </c>
      <c r="AG1400">
        <v>2</v>
      </c>
      <c r="AH1400">
        <v>8</v>
      </c>
      <c r="AI1400">
        <f>IF(tbl_HRData[[#This Row],[Attrition]] = "Yes",1,0)</f>
        <v>0</v>
      </c>
      <c r="AJ1400">
        <f>IF(tbl_HRData[[#This Row],[Attrition]] = "No",1,0)</f>
        <v>1</v>
      </c>
      <c r="AK1400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400" s="1" t="str">
        <f>IF(tbl_HRData[[#This Row],[MonthlyIncome]]&lt;5000,"Low",
IF(tbl_HRData[[#This Row],[MonthlyIncome]]&lt;10000,"Medium",
IF(tbl_HRData[[#This Row],[MonthlyIncome]]&lt;15000,"Upper Medium","High")))</f>
        <v>Medium</v>
      </c>
      <c r="AM1400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401" spans="1:39" x14ac:dyDescent="0.35">
      <c r="A1401" s="1">
        <v>1400</v>
      </c>
      <c r="B1401">
        <v>43</v>
      </c>
      <c r="C1401" s="1" t="s">
        <v>40</v>
      </c>
      <c r="D1401" s="1" t="s">
        <v>34</v>
      </c>
      <c r="E1401">
        <v>574</v>
      </c>
      <c r="F1401" s="1" t="s">
        <v>42</v>
      </c>
      <c r="G1401">
        <v>11</v>
      </c>
      <c r="H1401">
        <v>3</v>
      </c>
      <c r="I1401" s="1" t="s">
        <v>36</v>
      </c>
      <c r="J1401">
        <v>1971</v>
      </c>
      <c r="K1401">
        <v>1</v>
      </c>
      <c r="L1401" s="1" t="s">
        <v>43</v>
      </c>
      <c r="M1401">
        <v>30</v>
      </c>
      <c r="N1401">
        <v>3</v>
      </c>
      <c r="O1401">
        <v>3</v>
      </c>
      <c r="P1401" s="1" t="s">
        <v>51</v>
      </c>
      <c r="Q1401">
        <v>3</v>
      </c>
      <c r="R1401" s="1" t="s">
        <v>45</v>
      </c>
      <c r="S1401">
        <v>7510</v>
      </c>
      <c r="T1401">
        <v>16873</v>
      </c>
      <c r="U1401">
        <v>1</v>
      </c>
      <c r="V1401" s="1" t="s">
        <v>40</v>
      </c>
      <c r="W1401">
        <v>17</v>
      </c>
      <c r="X1401">
        <v>3</v>
      </c>
      <c r="Y1401">
        <v>2</v>
      </c>
      <c r="Z1401">
        <v>80</v>
      </c>
      <c r="AA1401">
        <v>1</v>
      </c>
      <c r="AB1401">
        <v>10</v>
      </c>
      <c r="AC1401">
        <v>1</v>
      </c>
      <c r="AD1401">
        <v>3</v>
      </c>
      <c r="AE1401">
        <v>10</v>
      </c>
      <c r="AF1401">
        <v>9</v>
      </c>
      <c r="AG1401">
        <v>0</v>
      </c>
      <c r="AH1401">
        <v>9</v>
      </c>
      <c r="AI1401">
        <f>IF(tbl_HRData[[#This Row],[Attrition]] = "Yes",1,0)</f>
        <v>0</v>
      </c>
      <c r="AJ1401">
        <f>IF(tbl_HRData[[#This Row],[Attrition]] = "No",1,0)</f>
        <v>1</v>
      </c>
      <c r="AK1401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401" s="1" t="str">
        <f>IF(tbl_HRData[[#This Row],[MonthlyIncome]]&lt;5000,"Low",
IF(tbl_HRData[[#This Row],[MonthlyIncome]]&lt;10000,"Medium",
IF(tbl_HRData[[#This Row],[MonthlyIncome]]&lt;15000,"Upper Medium","High")))</f>
        <v>Medium</v>
      </c>
      <c r="AM1401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402" spans="1:39" x14ac:dyDescent="0.35">
      <c r="A1402" s="1">
        <v>1401</v>
      </c>
      <c r="B1402">
        <v>38</v>
      </c>
      <c r="C1402" s="1" t="s">
        <v>40</v>
      </c>
      <c r="D1402" s="1" t="s">
        <v>41</v>
      </c>
      <c r="E1402">
        <v>1444</v>
      </c>
      <c r="F1402" s="1" t="s">
        <v>58</v>
      </c>
      <c r="G1402">
        <v>1</v>
      </c>
      <c r="H1402">
        <v>4</v>
      </c>
      <c r="I1402" s="1" t="s">
        <v>46</v>
      </c>
      <c r="J1402">
        <v>1972</v>
      </c>
      <c r="K1402">
        <v>4</v>
      </c>
      <c r="L1402" s="1" t="s">
        <v>43</v>
      </c>
      <c r="M1402">
        <v>88</v>
      </c>
      <c r="N1402">
        <v>3</v>
      </c>
      <c r="O1402">
        <v>1</v>
      </c>
      <c r="P1402" s="1" t="s">
        <v>58</v>
      </c>
      <c r="Q1402">
        <v>2</v>
      </c>
      <c r="R1402" s="1" t="s">
        <v>45</v>
      </c>
      <c r="S1402">
        <v>2991</v>
      </c>
      <c r="T1402">
        <v>5224</v>
      </c>
      <c r="U1402">
        <v>0</v>
      </c>
      <c r="V1402" s="1" t="s">
        <v>33</v>
      </c>
      <c r="W1402">
        <v>11</v>
      </c>
      <c r="X1402">
        <v>3</v>
      </c>
      <c r="Y1402">
        <v>2</v>
      </c>
      <c r="Z1402">
        <v>80</v>
      </c>
      <c r="AA1402">
        <v>1</v>
      </c>
      <c r="AB1402">
        <v>7</v>
      </c>
      <c r="AC1402">
        <v>2</v>
      </c>
      <c r="AD1402">
        <v>3</v>
      </c>
      <c r="AE1402">
        <v>6</v>
      </c>
      <c r="AF1402">
        <v>2</v>
      </c>
      <c r="AG1402">
        <v>1</v>
      </c>
      <c r="AH1402">
        <v>2</v>
      </c>
      <c r="AI1402">
        <f>IF(tbl_HRData[[#This Row],[Attrition]] = "Yes",1,0)</f>
        <v>0</v>
      </c>
      <c r="AJ1402">
        <f>IF(tbl_HRData[[#This Row],[Attrition]] = "No",1,0)</f>
        <v>1</v>
      </c>
      <c r="AK1402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402" s="1" t="str">
        <f>IF(tbl_HRData[[#This Row],[MonthlyIncome]]&lt;5000,"Low",
IF(tbl_HRData[[#This Row],[MonthlyIncome]]&lt;10000,"Medium",
IF(tbl_HRData[[#This Row],[MonthlyIncome]]&lt;15000,"Upper Medium","High")))</f>
        <v>Low</v>
      </c>
      <c r="AM1402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403" spans="1:39" x14ac:dyDescent="0.35">
      <c r="A1403" s="1">
        <v>1402</v>
      </c>
      <c r="B1403">
        <v>55</v>
      </c>
      <c r="C1403" s="1" t="s">
        <v>40</v>
      </c>
      <c r="D1403" s="1" t="s">
        <v>34</v>
      </c>
      <c r="E1403">
        <v>189</v>
      </c>
      <c r="F1403" s="1" t="s">
        <v>58</v>
      </c>
      <c r="G1403">
        <v>26</v>
      </c>
      <c r="H1403">
        <v>4</v>
      </c>
      <c r="I1403" s="1" t="s">
        <v>58</v>
      </c>
      <c r="J1403">
        <v>1973</v>
      </c>
      <c r="K1403">
        <v>3</v>
      </c>
      <c r="L1403" s="1" t="s">
        <v>43</v>
      </c>
      <c r="M1403">
        <v>71</v>
      </c>
      <c r="N1403">
        <v>4</v>
      </c>
      <c r="O1403">
        <v>5</v>
      </c>
      <c r="P1403" s="1" t="s">
        <v>53</v>
      </c>
      <c r="Q1403">
        <v>2</v>
      </c>
      <c r="R1403" s="1" t="s">
        <v>45</v>
      </c>
      <c r="S1403">
        <v>19636</v>
      </c>
      <c r="T1403">
        <v>25811</v>
      </c>
      <c r="U1403">
        <v>4</v>
      </c>
      <c r="V1403" s="1" t="s">
        <v>33</v>
      </c>
      <c r="W1403">
        <v>18</v>
      </c>
      <c r="X1403">
        <v>3</v>
      </c>
      <c r="Y1403">
        <v>1</v>
      </c>
      <c r="Z1403">
        <v>80</v>
      </c>
      <c r="AA1403">
        <v>1</v>
      </c>
      <c r="AB1403">
        <v>35</v>
      </c>
      <c r="AC1403">
        <v>0</v>
      </c>
      <c r="AD1403">
        <v>3</v>
      </c>
      <c r="AE1403">
        <v>10</v>
      </c>
      <c r="AF1403">
        <v>9</v>
      </c>
      <c r="AG1403">
        <v>1</v>
      </c>
      <c r="AH1403">
        <v>4</v>
      </c>
      <c r="AI1403">
        <f>IF(tbl_HRData[[#This Row],[Attrition]] = "Yes",1,0)</f>
        <v>0</v>
      </c>
      <c r="AJ1403">
        <f>IF(tbl_HRData[[#This Row],[Attrition]] = "No",1,0)</f>
        <v>1</v>
      </c>
      <c r="AK1403" t="str">
        <f>IF(tbl_HRData[[#This Row],[Age]] &lt; 25, "Under 25", IF(tbl_HRData[[#This Row],[Age]] &lt;= 34, "25-34", IF(tbl_HRData[[#This Row],[Age]] &lt;= 44, "35-44", IF(tbl_HRData[[#This Row],[Age]] &lt;= 54, "45-54", "55+"))))</f>
        <v>55+</v>
      </c>
      <c r="AL1403" s="1" t="str">
        <f>IF(tbl_HRData[[#This Row],[MonthlyIncome]]&lt;5000,"Low",
IF(tbl_HRData[[#This Row],[MonthlyIncome]]&lt;10000,"Medium",
IF(tbl_HRData[[#This Row],[MonthlyIncome]]&lt;15000,"Upper Medium","High")))</f>
        <v>High</v>
      </c>
      <c r="AM1403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404" spans="1:39" x14ac:dyDescent="0.35">
      <c r="A1404" s="1">
        <v>1403</v>
      </c>
      <c r="B1404">
        <v>31</v>
      </c>
      <c r="C1404" s="1" t="s">
        <v>40</v>
      </c>
      <c r="D1404" s="1" t="s">
        <v>34</v>
      </c>
      <c r="E1404">
        <v>1276</v>
      </c>
      <c r="F1404" s="1" t="s">
        <v>42</v>
      </c>
      <c r="G1404">
        <v>2</v>
      </c>
      <c r="H1404">
        <v>1</v>
      </c>
      <c r="I1404" s="1" t="s">
        <v>48</v>
      </c>
      <c r="J1404">
        <v>1974</v>
      </c>
      <c r="K1404">
        <v>4</v>
      </c>
      <c r="L1404" s="1" t="s">
        <v>37</v>
      </c>
      <c r="M1404">
        <v>59</v>
      </c>
      <c r="N1404">
        <v>1</v>
      </c>
      <c r="O1404">
        <v>1</v>
      </c>
      <c r="P1404" s="1" t="s">
        <v>47</v>
      </c>
      <c r="Q1404">
        <v>4</v>
      </c>
      <c r="R1404" s="1" t="s">
        <v>49</v>
      </c>
      <c r="S1404">
        <v>1129</v>
      </c>
      <c r="T1404">
        <v>17536</v>
      </c>
      <c r="U1404">
        <v>1</v>
      </c>
      <c r="V1404" s="1" t="s">
        <v>33</v>
      </c>
      <c r="W1404">
        <v>11</v>
      </c>
      <c r="X1404">
        <v>3</v>
      </c>
      <c r="Y1404">
        <v>3</v>
      </c>
      <c r="Z1404">
        <v>80</v>
      </c>
      <c r="AA1404">
        <v>3</v>
      </c>
      <c r="AB1404">
        <v>1</v>
      </c>
      <c r="AC1404">
        <v>4</v>
      </c>
      <c r="AD1404">
        <v>3</v>
      </c>
      <c r="AE1404">
        <v>1</v>
      </c>
      <c r="AF1404">
        <v>0</v>
      </c>
      <c r="AG1404">
        <v>0</v>
      </c>
      <c r="AH1404">
        <v>0</v>
      </c>
      <c r="AI1404">
        <f>IF(tbl_HRData[[#This Row],[Attrition]] = "Yes",1,0)</f>
        <v>0</v>
      </c>
      <c r="AJ1404">
        <f>IF(tbl_HRData[[#This Row],[Attrition]] = "No",1,0)</f>
        <v>1</v>
      </c>
      <c r="AK1404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404" s="1" t="str">
        <f>IF(tbl_HRData[[#This Row],[MonthlyIncome]]&lt;5000,"Low",
IF(tbl_HRData[[#This Row],[MonthlyIncome]]&lt;10000,"Medium",
IF(tbl_HRData[[#This Row],[MonthlyIncome]]&lt;15000,"Upper Medium","High")))</f>
        <v>Low</v>
      </c>
      <c r="AM1404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405" spans="1:39" x14ac:dyDescent="0.35">
      <c r="A1405" s="1">
        <v>1404</v>
      </c>
      <c r="B1405">
        <v>39</v>
      </c>
      <c r="C1405" s="1" t="s">
        <v>40</v>
      </c>
      <c r="D1405" s="1" t="s">
        <v>34</v>
      </c>
      <c r="E1405">
        <v>119</v>
      </c>
      <c r="F1405" s="1" t="s">
        <v>35</v>
      </c>
      <c r="G1405">
        <v>15</v>
      </c>
      <c r="H1405">
        <v>4</v>
      </c>
      <c r="I1405" s="1" t="s">
        <v>56</v>
      </c>
      <c r="J1405">
        <v>1975</v>
      </c>
      <c r="K1405">
        <v>2</v>
      </c>
      <c r="L1405" s="1" t="s">
        <v>43</v>
      </c>
      <c r="M1405">
        <v>77</v>
      </c>
      <c r="N1405">
        <v>3</v>
      </c>
      <c r="O1405">
        <v>4</v>
      </c>
      <c r="P1405" s="1" t="s">
        <v>38</v>
      </c>
      <c r="Q1405">
        <v>1</v>
      </c>
      <c r="R1405" s="1" t="s">
        <v>39</v>
      </c>
      <c r="S1405">
        <v>13341</v>
      </c>
      <c r="T1405">
        <v>25098</v>
      </c>
      <c r="U1405">
        <v>0</v>
      </c>
      <c r="V1405" s="1" t="s">
        <v>40</v>
      </c>
      <c r="W1405">
        <v>12</v>
      </c>
      <c r="X1405">
        <v>3</v>
      </c>
      <c r="Y1405">
        <v>1</v>
      </c>
      <c r="Z1405">
        <v>80</v>
      </c>
      <c r="AA1405">
        <v>0</v>
      </c>
      <c r="AB1405">
        <v>21</v>
      </c>
      <c r="AC1405">
        <v>3</v>
      </c>
      <c r="AD1405">
        <v>3</v>
      </c>
      <c r="AE1405">
        <v>20</v>
      </c>
      <c r="AF1405">
        <v>8</v>
      </c>
      <c r="AG1405">
        <v>11</v>
      </c>
      <c r="AH1405">
        <v>10</v>
      </c>
      <c r="AI1405">
        <f>IF(tbl_HRData[[#This Row],[Attrition]] = "Yes",1,0)</f>
        <v>0</v>
      </c>
      <c r="AJ1405">
        <f>IF(tbl_HRData[[#This Row],[Attrition]] = "No",1,0)</f>
        <v>1</v>
      </c>
      <c r="AK1405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405" s="1" t="str">
        <f>IF(tbl_HRData[[#This Row],[MonthlyIncome]]&lt;5000,"Low",
IF(tbl_HRData[[#This Row],[MonthlyIncome]]&lt;10000,"Medium",
IF(tbl_HRData[[#This Row],[MonthlyIncome]]&lt;15000,"Upper Medium","High")))</f>
        <v>Upper Medium</v>
      </c>
      <c r="AM1405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1406" spans="1:39" x14ac:dyDescent="0.35">
      <c r="A1406" s="1">
        <v>1405</v>
      </c>
      <c r="B1406">
        <v>42</v>
      </c>
      <c r="C1406" s="1" t="s">
        <v>40</v>
      </c>
      <c r="D1406" s="1" t="s">
        <v>52</v>
      </c>
      <c r="E1406">
        <v>335</v>
      </c>
      <c r="F1406" s="1" t="s">
        <v>42</v>
      </c>
      <c r="G1406">
        <v>23</v>
      </c>
      <c r="H1406">
        <v>2</v>
      </c>
      <c r="I1406" s="1" t="s">
        <v>36</v>
      </c>
      <c r="J1406">
        <v>1976</v>
      </c>
      <c r="K1406">
        <v>4</v>
      </c>
      <c r="L1406" s="1" t="s">
        <v>43</v>
      </c>
      <c r="M1406">
        <v>37</v>
      </c>
      <c r="N1406">
        <v>2</v>
      </c>
      <c r="O1406">
        <v>2</v>
      </c>
      <c r="P1406" s="1" t="s">
        <v>44</v>
      </c>
      <c r="Q1406">
        <v>3</v>
      </c>
      <c r="R1406" s="1" t="s">
        <v>39</v>
      </c>
      <c r="S1406">
        <v>4332</v>
      </c>
      <c r="T1406">
        <v>14811</v>
      </c>
      <c r="U1406">
        <v>1</v>
      </c>
      <c r="V1406" s="1" t="s">
        <v>40</v>
      </c>
      <c r="W1406">
        <v>12</v>
      </c>
      <c r="X1406">
        <v>3</v>
      </c>
      <c r="Y1406">
        <v>4</v>
      </c>
      <c r="Z1406">
        <v>80</v>
      </c>
      <c r="AA1406">
        <v>0</v>
      </c>
      <c r="AB1406">
        <v>20</v>
      </c>
      <c r="AC1406">
        <v>2</v>
      </c>
      <c r="AD1406">
        <v>3</v>
      </c>
      <c r="AE1406">
        <v>20</v>
      </c>
      <c r="AF1406">
        <v>9</v>
      </c>
      <c r="AG1406">
        <v>3</v>
      </c>
      <c r="AH1406">
        <v>7</v>
      </c>
      <c r="AI1406">
        <f>IF(tbl_HRData[[#This Row],[Attrition]] = "Yes",1,0)</f>
        <v>0</v>
      </c>
      <c r="AJ1406">
        <f>IF(tbl_HRData[[#This Row],[Attrition]] = "No",1,0)</f>
        <v>1</v>
      </c>
      <c r="AK1406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406" s="1" t="str">
        <f>IF(tbl_HRData[[#This Row],[MonthlyIncome]]&lt;5000,"Low",
IF(tbl_HRData[[#This Row],[MonthlyIncome]]&lt;10000,"Medium",
IF(tbl_HRData[[#This Row],[MonthlyIncome]]&lt;15000,"Upper Medium","High")))</f>
        <v>Low</v>
      </c>
      <c r="AM1406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1407" spans="1:39" x14ac:dyDescent="0.35">
      <c r="A1407" s="1">
        <v>1406</v>
      </c>
      <c r="B1407">
        <v>31</v>
      </c>
      <c r="C1407" s="1" t="s">
        <v>40</v>
      </c>
      <c r="D1407" s="1" t="s">
        <v>52</v>
      </c>
      <c r="E1407">
        <v>697</v>
      </c>
      <c r="F1407" s="1" t="s">
        <v>42</v>
      </c>
      <c r="G1407">
        <v>10</v>
      </c>
      <c r="H1407">
        <v>3</v>
      </c>
      <c r="I1407" s="1" t="s">
        <v>48</v>
      </c>
      <c r="J1407">
        <v>1979</v>
      </c>
      <c r="K1407">
        <v>3</v>
      </c>
      <c r="L1407" s="1" t="s">
        <v>37</v>
      </c>
      <c r="M1407">
        <v>40</v>
      </c>
      <c r="N1407">
        <v>3</v>
      </c>
      <c r="O1407">
        <v>3</v>
      </c>
      <c r="P1407" s="1" t="s">
        <v>55</v>
      </c>
      <c r="Q1407">
        <v>3</v>
      </c>
      <c r="R1407" s="1" t="s">
        <v>45</v>
      </c>
      <c r="S1407">
        <v>11031</v>
      </c>
      <c r="T1407">
        <v>26862</v>
      </c>
      <c r="U1407">
        <v>4</v>
      </c>
      <c r="V1407" s="1" t="s">
        <v>40</v>
      </c>
      <c r="W1407">
        <v>20</v>
      </c>
      <c r="X1407">
        <v>4</v>
      </c>
      <c r="Y1407">
        <v>3</v>
      </c>
      <c r="Z1407">
        <v>80</v>
      </c>
      <c r="AA1407">
        <v>1</v>
      </c>
      <c r="AB1407">
        <v>13</v>
      </c>
      <c r="AC1407">
        <v>2</v>
      </c>
      <c r="AD1407">
        <v>4</v>
      </c>
      <c r="AE1407">
        <v>11</v>
      </c>
      <c r="AF1407">
        <v>7</v>
      </c>
      <c r="AG1407">
        <v>4</v>
      </c>
      <c r="AH1407">
        <v>8</v>
      </c>
      <c r="AI1407">
        <f>IF(tbl_HRData[[#This Row],[Attrition]] = "Yes",1,0)</f>
        <v>0</v>
      </c>
      <c r="AJ1407">
        <f>IF(tbl_HRData[[#This Row],[Attrition]] = "No",1,0)</f>
        <v>1</v>
      </c>
      <c r="AK1407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407" s="1" t="str">
        <f>IF(tbl_HRData[[#This Row],[MonthlyIncome]]&lt;5000,"Low",
IF(tbl_HRData[[#This Row],[MonthlyIncome]]&lt;10000,"Medium",
IF(tbl_HRData[[#This Row],[MonthlyIncome]]&lt;15000,"Upper Medium","High")))</f>
        <v>Upper Medium</v>
      </c>
      <c r="AM1407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1408" spans="1:39" x14ac:dyDescent="0.35">
      <c r="A1408" s="1">
        <v>1407</v>
      </c>
      <c r="B1408">
        <v>54</v>
      </c>
      <c r="C1408" s="1" t="s">
        <v>40</v>
      </c>
      <c r="D1408" s="1" t="s">
        <v>34</v>
      </c>
      <c r="E1408">
        <v>157</v>
      </c>
      <c r="F1408" s="1" t="s">
        <v>42</v>
      </c>
      <c r="G1408">
        <v>10</v>
      </c>
      <c r="H1408">
        <v>3</v>
      </c>
      <c r="I1408" s="1" t="s">
        <v>48</v>
      </c>
      <c r="J1408">
        <v>1980</v>
      </c>
      <c r="K1408">
        <v>3</v>
      </c>
      <c r="L1408" s="1" t="s">
        <v>37</v>
      </c>
      <c r="M1408">
        <v>77</v>
      </c>
      <c r="N1408">
        <v>3</v>
      </c>
      <c r="O1408">
        <v>2</v>
      </c>
      <c r="P1408" s="1" t="s">
        <v>50</v>
      </c>
      <c r="Q1408">
        <v>1</v>
      </c>
      <c r="R1408" s="1" t="s">
        <v>39</v>
      </c>
      <c r="S1408">
        <v>4440</v>
      </c>
      <c r="T1408">
        <v>25198</v>
      </c>
      <c r="U1408">
        <v>6</v>
      </c>
      <c r="V1408" s="1" t="s">
        <v>33</v>
      </c>
      <c r="W1408">
        <v>19</v>
      </c>
      <c r="X1408">
        <v>3</v>
      </c>
      <c r="Y1408">
        <v>4</v>
      </c>
      <c r="Z1408">
        <v>80</v>
      </c>
      <c r="AA1408">
        <v>0</v>
      </c>
      <c r="AB1408">
        <v>9</v>
      </c>
      <c r="AC1408">
        <v>3</v>
      </c>
      <c r="AD1408">
        <v>3</v>
      </c>
      <c r="AE1408">
        <v>5</v>
      </c>
      <c r="AF1408">
        <v>2</v>
      </c>
      <c r="AG1408">
        <v>1</v>
      </c>
      <c r="AH1408">
        <v>4</v>
      </c>
      <c r="AI1408">
        <f>IF(tbl_HRData[[#This Row],[Attrition]] = "Yes",1,0)</f>
        <v>0</v>
      </c>
      <c r="AJ1408">
        <f>IF(tbl_HRData[[#This Row],[Attrition]] = "No",1,0)</f>
        <v>1</v>
      </c>
      <c r="AK1408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1408" s="1" t="str">
        <f>IF(tbl_HRData[[#This Row],[MonthlyIncome]]&lt;5000,"Low",
IF(tbl_HRData[[#This Row],[MonthlyIncome]]&lt;10000,"Medium",
IF(tbl_HRData[[#This Row],[MonthlyIncome]]&lt;15000,"Upper Medium","High")))</f>
        <v>Low</v>
      </c>
      <c r="AM1408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409" spans="1:39" x14ac:dyDescent="0.35">
      <c r="A1409" s="1">
        <v>1408</v>
      </c>
      <c r="B1409">
        <v>24</v>
      </c>
      <c r="C1409" s="1" t="s">
        <v>40</v>
      </c>
      <c r="D1409" s="1" t="s">
        <v>34</v>
      </c>
      <c r="E1409">
        <v>771</v>
      </c>
      <c r="F1409" s="1" t="s">
        <v>42</v>
      </c>
      <c r="G1409">
        <v>1</v>
      </c>
      <c r="H1409">
        <v>2</v>
      </c>
      <c r="I1409" s="1" t="s">
        <v>36</v>
      </c>
      <c r="J1409">
        <v>1981</v>
      </c>
      <c r="K1409">
        <v>2</v>
      </c>
      <c r="L1409" s="1" t="s">
        <v>43</v>
      </c>
      <c r="M1409">
        <v>45</v>
      </c>
      <c r="N1409">
        <v>2</v>
      </c>
      <c r="O1409">
        <v>2</v>
      </c>
      <c r="P1409" s="1" t="s">
        <v>51</v>
      </c>
      <c r="Q1409">
        <v>3</v>
      </c>
      <c r="R1409" s="1" t="s">
        <v>39</v>
      </c>
      <c r="S1409">
        <v>4617</v>
      </c>
      <c r="T1409">
        <v>14120</v>
      </c>
      <c r="U1409">
        <v>1</v>
      </c>
      <c r="V1409" s="1" t="s">
        <v>40</v>
      </c>
      <c r="W1409">
        <v>12</v>
      </c>
      <c r="X1409">
        <v>3</v>
      </c>
      <c r="Y1409">
        <v>2</v>
      </c>
      <c r="Z1409">
        <v>80</v>
      </c>
      <c r="AA1409">
        <v>0</v>
      </c>
      <c r="AB1409">
        <v>4</v>
      </c>
      <c r="AC1409">
        <v>2</v>
      </c>
      <c r="AD1409">
        <v>2</v>
      </c>
      <c r="AE1409">
        <v>4</v>
      </c>
      <c r="AF1409">
        <v>3</v>
      </c>
      <c r="AG1409">
        <v>1</v>
      </c>
      <c r="AH1409">
        <v>2</v>
      </c>
      <c r="AI1409">
        <f>IF(tbl_HRData[[#This Row],[Attrition]] = "Yes",1,0)</f>
        <v>0</v>
      </c>
      <c r="AJ1409">
        <f>IF(tbl_HRData[[#This Row],[Attrition]] = "No",1,0)</f>
        <v>1</v>
      </c>
      <c r="AK1409" t="str">
        <f>IF(tbl_HRData[[#This Row],[Age]] &lt; 25, "Under 25", IF(tbl_HRData[[#This Row],[Age]] &lt;= 34, "25-34", IF(tbl_HRData[[#This Row],[Age]] &lt;= 44, "35-44", IF(tbl_HRData[[#This Row],[Age]] &lt;= 54, "45-54", "55+"))))</f>
        <v>Under 25</v>
      </c>
      <c r="AL1409" s="1" t="str">
        <f>IF(tbl_HRData[[#This Row],[MonthlyIncome]]&lt;5000,"Low",
IF(tbl_HRData[[#This Row],[MonthlyIncome]]&lt;10000,"Medium",
IF(tbl_HRData[[#This Row],[MonthlyIncome]]&lt;15000,"Upper Medium","High")))</f>
        <v>Low</v>
      </c>
      <c r="AM1409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410" spans="1:39" x14ac:dyDescent="0.35">
      <c r="A1410" s="1">
        <v>1409</v>
      </c>
      <c r="B1410">
        <v>23</v>
      </c>
      <c r="C1410" s="1" t="s">
        <v>40</v>
      </c>
      <c r="D1410" s="1" t="s">
        <v>34</v>
      </c>
      <c r="E1410">
        <v>571</v>
      </c>
      <c r="F1410" s="1" t="s">
        <v>42</v>
      </c>
      <c r="G1410">
        <v>12</v>
      </c>
      <c r="H1410">
        <v>2</v>
      </c>
      <c r="I1410" s="1" t="s">
        <v>46</v>
      </c>
      <c r="J1410">
        <v>1982</v>
      </c>
      <c r="K1410">
        <v>4</v>
      </c>
      <c r="L1410" s="1" t="s">
        <v>43</v>
      </c>
      <c r="M1410">
        <v>78</v>
      </c>
      <c r="N1410">
        <v>3</v>
      </c>
      <c r="O1410">
        <v>1</v>
      </c>
      <c r="P1410" s="1" t="s">
        <v>47</v>
      </c>
      <c r="Q1410">
        <v>4</v>
      </c>
      <c r="R1410" s="1" t="s">
        <v>39</v>
      </c>
      <c r="S1410">
        <v>2647</v>
      </c>
      <c r="T1410">
        <v>13672</v>
      </c>
      <c r="U1410">
        <v>1</v>
      </c>
      <c r="V1410" s="1" t="s">
        <v>40</v>
      </c>
      <c r="W1410">
        <v>13</v>
      </c>
      <c r="X1410">
        <v>3</v>
      </c>
      <c r="Y1410">
        <v>3</v>
      </c>
      <c r="Z1410">
        <v>80</v>
      </c>
      <c r="AA1410">
        <v>0</v>
      </c>
      <c r="AB1410">
        <v>5</v>
      </c>
      <c r="AC1410">
        <v>6</v>
      </c>
      <c r="AD1410">
        <v>4</v>
      </c>
      <c r="AE1410">
        <v>5</v>
      </c>
      <c r="AF1410">
        <v>2</v>
      </c>
      <c r="AG1410">
        <v>1</v>
      </c>
      <c r="AH1410">
        <v>4</v>
      </c>
      <c r="AI1410">
        <f>IF(tbl_HRData[[#This Row],[Attrition]] = "Yes",1,0)</f>
        <v>0</v>
      </c>
      <c r="AJ1410">
        <f>IF(tbl_HRData[[#This Row],[Attrition]] = "No",1,0)</f>
        <v>1</v>
      </c>
      <c r="AK1410" t="str">
        <f>IF(tbl_HRData[[#This Row],[Age]] &lt; 25, "Under 25", IF(tbl_HRData[[#This Row],[Age]] &lt;= 34, "25-34", IF(tbl_HRData[[#This Row],[Age]] &lt;= 44, "35-44", IF(tbl_HRData[[#This Row],[Age]] &lt;= 54, "45-54", "55+"))))</f>
        <v>Under 25</v>
      </c>
      <c r="AL1410" s="1" t="str">
        <f>IF(tbl_HRData[[#This Row],[MonthlyIncome]]&lt;5000,"Low",
IF(tbl_HRData[[#This Row],[MonthlyIncome]]&lt;10000,"Medium",
IF(tbl_HRData[[#This Row],[MonthlyIncome]]&lt;15000,"Upper Medium","High")))</f>
        <v>Low</v>
      </c>
      <c r="AM1410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411" spans="1:39" x14ac:dyDescent="0.35">
      <c r="A1411" s="1">
        <v>1410</v>
      </c>
      <c r="B1411">
        <v>40</v>
      </c>
      <c r="C1411" s="1" t="s">
        <v>40</v>
      </c>
      <c r="D1411" s="1" t="s">
        <v>41</v>
      </c>
      <c r="E1411">
        <v>692</v>
      </c>
      <c r="F1411" s="1" t="s">
        <v>42</v>
      </c>
      <c r="G1411">
        <v>11</v>
      </c>
      <c r="H1411">
        <v>3</v>
      </c>
      <c r="I1411" s="1" t="s">
        <v>57</v>
      </c>
      <c r="J1411">
        <v>1985</v>
      </c>
      <c r="K1411">
        <v>4</v>
      </c>
      <c r="L1411" s="1" t="s">
        <v>37</v>
      </c>
      <c r="M1411">
        <v>73</v>
      </c>
      <c r="N1411">
        <v>3</v>
      </c>
      <c r="O1411">
        <v>2</v>
      </c>
      <c r="P1411" s="1" t="s">
        <v>47</v>
      </c>
      <c r="Q1411">
        <v>3</v>
      </c>
      <c r="R1411" s="1" t="s">
        <v>45</v>
      </c>
      <c r="S1411">
        <v>6323</v>
      </c>
      <c r="T1411">
        <v>26849</v>
      </c>
      <c r="U1411">
        <v>1</v>
      </c>
      <c r="V1411" s="1" t="s">
        <v>40</v>
      </c>
      <c r="W1411">
        <v>11</v>
      </c>
      <c r="X1411">
        <v>3</v>
      </c>
      <c r="Y1411">
        <v>1</v>
      </c>
      <c r="Z1411">
        <v>80</v>
      </c>
      <c r="AA1411">
        <v>1</v>
      </c>
      <c r="AB1411">
        <v>10</v>
      </c>
      <c r="AC1411">
        <v>2</v>
      </c>
      <c r="AD1411">
        <v>4</v>
      </c>
      <c r="AE1411">
        <v>10</v>
      </c>
      <c r="AF1411">
        <v>9</v>
      </c>
      <c r="AG1411">
        <v>9</v>
      </c>
      <c r="AH1411">
        <v>4</v>
      </c>
      <c r="AI1411">
        <f>IF(tbl_HRData[[#This Row],[Attrition]] = "Yes",1,0)</f>
        <v>0</v>
      </c>
      <c r="AJ1411">
        <f>IF(tbl_HRData[[#This Row],[Attrition]] = "No",1,0)</f>
        <v>1</v>
      </c>
      <c r="AK1411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411" s="1" t="str">
        <f>IF(tbl_HRData[[#This Row],[MonthlyIncome]]&lt;5000,"Low",
IF(tbl_HRData[[#This Row],[MonthlyIncome]]&lt;10000,"Medium",
IF(tbl_HRData[[#This Row],[MonthlyIncome]]&lt;15000,"Upper Medium","High")))</f>
        <v>Medium</v>
      </c>
      <c r="AM1411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412" spans="1:39" x14ac:dyDescent="0.35">
      <c r="A1412" s="1">
        <v>1411</v>
      </c>
      <c r="B1412">
        <v>40</v>
      </c>
      <c r="C1412" s="1" t="s">
        <v>40</v>
      </c>
      <c r="D1412" s="1" t="s">
        <v>34</v>
      </c>
      <c r="E1412">
        <v>444</v>
      </c>
      <c r="F1412" s="1" t="s">
        <v>35</v>
      </c>
      <c r="G1412">
        <v>2</v>
      </c>
      <c r="H1412">
        <v>2</v>
      </c>
      <c r="I1412" s="1" t="s">
        <v>56</v>
      </c>
      <c r="J1412">
        <v>1986</v>
      </c>
      <c r="K1412">
        <v>2</v>
      </c>
      <c r="L1412" s="1" t="s">
        <v>37</v>
      </c>
      <c r="M1412">
        <v>92</v>
      </c>
      <c r="N1412">
        <v>3</v>
      </c>
      <c r="O1412">
        <v>2</v>
      </c>
      <c r="P1412" s="1" t="s">
        <v>38</v>
      </c>
      <c r="Q1412">
        <v>2</v>
      </c>
      <c r="R1412" s="1" t="s">
        <v>45</v>
      </c>
      <c r="S1412">
        <v>5677</v>
      </c>
      <c r="T1412">
        <v>4258</v>
      </c>
      <c r="U1412">
        <v>3</v>
      </c>
      <c r="V1412" s="1" t="s">
        <v>40</v>
      </c>
      <c r="W1412">
        <v>14</v>
      </c>
      <c r="X1412">
        <v>3</v>
      </c>
      <c r="Y1412">
        <v>3</v>
      </c>
      <c r="Z1412">
        <v>80</v>
      </c>
      <c r="AA1412">
        <v>1</v>
      </c>
      <c r="AB1412">
        <v>15</v>
      </c>
      <c r="AC1412">
        <v>4</v>
      </c>
      <c r="AD1412">
        <v>3</v>
      </c>
      <c r="AE1412">
        <v>11</v>
      </c>
      <c r="AF1412">
        <v>8</v>
      </c>
      <c r="AG1412">
        <v>5</v>
      </c>
      <c r="AH1412">
        <v>10</v>
      </c>
      <c r="AI1412">
        <f>IF(tbl_HRData[[#This Row],[Attrition]] = "Yes",1,0)</f>
        <v>0</v>
      </c>
      <c r="AJ1412">
        <f>IF(tbl_HRData[[#This Row],[Attrition]] = "No",1,0)</f>
        <v>1</v>
      </c>
      <c r="AK1412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412" s="1" t="str">
        <f>IF(tbl_HRData[[#This Row],[MonthlyIncome]]&lt;5000,"Low",
IF(tbl_HRData[[#This Row],[MonthlyIncome]]&lt;10000,"Medium",
IF(tbl_HRData[[#This Row],[MonthlyIncome]]&lt;15000,"Upper Medium","High")))</f>
        <v>Medium</v>
      </c>
      <c r="AM1412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1413" spans="1:39" x14ac:dyDescent="0.35">
      <c r="A1413" s="1">
        <v>1412</v>
      </c>
      <c r="B1413">
        <v>25</v>
      </c>
      <c r="C1413" s="1" t="s">
        <v>40</v>
      </c>
      <c r="D1413" s="1" t="s">
        <v>34</v>
      </c>
      <c r="E1413">
        <v>309</v>
      </c>
      <c r="F1413" s="1" t="s">
        <v>58</v>
      </c>
      <c r="G1413">
        <v>2</v>
      </c>
      <c r="H1413">
        <v>3</v>
      </c>
      <c r="I1413" s="1" t="s">
        <v>58</v>
      </c>
      <c r="J1413">
        <v>1987</v>
      </c>
      <c r="K1413">
        <v>3</v>
      </c>
      <c r="L1413" s="1" t="s">
        <v>37</v>
      </c>
      <c r="M1413">
        <v>82</v>
      </c>
      <c r="N1413">
        <v>3</v>
      </c>
      <c r="O1413">
        <v>1</v>
      </c>
      <c r="P1413" s="1" t="s">
        <v>58</v>
      </c>
      <c r="Q1413">
        <v>2</v>
      </c>
      <c r="R1413" s="1" t="s">
        <v>45</v>
      </c>
      <c r="S1413">
        <v>2187</v>
      </c>
      <c r="T1413">
        <v>19655</v>
      </c>
      <c r="U1413">
        <v>4</v>
      </c>
      <c r="V1413" s="1" t="s">
        <v>40</v>
      </c>
      <c r="W1413">
        <v>14</v>
      </c>
      <c r="X1413">
        <v>3</v>
      </c>
      <c r="Y1413">
        <v>3</v>
      </c>
      <c r="Z1413">
        <v>80</v>
      </c>
      <c r="AA1413">
        <v>0</v>
      </c>
      <c r="AB1413">
        <v>6</v>
      </c>
      <c r="AC1413">
        <v>3</v>
      </c>
      <c r="AD1413">
        <v>3</v>
      </c>
      <c r="AE1413">
        <v>2</v>
      </c>
      <c r="AF1413">
        <v>0</v>
      </c>
      <c r="AG1413">
        <v>1</v>
      </c>
      <c r="AH1413">
        <v>2</v>
      </c>
      <c r="AI1413">
        <f>IF(tbl_HRData[[#This Row],[Attrition]] = "Yes",1,0)</f>
        <v>0</v>
      </c>
      <c r="AJ1413">
        <f>IF(tbl_HRData[[#This Row],[Attrition]] = "No",1,0)</f>
        <v>1</v>
      </c>
      <c r="AK1413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413" s="1" t="str">
        <f>IF(tbl_HRData[[#This Row],[MonthlyIncome]]&lt;5000,"Low",
IF(tbl_HRData[[#This Row],[MonthlyIncome]]&lt;10000,"Medium",
IF(tbl_HRData[[#This Row],[MonthlyIncome]]&lt;15000,"Upper Medium","High")))</f>
        <v>Low</v>
      </c>
      <c r="AM1413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414" spans="1:39" x14ac:dyDescent="0.35">
      <c r="A1414" s="1">
        <v>1413</v>
      </c>
      <c r="B1414">
        <v>30</v>
      </c>
      <c r="C1414" s="1" t="s">
        <v>40</v>
      </c>
      <c r="D1414" s="1" t="s">
        <v>34</v>
      </c>
      <c r="E1414">
        <v>911</v>
      </c>
      <c r="F1414" s="1" t="s">
        <v>42</v>
      </c>
      <c r="G1414">
        <v>1</v>
      </c>
      <c r="H1414">
        <v>2</v>
      </c>
      <c r="I1414" s="1" t="s">
        <v>48</v>
      </c>
      <c r="J1414">
        <v>1989</v>
      </c>
      <c r="K1414">
        <v>4</v>
      </c>
      <c r="L1414" s="1" t="s">
        <v>43</v>
      </c>
      <c r="M1414">
        <v>76</v>
      </c>
      <c r="N1414">
        <v>3</v>
      </c>
      <c r="O1414">
        <v>1</v>
      </c>
      <c r="P1414" s="1" t="s">
        <v>47</v>
      </c>
      <c r="Q1414">
        <v>2</v>
      </c>
      <c r="R1414" s="1" t="s">
        <v>45</v>
      </c>
      <c r="S1414">
        <v>3748</v>
      </c>
      <c r="T1414">
        <v>4077</v>
      </c>
      <c r="U1414">
        <v>1</v>
      </c>
      <c r="V1414" s="1" t="s">
        <v>40</v>
      </c>
      <c r="W1414">
        <v>13</v>
      </c>
      <c r="X1414">
        <v>3</v>
      </c>
      <c r="Y1414">
        <v>3</v>
      </c>
      <c r="Z1414">
        <v>80</v>
      </c>
      <c r="AA1414">
        <v>0</v>
      </c>
      <c r="AB1414">
        <v>12</v>
      </c>
      <c r="AC1414">
        <v>6</v>
      </c>
      <c r="AD1414">
        <v>2</v>
      </c>
      <c r="AE1414">
        <v>12</v>
      </c>
      <c r="AF1414">
        <v>8</v>
      </c>
      <c r="AG1414">
        <v>1</v>
      </c>
      <c r="AH1414">
        <v>7</v>
      </c>
      <c r="AI1414">
        <f>IF(tbl_HRData[[#This Row],[Attrition]] = "Yes",1,0)</f>
        <v>0</v>
      </c>
      <c r="AJ1414">
        <f>IF(tbl_HRData[[#This Row],[Attrition]] = "No",1,0)</f>
        <v>1</v>
      </c>
      <c r="AK1414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414" s="1" t="str">
        <f>IF(tbl_HRData[[#This Row],[MonthlyIncome]]&lt;5000,"Low",
IF(tbl_HRData[[#This Row],[MonthlyIncome]]&lt;10000,"Medium",
IF(tbl_HRData[[#This Row],[MonthlyIncome]]&lt;15000,"Upper Medium","High")))</f>
        <v>Low</v>
      </c>
      <c r="AM1414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1415" spans="1:39" x14ac:dyDescent="0.35">
      <c r="A1415" s="1">
        <v>1414</v>
      </c>
      <c r="B1415">
        <v>25</v>
      </c>
      <c r="C1415" s="1" t="s">
        <v>40</v>
      </c>
      <c r="D1415" s="1" t="s">
        <v>34</v>
      </c>
      <c r="E1415">
        <v>977</v>
      </c>
      <c r="F1415" s="1" t="s">
        <v>42</v>
      </c>
      <c r="G1415">
        <v>2</v>
      </c>
      <c r="H1415">
        <v>1</v>
      </c>
      <c r="I1415" s="1" t="s">
        <v>46</v>
      </c>
      <c r="J1415">
        <v>1992</v>
      </c>
      <c r="K1415">
        <v>4</v>
      </c>
      <c r="L1415" s="1" t="s">
        <v>43</v>
      </c>
      <c r="M1415">
        <v>57</v>
      </c>
      <c r="N1415">
        <v>3</v>
      </c>
      <c r="O1415">
        <v>1</v>
      </c>
      <c r="P1415" s="1" t="s">
        <v>47</v>
      </c>
      <c r="Q1415">
        <v>3</v>
      </c>
      <c r="R1415" s="1" t="s">
        <v>49</v>
      </c>
      <c r="S1415">
        <v>3977</v>
      </c>
      <c r="T1415">
        <v>7298</v>
      </c>
      <c r="U1415">
        <v>6</v>
      </c>
      <c r="V1415" s="1" t="s">
        <v>33</v>
      </c>
      <c r="W1415">
        <v>19</v>
      </c>
      <c r="X1415">
        <v>3</v>
      </c>
      <c r="Y1415">
        <v>3</v>
      </c>
      <c r="Z1415">
        <v>80</v>
      </c>
      <c r="AA1415">
        <v>1</v>
      </c>
      <c r="AB1415">
        <v>7</v>
      </c>
      <c r="AC1415">
        <v>2</v>
      </c>
      <c r="AD1415">
        <v>2</v>
      </c>
      <c r="AE1415">
        <v>2</v>
      </c>
      <c r="AF1415">
        <v>2</v>
      </c>
      <c r="AG1415">
        <v>0</v>
      </c>
      <c r="AH1415">
        <v>2</v>
      </c>
      <c r="AI1415">
        <f>IF(tbl_HRData[[#This Row],[Attrition]] = "Yes",1,0)</f>
        <v>0</v>
      </c>
      <c r="AJ1415">
        <f>IF(tbl_HRData[[#This Row],[Attrition]] = "No",1,0)</f>
        <v>1</v>
      </c>
      <c r="AK1415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415" s="1" t="str">
        <f>IF(tbl_HRData[[#This Row],[MonthlyIncome]]&lt;5000,"Low",
IF(tbl_HRData[[#This Row],[MonthlyIncome]]&lt;10000,"Medium",
IF(tbl_HRData[[#This Row],[MonthlyIncome]]&lt;15000,"Upper Medium","High")))</f>
        <v>Low</v>
      </c>
      <c r="AM1415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416" spans="1:39" x14ac:dyDescent="0.35">
      <c r="A1416" s="1">
        <v>1415</v>
      </c>
      <c r="B1416">
        <v>47</v>
      </c>
      <c r="C1416" s="1" t="s">
        <v>40</v>
      </c>
      <c r="D1416" s="1" t="s">
        <v>34</v>
      </c>
      <c r="E1416">
        <v>1180</v>
      </c>
      <c r="F1416" s="1" t="s">
        <v>42</v>
      </c>
      <c r="G1416">
        <v>25</v>
      </c>
      <c r="H1416">
        <v>3</v>
      </c>
      <c r="I1416" s="1" t="s">
        <v>48</v>
      </c>
      <c r="J1416">
        <v>1993</v>
      </c>
      <c r="K1416">
        <v>1</v>
      </c>
      <c r="L1416" s="1" t="s">
        <v>43</v>
      </c>
      <c r="M1416">
        <v>84</v>
      </c>
      <c r="N1416">
        <v>3</v>
      </c>
      <c r="O1416">
        <v>3</v>
      </c>
      <c r="P1416" s="1" t="s">
        <v>51</v>
      </c>
      <c r="Q1416">
        <v>3</v>
      </c>
      <c r="R1416" s="1" t="s">
        <v>39</v>
      </c>
      <c r="S1416">
        <v>8633</v>
      </c>
      <c r="T1416">
        <v>13084</v>
      </c>
      <c r="U1416">
        <v>2</v>
      </c>
      <c r="V1416" s="1" t="s">
        <v>40</v>
      </c>
      <c r="W1416">
        <v>23</v>
      </c>
      <c r="X1416">
        <v>4</v>
      </c>
      <c r="Y1416">
        <v>2</v>
      </c>
      <c r="Z1416">
        <v>80</v>
      </c>
      <c r="AA1416">
        <v>0</v>
      </c>
      <c r="AB1416">
        <v>25</v>
      </c>
      <c r="AC1416">
        <v>3</v>
      </c>
      <c r="AD1416">
        <v>3</v>
      </c>
      <c r="AE1416">
        <v>17</v>
      </c>
      <c r="AF1416">
        <v>14</v>
      </c>
      <c r="AG1416">
        <v>12</v>
      </c>
      <c r="AH1416">
        <v>11</v>
      </c>
      <c r="AI1416">
        <f>IF(tbl_HRData[[#This Row],[Attrition]] = "Yes",1,0)</f>
        <v>0</v>
      </c>
      <c r="AJ1416">
        <f>IF(tbl_HRData[[#This Row],[Attrition]] = "No",1,0)</f>
        <v>1</v>
      </c>
      <c r="AK1416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1416" s="1" t="str">
        <f>IF(tbl_HRData[[#This Row],[MonthlyIncome]]&lt;5000,"Low",
IF(tbl_HRData[[#This Row],[MonthlyIncome]]&lt;10000,"Medium",
IF(tbl_HRData[[#This Row],[MonthlyIncome]]&lt;15000,"Upper Medium","High")))</f>
        <v>Medium</v>
      </c>
      <c r="AM1416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1417" spans="1:39" x14ac:dyDescent="0.35">
      <c r="A1417" s="1">
        <v>1416</v>
      </c>
      <c r="B1417">
        <v>33</v>
      </c>
      <c r="C1417" s="1" t="s">
        <v>40</v>
      </c>
      <c r="D1417" s="1" t="s">
        <v>52</v>
      </c>
      <c r="E1417">
        <v>1313</v>
      </c>
      <c r="F1417" s="1" t="s">
        <v>42</v>
      </c>
      <c r="G1417">
        <v>1</v>
      </c>
      <c r="H1417">
        <v>2</v>
      </c>
      <c r="I1417" s="1" t="s">
        <v>48</v>
      </c>
      <c r="J1417">
        <v>1994</v>
      </c>
      <c r="K1417">
        <v>2</v>
      </c>
      <c r="L1417" s="1" t="s">
        <v>43</v>
      </c>
      <c r="M1417">
        <v>59</v>
      </c>
      <c r="N1417">
        <v>2</v>
      </c>
      <c r="O1417">
        <v>1</v>
      </c>
      <c r="P1417" s="1" t="s">
        <v>47</v>
      </c>
      <c r="Q1417">
        <v>3</v>
      </c>
      <c r="R1417" s="1" t="s">
        <v>49</v>
      </c>
      <c r="S1417">
        <v>2008</v>
      </c>
      <c r="T1417">
        <v>20439</v>
      </c>
      <c r="U1417">
        <v>1</v>
      </c>
      <c r="V1417" s="1" t="s">
        <v>40</v>
      </c>
      <c r="W1417">
        <v>12</v>
      </c>
      <c r="X1417">
        <v>3</v>
      </c>
      <c r="Y1417">
        <v>3</v>
      </c>
      <c r="Z1417">
        <v>80</v>
      </c>
      <c r="AA1417">
        <v>3</v>
      </c>
      <c r="AB1417">
        <v>1</v>
      </c>
      <c r="AC1417">
        <v>2</v>
      </c>
      <c r="AD1417">
        <v>2</v>
      </c>
      <c r="AE1417">
        <v>1</v>
      </c>
      <c r="AF1417">
        <v>1</v>
      </c>
      <c r="AG1417">
        <v>0</v>
      </c>
      <c r="AH1417">
        <v>0</v>
      </c>
      <c r="AI1417">
        <f>IF(tbl_HRData[[#This Row],[Attrition]] = "Yes",1,0)</f>
        <v>0</v>
      </c>
      <c r="AJ1417">
        <f>IF(tbl_HRData[[#This Row],[Attrition]] = "No",1,0)</f>
        <v>1</v>
      </c>
      <c r="AK1417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417" s="1" t="str">
        <f>IF(tbl_HRData[[#This Row],[MonthlyIncome]]&lt;5000,"Low",
IF(tbl_HRData[[#This Row],[MonthlyIncome]]&lt;10000,"Medium",
IF(tbl_HRData[[#This Row],[MonthlyIncome]]&lt;15000,"Upper Medium","High")))</f>
        <v>Low</v>
      </c>
      <c r="AM1417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418" spans="1:39" x14ac:dyDescent="0.35">
      <c r="A1418" s="1">
        <v>1417</v>
      </c>
      <c r="B1418">
        <v>38</v>
      </c>
      <c r="C1418" s="1" t="s">
        <v>40</v>
      </c>
      <c r="D1418" s="1" t="s">
        <v>34</v>
      </c>
      <c r="E1418">
        <v>1321</v>
      </c>
      <c r="F1418" s="1" t="s">
        <v>35</v>
      </c>
      <c r="G1418">
        <v>1</v>
      </c>
      <c r="H1418">
        <v>4</v>
      </c>
      <c r="I1418" s="1" t="s">
        <v>36</v>
      </c>
      <c r="J1418">
        <v>1995</v>
      </c>
      <c r="K1418">
        <v>4</v>
      </c>
      <c r="L1418" s="1" t="s">
        <v>43</v>
      </c>
      <c r="M1418">
        <v>86</v>
      </c>
      <c r="N1418">
        <v>3</v>
      </c>
      <c r="O1418">
        <v>2</v>
      </c>
      <c r="P1418" s="1" t="s">
        <v>38</v>
      </c>
      <c r="Q1418">
        <v>2</v>
      </c>
      <c r="R1418" s="1" t="s">
        <v>45</v>
      </c>
      <c r="S1418">
        <v>4440</v>
      </c>
      <c r="T1418">
        <v>7636</v>
      </c>
      <c r="U1418">
        <v>0</v>
      </c>
      <c r="V1418" s="1" t="s">
        <v>40</v>
      </c>
      <c r="W1418">
        <v>15</v>
      </c>
      <c r="X1418">
        <v>3</v>
      </c>
      <c r="Y1418">
        <v>1</v>
      </c>
      <c r="Z1418">
        <v>80</v>
      </c>
      <c r="AA1418">
        <v>2</v>
      </c>
      <c r="AB1418">
        <v>16</v>
      </c>
      <c r="AC1418">
        <v>3</v>
      </c>
      <c r="AD1418">
        <v>3</v>
      </c>
      <c r="AE1418">
        <v>15</v>
      </c>
      <c r="AF1418">
        <v>13</v>
      </c>
      <c r="AG1418">
        <v>5</v>
      </c>
      <c r="AH1418">
        <v>8</v>
      </c>
      <c r="AI1418">
        <f>IF(tbl_HRData[[#This Row],[Attrition]] = "Yes",1,0)</f>
        <v>0</v>
      </c>
      <c r="AJ1418">
        <f>IF(tbl_HRData[[#This Row],[Attrition]] = "No",1,0)</f>
        <v>1</v>
      </c>
      <c r="AK1418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418" s="1" t="str">
        <f>IF(tbl_HRData[[#This Row],[MonthlyIncome]]&lt;5000,"Low",
IF(tbl_HRData[[#This Row],[MonthlyIncome]]&lt;10000,"Medium",
IF(tbl_HRData[[#This Row],[MonthlyIncome]]&lt;15000,"Upper Medium","High")))</f>
        <v>Low</v>
      </c>
      <c r="AM1418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1419" spans="1:39" x14ac:dyDescent="0.35">
      <c r="A1419" s="1">
        <v>1418</v>
      </c>
      <c r="B1419">
        <v>31</v>
      </c>
      <c r="C1419" s="1" t="s">
        <v>40</v>
      </c>
      <c r="D1419" s="1" t="s">
        <v>34</v>
      </c>
      <c r="E1419">
        <v>1154</v>
      </c>
      <c r="F1419" s="1" t="s">
        <v>35</v>
      </c>
      <c r="G1419">
        <v>2</v>
      </c>
      <c r="H1419">
        <v>2</v>
      </c>
      <c r="I1419" s="1" t="s">
        <v>36</v>
      </c>
      <c r="J1419">
        <v>1996</v>
      </c>
      <c r="K1419">
        <v>1</v>
      </c>
      <c r="L1419" s="1" t="s">
        <v>43</v>
      </c>
      <c r="M1419">
        <v>54</v>
      </c>
      <c r="N1419">
        <v>3</v>
      </c>
      <c r="O1419">
        <v>1</v>
      </c>
      <c r="P1419" s="1" t="s">
        <v>54</v>
      </c>
      <c r="Q1419">
        <v>3</v>
      </c>
      <c r="R1419" s="1" t="s">
        <v>45</v>
      </c>
      <c r="S1419">
        <v>3067</v>
      </c>
      <c r="T1419">
        <v>6393</v>
      </c>
      <c r="U1419">
        <v>0</v>
      </c>
      <c r="V1419" s="1" t="s">
        <v>40</v>
      </c>
      <c r="W1419">
        <v>19</v>
      </c>
      <c r="X1419">
        <v>3</v>
      </c>
      <c r="Y1419">
        <v>3</v>
      </c>
      <c r="Z1419">
        <v>80</v>
      </c>
      <c r="AA1419">
        <v>1</v>
      </c>
      <c r="AB1419">
        <v>3</v>
      </c>
      <c r="AC1419">
        <v>1</v>
      </c>
      <c r="AD1419">
        <v>3</v>
      </c>
      <c r="AE1419">
        <v>2</v>
      </c>
      <c r="AF1419">
        <v>2</v>
      </c>
      <c r="AG1419">
        <v>1</v>
      </c>
      <c r="AH1419">
        <v>2</v>
      </c>
      <c r="AI1419">
        <f>IF(tbl_HRData[[#This Row],[Attrition]] = "Yes",1,0)</f>
        <v>0</v>
      </c>
      <c r="AJ1419">
        <f>IF(tbl_HRData[[#This Row],[Attrition]] = "No",1,0)</f>
        <v>1</v>
      </c>
      <c r="AK1419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419" s="1" t="str">
        <f>IF(tbl_HRData[[#This Row],[MonthlyIncome]]&lt;5000,"Low",
IF(tbl_HRData[[#This Row],[MonthlyIncome]]&lt;10000,"Medium",
IF(tbl_HRData[[#This Row],[MonthlyIncome]]&lt;15000,"Upper Medium","High")))</f>
        <v>Low</v>
      </c>
      <c r="AM1419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420" spans="1:39" x14ac:dyDescent="0.35">
      <c r="A1420" s="1">
        <v>1419</v>
      </c>
      <c r="B1420">
        <v>38</v>
      </c>
      <c r="C1420" s="1" t="s">
        <v>40</v>
      </c>
      <c r="D1420" s="1" t="s">
        <v>41</v>
      </c>
      <c r="E1420">
        <v>508</v>
      </c>
      <c r="F1420" s="1" t="s">
        <v>42</v>
      </c>
      <c r="G1420">
        <v>6</v>
      </c>
      <c r="H1420">
        <v>4</v>
      </c>
      <c r="I1420" s="1" t="s">
        <v>36</v>
      </c>
      <c r="J1420">
        <v>1997</v>
      </c>
      <c r="K1420">
        <v>1</v>
      </c>
      <c r="L1420" s="1" t="s">
        <v>43</v>
      </c>
      <c r="M1420">
        <v>72</v>
      </c>
      <c r="N1420">
        <v>2</v>
      </c>
      <c r="O1420">
        <v>2</v>
      </c>
      <c r="P1420" s="1" t="s">
        <v>50</v>
      </c>
      <c r="Q1420">
        <v>3</v>
      </c>
      <c r="R1420" s="1" t="s">
        <v>45</v>
      </c>
      <c r="S1420">
        <v>5321</v>
      </c>
      <c r="T1420">
        <v>14284</v>
      </c>
      <c r="U1420">
        <v>2</v>
      </c>
      <c r="V1420" s="1" t="s">
        <v>40</v>
      </c>
      <c r="W1420">
        <v>11</v>
      </c>
      <c r="X1420">
        <v>3</v>
      </c>
      <c r="Y1420">
        <v>4</v>
      </c>
      <c r="Z1420">
        <v>80</v>
      </c>
      <c r="AA1420">
        <v>1</v>
      </c>
      <c r="AB1420">
        <v>10</v>
      </c>
      <c r="AC1420">
        <v>1</v>
      </c>
      <c r="AD1420">
        <v>3</v>
      </c>
      <c r="AE1420">
        <v>8</v>
      </c>
      <c r="AF1420">
        <v>3</v>
      </c>
      <c r="AG1420">
        <v>7</v>
      </c>
      <c r="AH1420">
        <v>7</v>
      </c>
      <c r="AI1420">
        <f>IF(tbl_HRData[[#This Row],[Attrition]] = "Yes",1,0)</f>
        <v>0</v>
      </c>
      <c r="AJ1420">
        <f>IF(tbl_HRData[[#This Row],[Attrition]] = "No",1,0)</f>
        <v>1</v>
      </c>
      <c r="AK1420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420" s="1" t="str">
        <f>IF(tbl_HRData[[#This Row],[MonthlyIncome]]&lt;5000,"Low",
IF(tbl_HRData[[#This Row],[MonthlyIncome]]&lt;10000,"Medium",
IF(tbl_HRData[[#This Row],[MonthlyIncome]]&lt;15000,"Upper Medium","High")))</f>
        <v>Medium</v>
      </c>
      <c r="AM1420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421" spans="1:39" x14ac:dyDescent="0.35">
      <c r="A1421" s="1">
        <v>1420</v>
      </c>
      <c r="B1421">
        <v>42</v>
      </c>
      <c r="C1421" s="1" t="s">
        <v>40</v>
      </c>
      <c r="D1421" s="1" t="s">
        <v>34</v>
      </c>
      <c r="E1421">
        <v>557</v>
      </c>
      <c r="F1421" s="1" t="s">
        <v>42</v>
      </c>
      <c r="G1421">
        <v>18</v>
      </c>
      <c r="H1421">
        <v>4</v>
      </c>
      <c r="I1421" s="1" t="s">
        <v>36</v>
      </c>
      <c r="J1421">
        <v>1998</v>
      </c>
      <c r="K1421">
        <v>4</v>
      </c>
      <c r="L1421" s="1" t="s">
        <v>43</v>
      </c>
      <c r="M1421">
        <v>35</v>
      </c>
      <c r="N1421">
        <v>3</v>
      </c>
      <c r="O1421">
        <v>2</v>
      </c>
      <c r="P1421" s="1" t="s">
        <v>44</v>
      </c>
      <c r="Q1421">
        <v>1</v>
      </c>
      <c r="R1421" s="1" t="s">
        <v>49</v>
      </c>
      <c r="S1421">
        <v>5410</v>
      </c>
      <c r="T1421">
        <v>11189</v>
      </c>
      <c r="U1421">
        <v>6</v>
      </c>
      <c r="V1421" s="1" t="s">
        <v>33</v>
      </c>
      <c r="W1421">
        <v>17</v>
      </c>
      <c r="X1421">
        <v>3</v>
      </c>
      <c r="Y1421">
        <v>3</v>
      </c>
      <c r="Z1421">
        <v>80</v>
      </c>
      <c r="AA1421">
        <v>1</v>
      </c>
      <c r="AB1421">
        <v>9</v>
      </c>
      <c r="AC1421">
        <v>3</v>
      </c>
      <c r="AD1421">
        <v>2</v>
      </c>
      <c r="AE1421">
        <v>4</v>
      </c>
      <c r="AF1421">
        <v>3</v>
      </c>
      <c r="AG1421">
        <v>1</v>
      </c>
      <c r="AH1421">
        <v>2</v>
      </c>
      <c r="AI1421">
        <f>IF(tbl_HRData[[#This Row],[Attrition]] = "Yes",1,0)</f>
        <v>0</v>
      </c>
      <c r="AJ1421">
        <f>IF(tbl_HRData[[#This Row],[Attrition]] = "No",1,0)</f>
        <v>1</v>
      </c>
      <c r="AK1421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421" s="1" t="str">
        <f>IF(tbl_HRData[[#This Row],[MonthlyIncome]]&lt;5000,"Low",
IF(tbl_HRData[[#This Row],[MonthlyIncome]]&lt;10000,"Medium",
IF(tbl_HRData[[#This Row],[MonthlyIncome]]&lt;15000,"Upper Medium","High")))</f>
        <v>Medium</v>
      </c>
      <c r="AM1421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422" spans="1:39" x14ac:dyDescent="0.35">
      <c r="A1422" s="1">
        <v>1421</v>
      </c>
      <c r="B1422">
        <v>41</v>
      </c>
      <c r="C1422" s="1" t="s">
        <v>40</v>
      </c>
      <c r="D1422" s="1" t="s">
        <v>34</v>
      </c>
      <c r="E1422">
        <v>642</v>
      </c>
      <c r="F1422" s="1" t="s">
        <v>42</v>
      </c>
      <c r="G1422">
        <v>1</v>
      </c>
      <c r="H1422">
        <v>3</v>
      </c>
      <c r="I1422" s="1" t="s">
        <v>36</v>
      </c>
      <c r="J1422">
        <v>1999</v>
      </c>
      <c r="K1422">
        <v>4</v>
      </c>
      <c r="L1422" s="1" t="s">
        <v>43</v>
      </c>
      <c r="M1422">
        <v>76</v>
      </c>
      <c r="N1422">
        <v>3</v>
      </c>
      <c r="O1422">
        <v>1</v>
      </c>
      <c r="P1422" s="1" t="s">
        <v>44</v>
      </c>
      <c r="Q1422">
        <v>4</v>
      </c>
      <c r="R1422" s="1" t="s">
        <v>45</v>
      </c>
      <c r="S1422">
        <v>2782</v>
      </c>
      <c r="T1422">
        <v>21412</v>
      </c>
      <c r="U1422">
        <v>3</v>
      </c>
      <c r="V1422" s="1" t="s">
        <v>40</v>
      </c>
      <c r="W1422">
        <v>22</v>
      </c>
      <c r="X1422">
        <v>4</v>
      </c>
      <c r="Y1422">
        <v>1</v>
      </c>
      <c r="Z1422">
        <v>80</v>
      </c>
      <c r="AA1422">
        <v>1</v>
      </c>
      <c r="AB1422">
        <v>12</v>
      </c>
      <c r="AC1422">
        <v>3</v>
      </c>
      <c r="AD1422">
        <v>3</v>
      </c>
      <c r="AE1422">
        <v>5</v>
      </c>
      <c r="AF1422">
        <v>3</v>
      </c>
      <c r="AG1422">
        <v>1</v>
      </c>
      <c r="AH1422">
        <v>0</v>
      </c>
      <c r="AI1422">
        <f>IF(tbl_HRData[[#This Row],[Attrition]] = "Yes",1,0)</f>
        <v>0</v>
      </c>
      <c r="AJ1422">
        <f>IF(tbl_HRData[[#This Row],[Attrition]] = "No",1,0)</f>
        <v>1</v>
      </c>
      <c r="AK1422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422" s="1" t="str">
        <f>IF(tbl_HRData[[#This Row],[MonthlyIncome]]&lt;5000,"Low",
IF(tbl_HRData[[#This Row],[MonthlyIncome]]&lt;10000,"Medium",
IF(tbl_HRData[[#This Row],[MonthlyIncome]]&lt;15000,"Upper Medium","High")))</f>
        <v>Low</v>
      </c>
      <c r="AM1422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423" spans="1:39" x14ac:dyDescent="0.35">
      <c r="A1423" s="1">
        <v>1422</v>
      </c>
      <c r="B1423">
        <v>47</v>
      </c>
      <c r="C1423" s="1" t="s">
        <v>40</v>
      </c>
      <c r="D1423" s="1" t="s">
        <v>52</v>
      </c>
      <c r="E1423">
        <v>1162</v>
      </c>
      <c r="F1423" s="1" t="s">
        <v>42</v>
      </c>
      <c r="G1423">
        <v>1</v>
      </c>
      <c r="H1423">
        <v>1</v>
      </c>
      <c r="I1423" s="1" t="s">
        <v>48</v>
      </c>
      <c r="J1423">
        <v>2000</v>
      </c>
      <c r="K1423">
        <v>3</v>
      </c>
      <c r="L1423" s="1" t="s">
        <v>37</v>
      </c>
      <c r="M1423">
        <v>98</v>
      </c>
      <c r="N1423">
        <v>3</v>
      </c>
      <c r="O1423">
        <v>3</v>
      </c>
      <c r="P1423" s="1" t="s">
        <v>55</v>
      </c>
      <c r="Q1423">
        <v>2</v>
      </c>
      <c r="R1423" s="1" t="s">
        <v>45</v>
      </c>
      <c r="S1423">
        <v>11957</v>
      </c>
      <c r="T1423">
        <v>17231</v>
      </c>
      <c r="U1423">
        <v>0</v>
      </c>
      <c r="V1423" s="1" t="s">
        <v>40</v>
      </c>
      <c r="W1423">
        <v>18</v>
      </c>
      <c r="X1423">
        <v>3</v>
      </c>
      <c r="Y1423">
        <v>1</v>
      </c>
      <c r="Z1423">
        <v>80</v>
      </c>
      <c r="AA1423">
        <v>2</v>
      </c>
      <c r="AB1423">
        <v>14</v>
      </c>
      <c r="AC1423">
        <v>3</v>
      </c>
      <c r="AD1423">
        <v>1</v>
      </c>
      <c r="AE1423">
        <v>13</v>
      </c>
      <c r="AF1423">
        <v>8</v>
      </c>
      <c r="AG1423">
        <v>5</v>
      </c>
      <c r="AH1423">
        <v>12</v>
      </c>
      <c r="AI1423">
        <f>IF(tbl_HRData[[#This Row],[Attrition]] = "Yes",1,0)</f>
        <v>0</v>
      </c>
      <c r="AJ1423">
        <f>IF(tbl_HRData[[#This Row],[Attrition]] = "No",1,0)</f>
        <v>1</v>
      </c>
      <c r="AK1423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1423" s="1" t="str">
        <f>IF(tbl_HRData[[#This Row],[MonthlyIncome]]&lt;5000,"Low",
IF(tbl_HRData[[#This Row],[MonthlyIncome]]&lt;10000,"Medium",
IF(tbl_HRData[[#This Row],[MonthlyIncome]]&lt;15000,"Upper Medium","High")))</f>
        <v>Upper Medium</v>
      </c>
      <c r="AM1423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1424" spans="1:39" x14ac:dyDescent="0.35">
      <c r="A1424" s="1">
        <v>1423</v>
      </c>
      <c r="B1424">
        <v>35</v>
      </c>
      <c r="C1424" s="1" t="s">
        <v>40</v>
      </c>
      <c r="D1424" s="1" t="s">
        <v>34</v>
      </c>
      <c r="E1424">
        <v>1490</v>
      </c>
      <c r="F1424" s="1" t="s">
        <v>42</v>
      </c>
      <c r="G1424">
        <v>11</v>
      </c>
      <c r="H1424">
        <v>4</v>
      </c>
      <c r="I1424" s="1" t="s">
        <v>48</v>
      </c>
      <c r="J1424">
        <v>2003</v>
      </c>
      <c r="K1424">
        <v>4</v>
      </c>
      <c r="L1424" s="1" t="s">
        <v>43</v>
      </c>
      <c r="M1424">
        <v>43</v>
      </c>
      <c r="N1424">
        <v>3</v>
      </c>
      <c r="O1424">
        <v>1</v>
      </c>
      <c r="P1424" s="1" t="s">
        <v>47</v>
      </c>
      <c r="Q1424">
        <v>3</v>
      </c>
      <c r="R1424" s="1" t="s">
        <v>45</v>
      </c>
      <c r="S1424">
        <v>2660</v>
      </c>
      <c r="T1424">
        <v>20232</v>
      </c>
      <c r="U1424">
        <v>7</v>
      </c>
      <c r="V1424" s="1" t="s">
        <v>33</v>
      </c>
      <c r="W1424">
        <v>11</v>
      </c>
      <c r="X1424">
        <v>3</v>
      </c>
      <c r="Y1424">
        <v>3</v>
      </c>
      <c r="Z1424">
        <v>80</v>
      </c>
      <c r="AA1424">
        <v>1</v>
      </c>
      <c r="AB1424">
        <v>5</v>
      </c>
      <c r="AC1424">
        <v>3</v>
      </c>
      <c r="AD1424">
        <v>3</v>
      </c>
      <c r="AE1424">
        <v>2</v>
      </c>
      <c r="AF1424">
        <v>2</v>
      </c>
      <c r="AG1424">
        <v>2</v>
      </c>
      <c r="AH1424">
        <v>2</v>
      </c>
      <c r="AI1424">
        <f>IF(tbl_HRData[[#This Row],[Attrition]] = "Yes",1,0)</f>
        <v>0</v>
      </c>
      <c r="AJ1424">
        <f>IF(tbl_HRData[[#This Row],[Attrition]] = "No",1,0)</f>
        <v>1</v>
      </c>
      <c r="AK1424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424" s="1" t="str">
        <f>IF(tbl_HRData[[#This Row],[MonthlyIncome]]&lt;5000,"Low",
IF(tbl_HRData[[#This Row],[MonthlyIncome]]&lt;10000,"Medium",
IF(tbl_HRData[[#This Row],[MonthlyIncome]]&lt;15000,"Upper Medium","High")))</f>
        <v>Low</v>
      </c>
      <c r="AM1424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425" spans="1:39" x14ac:dyDescent="0.35">
      <c r="A1425" s="1">
        <v>1424</v>
      </c>
      <c r="B1425">
        <v>22</v>
      </c>
      <c r="C1425" s="1" t="s">
        <v>40</v>
      </c>
      <c r="D1425" s="1" t="s">
        <v>34</v>
      </c>
      <c r="E1425">
        <v>581</v>
      </c>
      <c r="F1425" s="1" t="s">
        <v>42</v>
      </c>
      <c r="G1425">
        <v>1</v>
      </c>
      <c r="H1425">
        <v>2</v>
      </c>
      <c r="I1425" s="1" t="s">
        <v>36</v>
      </c>
      <c r="J1425">
        <v>2007</v>
      </c>
      <c r="K1425">
        <v>4</v>
      </c>
      <c r="L1425" s="1" t="s">
        <v>43</v>
      </c>
      <c r="M1425">
        <v>63</v>
      </c>
      <c r="N1425">
        <v>3</v>
      </c>
      <c r="O1425">
        <v>1</v>
      </c>
      <c r="P1425" s="1" t="s">
        <v>44</v>
      </c>
      <c r="Q1425">
        <v>3</v>
      </c>
      <c r="R1425" s="1" t="s">
        <v>39</v>
      </c>
      <c r="S1425">
        <v>3375</v>
      </c>
      <c r="T1425">
        <v>17624</v>
      </c>
      <c r="U1425">
        <v>0</v>
      </c>
      <c r="V1425" s="1" t="s">
        <v>40</v>
      </c>
      <c r="W1425">
        <v>12</v>
      </c>
      <c r="X1425">
        <v>3</v>
      </c>
      <c r="Y1425">
        <v>4</v>
      </c>
      <c r="Z1425">
        <v>80</v>
      </c>
      <c r="AA1425">
        <v>0</v>
      </c>
      <c r="AB1425">
        <v>4</v>
      </c>
      <c r="AC1425">
        <v>2</v>
      </c>
      <c r="AD1425">
        <v>4</v>
      </c>
      <c r="AE1425">
        <v>3</v>
      </c>
      <c r="AF1425">
        <v>2</v>
      </c>
      <c r="AG1425">
        <v>1</v>
      </c>
      <c r="AH1425">
        <v>2</v>
      </c>
      <c r="AI1425">
        <f>IF(tbl_HRData[[#This Row],[Attrition]] = "Yes",1,0)</f>
        <v>0</v>
      </c>
      <c r="AJ1425">
        <f>IF(tbl_HRData[[#This Row],[Attrition]] = "No",1,0)</f>
        <v>1</v>
      </c>
      <c r="AK1425" t="str">
        <f>IF(tbl_HRData[[#This Row],[Age]] &lt; 25, "Under 25", IF(tbl_HRData[[#This Row],[Age]] &lt;= 34, "25-34", IF(tbl_HRData[[#This Row],[Age]] &lt;= 44, "35-44", IF(tbl_HRData[[#This Row],[Age]] &lt;= 54, "45-54", "55+"))))</f>
        <v>Under 25</v>
      </c>
      <c r="AL1425" s="1" t="str">
        <f>IF(tbl_HRData[[#This Row],[MonthlyIncome]]&lt;5000,"Low",
IF(tbl_HRData[[#This Row],[MonthlyIncome]]&lt;10000,"Medium",
IF(tbl_HRData[[#This Row],[MonthlyIncome]]&lt;15000,"Upper Medium","High")))</f>
        <v>Low</v>
      </c>
      <c r="AM1425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426" spans="1:39" x14ac:dyDescent="0.35">
      <c r="A1426" s="1">
        <v>1425</v>
      </c>
      <c r="B1426">
        <v>35</v>
      </c>
      <c r="C1426" s="1" t="s">
        <v>40</v>
      </c>
      <c r="D1426" s="1" t="s">
        <v>34</v>
      </c>
      <c r="E1426">
        <v>1395</v>
      </c>
      <c r="F1426" s="1" t="s">
        <v>42</v>
      </c>
      <c r="G1426">
        <v>9</v>
      </c>
      <c r="H1426">
        <v>4</v>
      </c>
      <c r="I1426" s="1" t="s">
        <v>48</v>
      </c>
      <c r="J1426">
        <v>2008</v>
      </c>
      <c r="K1426">
        <v>2</v>
      </c>
      <c r="L1426" s="1" t="s">
        <v>43</v>
      </c>
      <c r="M1426">
        <v>48</v>
      </c>
      <c r="N1426">
        <v>3</v>
      </c>
      <c r="O1426">
        <v>2</v>
      </c>
      <c r="P1426" s="1" t="s">
        <v>44</v>
      </c>
      <c r="Q1426">
        <v>3</v>
      </c>
      <c r="R1426" s="1" t="s">
        <v>39</v>
      </c>
      <c r="S1426">
        <v>5098</v>
      </c>
      <c r="T1426">
        <v>18698</v>
      </c>
      <c r="U1426">
        <v>1</v>
      </c>
      <c r="V1426" s="1" t="s">
        <v>40</v>
      </c>
      <c r="W1426">
        <v>19</v>
      </c>
      <c r="X1426">
        <v>3</v>
      </c>
      <c r="Y1426">
        <v>2</v>
      </c>
      <c r="Z1426">
        <v>80</v>
      </c>
      <c r="AA1426">
        <v>0</v>
      </c>
      <c r="AB1426">
        <v>10</v>
      </c>
      <c r="AC1426">
        <v>5</v>
      </c>
      <c r="AD1426">
        <v>3</v>
      </c>
      <c r="AE1426">
        <v>10</v>
      </c>
      <c r="AF1426">
        <v>7</v>
      </c>
      <c r="AG1426">
        <v>0</v>
      </c>
      <c r="AH1426">
        <v>8</v>
      </c>
      <c r="AI1426">
        <f>IF(tbl_HRData[[#This Row],[Attrition]] = "Yes",1,0)</f>
        <v>0</v>
      </c>
      <c r="AJ1426">
        <f>IF(tbl_HRData[[#This Row],[Attrition]] = "No",1,0)</f>
        <v>1</v>
      </c>
      <c r="AK1426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426" s="1" t="str">
        <f>IF(tbl_HRData[[#This Row],[MonthlyIncome]]&lt;5000,"Low",
IF(tbl_HRData[[#This Row],[MonthlyIncome]]&lt;10000,"Medium",
IF(tbl_HRData[[#This Row],[MonthlyIncome]]&lt;15000,"Upper Medium","High")))</f>
        <v>Medium</v>
      </c>
      <c r="AM1426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427" spans="1:39" x14ac:dyDescent="0.35">
      <c r="A1427" s="1">
        <v>1426</v>
      </c>
      <c r="B1427">
        <v>33</v>
      </c>
      <c r="C1427" s="1" t="s">
        <v>40</v>
      </c>
      <c r="D1427" s="1" t="s">
        <v>34</v>
      </c>
      <c r="E1427">
        <v>501</v>
      </c>
      <c r="F1427" s="1" t="s">
        <v>42</v>
      </c>
      <c r="G1427">
        <v>15</v>
      </c>
      <c r="H1427">
        <v>2</v>
      </c>
      <c r="I1427" s="1" t="s">
        <v>48</v>
      </c>
      <c r="J1427">
        <v>2009</v>
      </c>
      <c r="K1427">
        <v>2</v>
      </c>
      <c r="L1427" s="1" t="s">
        <v>37</v>
      </c>
      <c r="M1427">
        <v>95</v>
      </c>
      <c r="N1427">
        <v>3</v>
      </c>
      <c r="O1427">
        <v>2</v>
      </c>
      <c r="P1427" s="1" t="s">
        <v>51</v>
      </c>
      <c r="Q1427">
        <v>4</v>
      </c>
      <c r="R1427" s="1" t="s">
        <v>45</v>
      </c>
      <c r="S1427">
        <v>4878</v>
      </c>
      <c r="T1427">
        <v>21653</v>
      </c>
      <c r="U1427">
        <v>0</v>
      </c>
      <c r="V1427" s="1" t="s">
        <v>33</v>
      </c>
      <c r="W1427">
        <v>13</v>
      </c>
      <c r="X1427">
        <v>3</v>
      </c>
      <c r="Y1427">
        <v>1</v>
      </c>
      <c r="Z1427">
        <v>80</v>
      </c>
      <c r="AA1427">
        <v>1</v>
      </c>
      <c r="AB1427">
        <v>10</v>
      </c>
      <c r="AC1427">
        <v>6</v>
      </c>
      <c r="AD1427">
        <v>3</v>
      </c>
      <c r="AE1427">
        <v>9</v>
      </c>
      <c r="AF1427">
        <v>7</v>
      </c>
      <c r="AG1427">
        <v>8</v>
      </c>
      <c r="AH1427">
        <v>1</v>
      </c>
      <c r="AI1427">
        <f>IF(tbl_HRData[[#This Row],[Attrition]] = "Yes",1,0)</f>
        <v>0</v>
      </c>
      <c r="AJ1427">
        <f>IF(tbl_HRData[[#This Row],[Attrition]] = "No",1,0)</f>
        <v>1</v>
      </c>
      <c r="AK1427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427" s="1" t="str">
        <f>IF(tbl_HRData[[#This Row],[MonthlyIncome]]&lt;5000,"Low",
IF(tbl_HRData[[#This Row],[MonthlyIncome]]&lt;10000,"Medium",
IF(tbl_HRData[[#This Row],[MonthlyIncome]]&lt;15000,"Upper Medium","High")))</f>
        <v>Low</v>
      </c>
      <c r="AM1427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428" spans="1:39" x14ac:dyDescent="0.35">
      <c r="A1428" s="1">
        <v>1427</v>
      </c>
      <c r="B1428">
        <v>32</v>
      </c>
      <c r="C1428" s="1" t="s">
        <v>40</v>
      </c>
      <c r="D1428" s="1" t="s">
        <v>34</v>
      </c>
      <c r="E1428">
        <v>267</v>
      </c>
      <c r="F1428" s="1" t="s">
        <v>42</v>
      </c>
      <c r="G1428">
        <v>29</v>
      </c>
      <c r="H1428">
        <v>4</v>
      </c>
      <c r="I1428" s="1" t="s">
        <v>36</v>
      </c>
      <c r="J1428">
        <v>2010</v>
      </c>
      <c r="K1428">
        <v>3</v>
      </c>
      <c r="L1428" s="1" t="s">
        <v>37</v>
      </c>
      <c r="M1428">
        <v>49</v>
      </c>
      <c r="N1428">
        <v>2</v>
      </c>
      <c r="O1428">
        <v>1</v>
      </c>
      <c r="P1428" s="1" t="s">
        <v>47</v>
      </c>
      <c r="Q1428">
        <v>2</v>
      </c>
      <c r="R1428" s="1" t="s">
        <v>39</v>
      </c>
      <c r="S1428">
        <v>2837</v>
      </c>
      <c r="T1428">
        <v>15919</v>
      </c>
      <c r="U1428">
        <v>1</v>
      </c>
      <c r="V1428" s="1" t="s">
        <v>40</v>
      </c>
      <c r="W1428">
        <v>13</v>
      </c>
      <c r="X1428">
        <v>3</v>
      </c>
      <c r="Y1428">
        <v>3</v>
      </c>
      <c r="Z1428">
        <v>80</v>
      </c>
      <c r="AA1428">
        <v>0</v>
      </c>
      <c r="AB1428">
        <v>6</v>
      </c>
      <c r="AC1428">
        <v>3</v>
      </c>
      <c r="AD1428">
        <v>3</v>
      </c>
      <c r="AE1428">
        <v>6</v>
      </c>
      <c r="AF1428">
        <v>2</v>
      </c>
      <c r="AG1428">
        <v>4</v>
      </c>
      <c r="AH1428">
        <v>1</v>
      </c>
      <c r="AI1428">
        <f>IF(tbl_HRData[[#This Row],[Attrition]] = "Yes",1,0)</f>
        <v>0</v>
      </c>
      <c r="AJ1428">
        <f>IF(tbl_HRData[[#This Row],[Attrition]] = "No",1,0)</f>
        <v>1</v>
      </c>
      <c r="AK1428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428" s="1" t="str">
        <f>IF(tbl_HRData[[#This Row],[MonthlyIncome]]&lt;5000,"Low",
IF(tbl_HRData[[#This Row],[MonthlyIncome]]&lt;10000,"Medium",
IF(tbl_HRData[[#This Row],[MonthlyIncome]]&lt;15000,"Upper Medium","High")))</f>
        <v>Low</v>
      </c>
      <c r="AM1428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429" spans="1:39" x14ac:dyDescent="0.35">
      <c r="A1429" s="1">
        <v>1428</v>
      </c>
      <c r="B1429">
        <v>40</v>
      </c>
      <c r="C1429" s="1" t="s">
        <v>40</v>
      </c>
      <c r="D1429" s="1" t="s">
        <v>34</v>
      </c>
      <c r="E1429">
        <v>543</v>
      </c>
      <c r="F1429" s="1" t="s">
        <v>42</v>
      </c>
      <c r="G1429">
        <v>1</v>
      </c>
      <c r="H1429">
        <v>4</v>
      </c>
      <c r="I1429" s="1" t="s">
        <v>36</v>
      </c>
      <c r="J1429">
        <v>2012</v>
      </c>
      <c r="K1429">
        <v>1</v>
      </c>
      <c r="L1429" s="1" t="s">
        <v>43</v>
      </c>
      <c r="M1429">
        <v>83</v>
      </c>
      <c r="N1429">
        <v>3</v>
      </c>
      <c r="O1429">
        <v>1</v>
      </c>
      <c r="P1429" s="1" t="s">
        <v>47</v>
      </c>
      <c r="Q1429">
        <v>4</v>
      </c>
      <c r="R1429" s="1" t="s">
        <v>45</v>
      </c>
      <c r="S1429">
        <v>2406</v>
      </c>
      <c r="T1429">
        <v>4060</v>
      </c>
      <c r="U1429">
        <v>8</v>
      </c>
      <c r="V1429" s="1" t="s">
        <v>40</v>
      </c>
      <c r="W1429">
        <v>19</v>
      </c>
      <c r="X1429">
        <v>3</v>
      </c>
      <c r="Y1429">
        <v>3</v>
      </c>
      <c r="Z1429">
        <v>80</v>
      </c>
      <c r="AA1429">
        <v>2</v>
      </c>
      <c r="AB1429">
        <v>8</v>
      </c>
      <c r="AC1429">
        <v>3</v>
      </c>
      <c r="AD1429">
        <v>2</v>
      </c>
      <c r="AE1429">
        <v>1</v>
      </c>
      <c r="AF1429">
        <v>0</v>
      </c>
      <c r="AG1429">
        <v>0</v>
      </c>
      <c r="AH1429">
        <v>0</v>
      </c>
      <c r="AI1429">
        <f>IF(tbl_HRData[[#This Row],[Attrition]] = "Yes",1,0)</f>
        <v>0</v>
      </c>
      <c r="AJ1429">
        <f>IF(tbl_HRData[[#This Row],[Attrition]] = "No",1,0)</f>
        <v>1</v>
      </c>
      <c r="AK1429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429" s="1" t="str">
        <f>IF(tbl_HRData[[#This Row],[MonthlyIncome]]&lt;5000,"Low",
IF(tbl_HRData[[#This Row],[MonthlyIncome]]&lt;10000,"Medium",
IF(tbl_HRData[[#This Row],[MonthlyIncome]]&lt;15000,"Upper Medium","High")))</f>
        <v>Low</v>
      </c>
      <c r="AM1429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430" spans="1:39" x14ac:dyDescent="0.35">
      <c r="A1430" s="1">
        <v>1429</v>
      </c>
      <c r="B1430">
        <v>32</v>
      </c>
      <c r="C1430" s="1" t="s">
        <v>40</v>
      </c>
      <c r="D1430" s="1" t="s">
        <v>34</v>
      </c>
      <c r="E1430">
        <v>234</v>
      </c>
      <c r="F1430" s="1" t="s">
        <v>35</v>
      </c>
      <c r="G1430">
        <v>1</v>
      </c>
      <c r="H1430">
        <v>4</v>
      </c>
      <c r="I1430" s="1" t="s">
        <v>48</v>
      </c>
      <c r="J1430">
        <v>2013</v>
      </c>
      <c r="K1430">
        <v>2</v>
      </c>
      <c r="L1430" s="1" t="s">
        <v>43</v>
      </c>
      <c r="M1430">
        <v>68</v>
      </c>
      <c r="N1430">
        <v>2</v>
      </c>
      <c r="O1430">
        <v>1</v>
      </c>
      <c r="P1430" s="1" t="s">
        <v>54</v>
      </c>
      <c r="Q1430">
        <v>2</v>
      </c>
      <c r="R1430" s="1" t="s">
        <v>45</v>
      </c>
      <c r="S1430">
        <v>2269</v>
      </c>
      <c r="T1430">
        <v>18024</v>
      </c>
      <c r="U1430">
        <v>0</v>
      </c>
      <c r="V1430" s="1" t="s">
        <v>40</v>
      </c>
      <c r="W1430">
        <v>14</v>
      </c>
      <c r="X1430">
        <v>3</v>
      </c>
      <c r="Y1430">
        <v>2</v>
      </c>
      <c r="Z1430">
        <v>80</v>
      </c>
      <c r="AA1430">
        <v>1</v>
      </c>
      <c r="AB1430">
        <v>3</v>
      </c>
      <c r="AC1430">
        <v>2</v>
      </c>
      <c r="AD1430">
        <v>3</v>
      </c>
      <c r="AE1430">
        <v>2</v>
      </c>
      <c r="AF1430">
        <v>2</v>
      </c>
      <c r="AG1430">
        <v>2</v>
      </c>
      <c r="AH1430">
        <v>2</v>
      </c>
      <c r="AI1430">
        <f>IF(tbl_HRData[[#This Row],[Attrition]] = "Yes",1,0)</f>
        <v>0</v>
      </c>
      <c r="AJ1430">
        <f>IF(tbl_HRData[[#This Row],[Attrition]] = "No",1,0)</f>
        <v>1</v>
      </c>
      <c r="AK1430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430" s="1" t="str">
        <f>IF(tbl_HRData[[#This Row],[MonthlyIncome]]&lt;5000,"Low",
IF(tbl_HRData[[#This Row],[MonthlyIncome]]&lt;10000,"Medium",
IF(tbl_HRData[[#This Row],[MonthlyIncome]]&lt;15000,"Upper Medium","High")))</f>
        <v>Low</v>
      </c>
      <c r="AM1430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431" spans="1:39" x14ac:dyDescent="0.35">
      <c r="A1431" s="1">
        <v>1430</v>
      </c>
      <c r="B1431">
        <v>39</v>
      </c>
      <c r="C1431" s="1" t="s">
        <v>40</v>
      </c>
      <c r="D1431" s="1" t="s">
        <v>34</v>
      </c>
      <c r="E1431">
        <v>116</v>
      </c>
      <c r="F1431" s="1" t="s">
        <v>42</v>
      </c>
      <c r="G1431">
        <v>24</v>
      </c>
      <c r="H1431">
        <v>1</v>
      </c>
      <c r="I1431" s="1" t="s">
        <v>36</v>
      </c>
      <c r="J1431">
        <v>2014</v>
      </c>
      <c r="K1431">
        <v>1</v>
      </c>
      <c r="L1431" s="1" t="s">
        <v>43</v>
      </c>
      <c r="M1431">
        <v>52</v>
      </c>
      <c r="N1431">
        <v>3</v>
      </c>
      <c r="O1431">
        <v>2</v>
      </c>
      <c r="P1431" s="1" t="s">
        <v>44</v>
      </c>
      <c r="Q1431">
        <v>4</v>
      </c>
      <c r="R1431" s="1" t="s">
        <v>39</v>
      </c>
      <c r="S1431">
        <v>4108</v>
      </c>
      <c r="T1431">
        <v>5340</v>
      </c>
      <c r="U1431">
        <v>7</v>
      </c>
      <c r="V1431" s="1" t="s">
        <v>40</v>
      </c>
      <c r="W1431">
        <v>13</v>
      </c>
      <c r="X1431">
        <v>3</v>
      </c>
      <c r="Y1431">
        <v>1</v>
      </c>
      <c r="Z1431">
        <v>80</v>
      </c>
      <c r="AA1431">
        <v>0</v>
      </c>
      <c r="AB1431">
        <v>18</v>
      </c>
      <c r="AC1431">
        <v>2</v>
      </c>
      <c r="AD1431">
        <v>3</v>
      </c>
      <c r="AE1431">
        <v>7</v>
      </c>
      <c r="AF1431">
        <v>7</v>
      </c>
      <c r="AG1431">
        <v>1</v>
      </c>
      <c r="AH1431">
        <v>7</v>
      </c>
      <c r="AI1431">
        <f>IF(tbl_HRData[[#This Row],[Attrition]] = "Yes",1,0)</f>
        <v>0</v>
      </c>
      <c r="AJ1431">
        <f>IF(tbl_HRData[[#This Row],[Attrition]] = "No",1,0)</f>
        <v>1</v>
      </c>
      <c r="AK1431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431" s="1" t="str">
        <f>IF(tbl_HRData[[#This Row],[MonthlyIncome]]&lt;5000,"Low",
IF(tbl_HRData[[#This Row],[MonthlyIncome]]&lt;10000,"Medium",
IF(tbl_HRData[[#This Row],[MonthlyIncome]]&lt;15000,"Upper Medium","High")))</f>
        <v>Low</v>
      </c>
      <c r="AM1431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432" spans="1:39" x14ac:dyDescent="0.35">
      <c r="A1432" s="1">
        <v>1431</v>
      </c>
      <c r="B1432">
        <v>38</v>
      </c>
      <c r="C1432" s="1" t="s">
        <v>40</v>
      </c>
      <c r="D1432" s="1" t="s">
        <v>34</v>
      </c>
      <c r="E1432">
        <v>201</v>
      </c>
      <c r="F1432" s="1" t="s">
        <v>42</v>
      </c>
      <c r="G1432">
        <v>10</v>
      </c>
      <c r="H1432">
        <v>3</v>
      </c>
      <c r="I1432" s="1" t="s">
        <v>48</v>
      </c>
      <c r="J1432">
        <v>2015</v>
      </c>
      <c r="K1432">
        <v>2</v>
      </c>
      <c r="L1432" s="1" t="s">
        <v>37</v>
      </c>
      <c r="M1432">
        <v>99</v>
      </c>
      <c r="N1432">
        <v>1</v>
      </c>
      <c r="O1432">
        <v>3</v>
      </c>
      <c r="P1432" s="1" t="s">
        <v>55</v>
      </c>
      <c r="Q1432">
        <v>3</v>
      </c>
      <c r="R1432" s="1" t="s">
        <v>45</v>
      </c>
      <c r="S1432">
        <v>13206</v>
      </c>
      <c r="T1432">
        <v>3376</v>
      </c>
      <c r="U1432">
        <v>3</v>
      </c>
      <c r="V1432" s="1" t="s">
        <v>40</v>
      </c>
      <c r="W1432">
        <v>12</v>
      </c>
      <c r="X1432">
        <v>3</v>
      </c>
      <c r="Y1432">
        <v>1</v>
      </c>
      <c r="Z1432">
        <v>80</v>
      </c>
      <c r="AA1432">
        <v>1</v>
      </c>
      <c r="AB1432">
        <v>20</v>
      </c>
      <c r="AC1432">
        <v>3</v>
      </c>
      <c r="AD1432">
        <v>3</v>
      </c>
      <c r="AE1432">
        <v>18</v>
      </c>
      <c r="AF1432">
        <v>16</v>
      </c>
      <c r="AG1432">
        <v>1</v>
      </c>
      <c r="AH1432">
        <v>11</v>
      </c>
      <c r="AI1432">
        <f>IF(tbl_HRData[[#This Row],[Attrition]] = "Yes",1,0)</f>
        <v>0</v>
      </c>
      <c r="AJ1432">
        <f>IF(tbl_HRData[[#This Row],[Attrition]] = "No",1,0)</f>
        <v>1</v>
      </c>
      <c r="AK1432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432" s="1" t="str">
        <f>IF(tbl_HRData[[#This Row],[MonthlyIncome]]&lt;5000,"Low",
IF(tbl_HRData[[#This Row],[MonthlyIncome]]&lt;10000,"Medium",
IF(tbl_HRData[[#This Row],[MonthlyIncome]]&lt;15000,"Upper Medium","High")))</f>
        <v>Upper Medium</v>
      </c>
      <c r="AM1432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1433" spans="1:39" x14ac:dyDescent="0.35">
      <c r="A1433" s="1">
        <v>1432</v>
      </c>
      <c r="B1433">
        <v>32</v>
      </c>
      <c r="C1433" s="1" t="s">
        <v>40</v>
      </c>
      <c r="D1433" s="1" t="s">
        <v>34</v>
      </c>
      <c r="E1433">
        <v>801</v>
      </c>
      <c r="F1433" s="1" t="s">
        <v>35</v>
      </c>
      <c r="G1433">
        <v>1</v>
      </c>
      <c r="H1433">
        <v>4</v>
      </c>
      <c r="I1433" s="1" t="s">
        <v>56</v>
      </c>
      <c r="J1433">
        <v>2016</v>
      </c>
      <c r="K1433">
        <v>3</v>
      </c>
      <c r="L1433" s="1" t="s">
        <v>37</v>
      </c>
      <c r="M1433">
        <v>48</v>
      </c>
      <c r="N1433">
        <v>3</v>
      </c>
      <c r="O1433">
        <v>3</v>
      </c>
      <c r="P1433" s="1" t="s">
        <v>38</v>
      </c>
      <c r="Q1433">
        <v>4</v>
      </c>
      <c r="R1433" s="1" t="s">
        <v>45</v>
      </c>
      <c r="S1433">
        <v>10422</v>
      </c>
      <c r="T1433">
        <v>24032</v>
      </c>
      <c r="U1433">
        <v>1</v>
      </c>
      <c r="V1433" s="1" t="s">
        <v>40</v>
      </c>
      <c r="W1433">
        <v>19</v>
      </c>
      <c r="X1433">
        <v>3</v>
      </c>
      <c r="Y1433">
        <v>3</v>
      </c>
      <c r="Z1433">
        <v>80</v>
      </c>
      <c r="AA1433">
        <v>2</v>
      </c>
      <c r="AB1433">
        <v>14</v>
      </c>
      <c r="AC1433">
        <v>3</v>
      </c>
      <c r="AD1433">
        <v>3</v>
      </c>
      <c r="AE1433">
        <v>14</v>
      </c>
      <c r="AF1433">
        <v>10</v>
      </c>
      <c r="AG1433">
        <v>5</v>
      </c>
      <c r="AH1433">
        <v>7</v>
      </c>
      <c r="AI1433">
        <f>IF(tbl_HRData[[#This Row],[Attrition]] = "Yes",1,0)</f>
        <v>0</v>
      </c>
      <c r="AJ1433">
        <f>IF(tbl_HRData[[#This Row],[Attrition]] = "No",1,0)</f>
        <v>1</v>
      </c>
      <c r="AK1433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433" s="1" t="str">
        <f>IF(tbl_HRData[[#This Row],[MonthlyIncome]]&lt;5000,"Low",
IF(tbl_HRData[[#This Row],[MonthlyIncome]]&lt;10000,"Medium",
IF(tbl_HRData[[#This Row],[MonthlyIncome]]&lt;15000,"Upper Medium","High")))</f>
        <v>Upper Medium</v>
      </c>
      <c r="AM1433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1434" spans="1:39" x14ac:dyDescent="0.35">
      <c r="A1434" s="1">
        <v>1433</v>
      </c>
      <c r="B1434">
        <v>37</v>
      </c>
      <c r="C1434" s="1" t="s">
        <v>40</v>
      </c>
      <c r="D1434" s="1" t="s">
        <v>34</v>
      </c>
      <c r="E1434">
        <v>161</v>
      </c>
      <c r="F1434" s="1" t="s">
        <v>42</v>
      </c>
      <c r="G1434">
        <v>10</v>
      </c>
      <c r="H1434">
        <v>3</v>
      </c>
      <c r="I1434" s="1" t="s">
        <v>36</v>
      </c>
      <c r="J1434">
        <v>2017</v>
      </c>
      <c r="K1434">
        <v>3</v>
      </c>
      <c r="L1434" s="1" t="s">
        <v>37</v>
      </c>
      <c r="M1434">
        <v>42</v>
      </c>
      <c r="N1434">
        <v>4</v>
      </c>
      <c r="O1434">
        <v>3</v>
      </c>
      <c r="P1434" s="1" t="s">
        <v>55</v>
      </c>
      <c r="Q1434">
        <v>4</v>
      </c>
      <c r="R1434" s="1" t="s">
        <v>45</v>
      </c>
      <c r="S1434">
        <v>13744</v>
      </c>
      <c r="T1434">
        <v>15471</v>
      </c>
      <c r="U1434">
        <v>1</v>
      </c>
      <c r="V1434" s="1" t="s">
        <v>33</v>
      </c>
      <c r="W1434">
        <v>25</v>
      </c>
      <c r="X1434">
        <v>4</v>
      </c>
      <c r="Y1434">
        <v>1</v>
      </c>
      <c r="Z1434">
        <v>80</v>
      </c>
      <c r="AA1434">
        <v>1</v>
      </c>
      <c r="AB1434">
        <v>16</v>
      </c>
      <c r="AC1434">
        <v>2</v>
      </c>
      <c r="AD1434">
        <v>3</v>
      </c>
      <c r="AE1434">
        <v>16</v>
      </c>
      <c r="AF1434">
        <v>11</v>
      </c>
      <c r="AG1434">
        <v>6</v>
      </c>
      <c r="AH1434">
        <v>8</v>
      </c>
      <c r="AI1434">
        <f>IF(tbl_HRData[[#This Row],[Attrition]] = "Yes",1,0)</f>
        <v>0</v>
      </c>
      <c r="AJ1434">
        <f>IF(tbl_HRData[[#This Row],[Attrition]] = "No",1,0)</f>
        <v>1</v>
      </c>
      <c r="AK1434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434" s="1" t="str">
        <f>IF(tbl_HRData[[#This Row],[MonthlyIncome]]&lt;5000,"Low",
IF(tbl_HRData[[#This Row],[MonthlyIncome]]&lt;10000,"Medium",
IF(tbl_HRData[[#This Row],[MonthlyIncome]]&lt;15000,"Upper Medium","High")))</f>
        <v>Upper Medium</v>
      </c>
      <c r="AM1434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1435" spans="1:39" x14ac:dyDescent="0.35">
      <c r="A1435" s="1">
        <v>1434</v>
      </c>
      <c r="B1435">
        <v>25</v>
      </c>
      <c r="C1435" s="1" t="s">
        <v>40</v>
      </c>
      <c r="D1435" s="1" t="s">
        <v>34</v>
      </c>
      <c r="E1435">
        <v>1382</v>
      </c>
      <c r="F1435" s="1" t="s">
        <v>35</v>
      </c>
      <c r="G1435">
        <v>8</v>
      </c>
      <c r="H1435">
        <v>2</v>
      </c>
      <c r="I1435" s="1" t="s">
        <v>46</v>
      </c>
      <c r="J1435">
        <v>2018</v>
      </c>
      <c r="K1435">
        <v>1</v>
      </c>
      <c r="L1435" s="1" t="s">
        <v>37</v>
      </c>
      <c r="M1435">
        <v>85</v>
      </c>
      <c r="N1435">
        <v>3</v>
      </c>
      <c r="O1435">
        <v>2</v>
      </c>
      <c r="P1435" s="1" t="s">
        <v>38</v>
      </c>
      <c r="Q1435">
        <v>3</v>
      </c>
      <c r="R1435" s="1" t="s">
        <v>49</v>
      </c>
      <c r="S1435">
        <v>4907</v>
      </c>
      <c r="T1435">
        <v>13684</v>
      </c>
      <c r="U1435">
        <v>0</v>
      </c>
      <c r="V1435" s="1" t="s">
        <v>33</v>
      </c>
      <c r="W1435">
        <v>22</v>
      </c>
      <c r="X1435">
        <v>4</v>
      </c>
      <c r="Y1435">
        <v>2</v>
      </c>
      <c r="Z1435">
        <v>80</v>
      </c>
      <c r="AA1435">
        <v>1</v>
      </c>
      <c r="AB1435">
        <v>6</v>
      </c>
      <c r="AC1435">
        <v>3</v>
      </c>
      <c r="AD1435">
        <v>2</v>
      </c>
      <c r="AE1435">
        <v>5</v>
      </c>
      <c r="AF1435">
        <v>3</v>
      </c>
      <c r="AG1435">
        <v>0</v>
      </c>
      <c r="AH1435">
        <v>4</v>
      </c>
      <c r="AI1435">
        <f>IF(tbl_HRData[[#This Row],[Attrition]] = "Yes",1,0)</f>
        <v>0</v>
      </c>
      <c r="AJ1435">
        <f>IF(tbl_HRData[[#This Row],[Attrition]] = "No",1,0)</f>
        <v>1</v>
      </c>
      <c r="AK1435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435" s="1" t="str">
        <f>IF(tbl_HRData[[#This Row],[MonthlyIncome]]&lt;5000,"Low",
IF(tbl_HRData[[#This Row],[MonthlyIncome]]&lt;10000,"Medium",
IF(tbl_HRData[[#This Row],[MonthlyIncome]]&lt;15000,"Upper Medium","High")))</f>
        <v>Low</v>
      </c>
      <c r="AM1435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436" spans="1:39" x14ac:dyDescent="0.35">
      <c r="A1436" s="1">
        <v>1435</v>
      </c>
      <c r="B1436">
        <v>52</v>
      </c>
      <c r="C1436" s="1" t="s">
        <v>40</v>
      </c>
      <c r="D1436" s="1" t="s">
        <v>52</v>
      </c>
      <c r="E1436">
        <v>585</v>
      </c>
      <c r="F1436" s="1" t="s">
        <v>35</v>
      </c>
      <c r="G1436">
        <v>29</v>
      </c>
      <c r="H1436">
        <v>4</v>
      </c>
      <c r="I1436" s="1" t="s">
        <v>36</v>
      </c>
      <c r="J1436">
        <v>2019</v>
      </c>
      <c r="K1436">
        <v>1</v>
      </c>
      <c r="L1436" s="1" t="s">
        <v>43</v>
      </c>
      <c r="M1436">
        <v>40</v>
      </c>
      <c r="N1436">
        <v>3</v>
      </c>
      <c r="O1436">
        <v>1</v>
      </c>
      <c r="P1436" s="1" t="s">
        <v>54</v>
      </c>
      <c r="Q1436">
        <v>4</v>
      </c>
      <c r="R1436" s="1" t="s">
        <v>49</v>
      </c>
      <c r="S1436">
        <v>3482</v>
      </c>
      <c r="T1436">
        <v>19788</v>
      </c>
      <c r="U1436">
        <v>2</v>
      </c>
      <c r="V1436" s="1" t="s">
        <v>40</v>
      </c>
      <c r="W1436">
        <v>15</v>
      </c>
      <c r="X1436">
        <v>3</v>
      </c>
      <c r="Y1436">
        <v>2</v>
      </c>
      <c r="Z1436">
        <v>80</v>
      </c>
      <c r="AA1436">
        <v>2</v>
      </c>
      <c r="AB1436">
        <v>16</v>
      </c>
      <c r="AC1436">
        <v>3</v>
      </c>
      <c r="AD1436">
        <v>2</v>
      </c>
      <c r="AE1436">
        <v>9</v>
      </c>
      <c r="AF1436">
        <v>8</v>
      </c>
      <c r="AG1436">
        <v>0</v>
      </c>
      <c r="AH1436">
        <v>0</v>
      </c>
      <c r="AI1436">
        <f>IF(tbl_HRData[[#This Row],[Attrition]] = "Yes",1,0)</f>
        <v>0</v>
      </c>
      <c r="AJ1436">
        <f>IF(tbl_HRData[[#This Row],[Attrition]] = "No",1,0)</f>
        <v>1</v>
      </c>
      <c r="AK1436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1436" s="1" t="str">
        <f>IF(tbl_HRData[[#This Row],[MonthlyIncome]]&lt;5000,"Low",
IF(tbl_HRData[[#This Row],[MonthlyIncome]]&lt;10000,"Medium",
IF(tbl_HRData[[#This Row],[MonthlyIncome]]&lt;15000,"Upper Medium","High")))</f>
        <v>Low</v>
      </c>
      <c r="AM1436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437" spans="1:39" x14ac:dyDescent="0.35">
      <c r="A1437" s="1">
        <v>1436</v>
      </c>
      <c r="B1437">
        <v>44</v>
      </c>
      <c r="C1437" s="1" t="s">
        <v>40</v>
      </c>
      <c r="D1437" s="1" t="s">
        <v>34</v>
      </c>
      <c r="E1437">
        <v>1037</v>
      </c>
      <c r="F1437" s="1" t="s">
        <v>42</v>
      </c>
      <c r="G1437">
        <v>1</v>
      </c>
      <c r="H1437">
        <v>3</v>
      </c>
      <c r="I1437" s="1" t="s">
        <v>48</v>
      </c>
      <c r="J1437">
        <v>2020</v>
      </c>
      <c r="K1437">
        <v>2</v>
      </c>
      <c r="L1437" s="1" t="s">
        <v>43</v>
      </c>
      <c r="M1437">
        <v>42</v>
      </c>
      <c r="N1437">
        <v>3</v>
      </c>
      <c r="O1437">
        <v>1</v>
      </c>
      <c r="P1437" s="1" t="s">
        <v>44</v>
      </c>
      <c r="Q1437">
        <v>4</v>
      </c>
      <c r="R1437" s="1" t="s">
        <v>39</v>
      </c>
      <c r="S1437">
        <v>2436</v>
      </c>
      <c r="T1437">
        <v>13422</v>
      </c>
      <c r="U1437">
        <v>6</v>
      </c>
      <c r="V1437" s="1" t="s">
        <v>33</v>
      </c>
      <c r="W1437">
        <v>12</v>
      </c>
      <c r="X1437">
        <v>3</v>
      </c>
      <c r="Y1437">
        <v>3</v>
      </c>
      <c r="Z1437">
        <v>80</v>
      </c>
      <c r="AA1437">
        <v>0</v>
      </c>
      <c r="AB1437">
        <v>6</v>
      </c>
      <c r="AC1437">
        <v>2</v>
      </c>
      <c r="AD1437">
        <v>3</v>
      </c>
      <c r="AE1437">
        <v>4</v>
      </c>
      <c r="AF1437">
        <v>3</v>
      </c>
      <c r="AG1437">
        <v>1</v>
      </c>
      <c r="AH1437">
        <v>2</v>
      </c>
      <c r="AI1437">
        <f>IF(tbl_HRData[[#This Row],[Attrition]] = "Yes",1,0)</f>
        <v>0</v>
      </c>
      <c r="AJ1437">
        <f>IF(tbl_HRData[[#This Row],[Attrition]] = "No",1,0)</f>
        <v>1</v>
      </c>
      <c r="AK1437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437" s="1" t="str">
        <f>IF(tbl_HRData[[#This Row],[MonthlyIncome]]&lt;5000,"Low",
IF(tbl_HRData[[#This Row],[MonthlyIncome]]&lt;10000,"Medium",
IF(tbl_HRData[[#This Row],[MonthlyIncome]]&lt;15000,"Upper Medium","High")))</f>
        <v>Low</v>
      </c>
      <c r="AM1437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438" spans="1:39" x14ac:dyDescent="0.35">
      <c r="A1438" s="1">
        <v>1437</v>
      </c>
      <c r="B1438">
        <v>21</v>
      </c>
      <c r="C1438" s="1" t="s">
        <v>40</v>
      </c>
      <c r="D1438" s="1" t="s">
        <v>34</v>
      </c>
      <c r="E1438">
        <v>501</v>
      </c>
      <c r="F1438" s="1" t="s">
        <v>35</v>
      </c>
      <c r="G1438">
        <v>5</v>
      </c>
      <c r="H1438">
        <v>1</v>
      </c>
      <c r="I1438" s="1" t="s">
        <v>48</v>
      </c>
      <c r="J1438">
        <v>2021</v>
      </c>
      <c r="K1438">
        <v>3</v>
      </c>
      <c r="L1438" s="1" t="s">
        <v>43</v>
      </c>
      <c r="M1438">
        <v>58</v>
      </c>
      <c r="N1438">
        <v>3</v>
      </c>
      <c r="O1438">
        <v>1</v>
      </c>
      <c r="P1438" s="1" t="s">
        <v>54</v>
      </c>
      <c r="Q1438">
        <v>1</v>
      </c>
      <c r="R1438" s="1" t="s">
        <v>39</v>
      </c>
      <c r="S1438">
        <v>2380</v>
      </c>
      <c r="T1438">
        <v>25479</v>
      </c>
      <c r="U1438">
        <v>1</v>
      </c>
      <c r="V1438" s="1" t="s">
        <v>33</v>
      </c>
      <c r="W1438">
        <v>11</v>
      </c>
      <c r="X1438">
        <v>3</v>
      </c>
      <c r="Y1438">
        <v>4</v>
      </c>
      <c r="Z1438">
        <v>80</v>
      </c>
      <c r="AA1438">
        <v>0</v>
      </c>
      <c r="AB1438">
        <v>2</v>
      </c>
      <c r="AC1438">
        <v>6</v>
      </c>
      <c r="AD1438">
        <v>3</v>
      </c>
      <c r="AE1438">
        <v>2</v>
      </c>
      <c r="AF1438">
        <v>2</v>
      </c>
      <c r="AG1438">
        <v>1</v>
      </c>
      <c r="AH1438">
        <v>2</v>
      </c>
      <c r="AI1438">
        <f>IF(tbl_HRData[[#This Row],[Attrition]] = "Yes",1,0)</f>
        <v>0</v>
      </c>
      <c r="AJ1438">
        <f>IF(tbl_HRData[[#This Row],[Attrition]] = "No",1,0)</f>
        <v>1</v>
      </c>
      <c r="AK1438" t="str">
        <f>IF(tbl_HRData[[#This Row],[Age]] &lt; 25, "Under 25", IF(tbl_HRData[[#This Row],[Age]] &lt;= 34, "25-34", IF(tbl_HRData[[#This Row],[Age]] &lt;= 44, "35-44", IF(tbl_HRData[[#This Row],[Age]] &lt;= 54, "45-54", "55+"))))</f>
        <v>Under 25</v>
      </c>
      <c r="AL1438" s="1" t="str">
        <f>IF(tbl_HRData[[#This Row],[MonthlyIncome]]&lt;5000,"Low",
IF(tbl_HRData[[#This Row],[MonthlyIncome]]&lt;10000,"Medium",
IF(tbl_HRData[[#This Row],[MonthlyIncome]]&lt;15000,"Upper Medium","High")))</f>
        <v>Low</v>
      </c>
      <c r="AM1438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439" spans="1:39" x14ac:dyDescent="0.35">
      <c r="A1439" s="1">
        <v>1438</v>
      </c>
      <c r="B1439">
        <v>39</v>
      </c>
      <c r="C1439" s="1" t="s">
        <v>40</v>
      </c>
      <c r="D1439" s="1" t="s">
        <v>52</v>
      </c>
      <c r="E1439">
        <v>105</v>
      </c>
      <c r="F1439" s="1" t="s">
        <v>42</v>
      </c>
      <c r="G1439">
        <v>9</v>
      </c>
      <c r="H1439">
        <v>3</v>
      </c>
      <c r="I1439" s="1" t="s">
        <v>36</v>
      </c>
      <c r="J1439">
        <v>2022</v>
      </c>
      <c r="K1439">
        <v>4</v>
      </c>
      <c r="L1439" s="1" t="s">
        <v>43</v>
      </c>
      <c r="M1439">
        <v>87</v>
      </c>
      <c r="N1439">
        <v>3</v>
      </c>
      <c r="O1439">
        <v>5</v>
      </c>
      <c r="P1439" s="1" t="s">
        <v>53</v>
      </c>
      <c r="Q1439">
        <v>4</v>
      </c>
      <c r="R1439" s="1" t="s">
        <v>39</v>
      </c>
      <c r="S1439">
        <v>19431</v>
      </c>
      <c r="T1439">
        <v>15302</v>
      </c>
      <c r="U1439">
        <v>2</v>
      </c>
      <c r="V1439" s="1" t="s">
        <v>40</v>
      </c>
      <c r="W1439">
        <v>13</v>
      </c>
      <c r="X1439">
        <v>3</v>
      </c>
      <c r="Y1439">
        <v>3</v>
      </c>
      <c r="Z1439">
        <v>80</v>
      </c>
      <c r="AA1439">
        <v>0</v>
      </c>
      <c r="AB1439">
        <v>21</v>
      </c>
      <c r="AC1439">
        <v>3</v>
      </c>
      <c r="AD1439">
        <v>2</v>
      </c>
      <c r="AE1439">
        <v>6</v>
      </c>
      <c r="AF1439">
        <v>0</v>
      </c>
      <c r="AG1439">
        <v>1</v>
      </c>
      <c r="AH1439">
        <v>3</v>
      </c>
      <c r="AI1439">
        <f>IF(tbl_HRData[[#This Row],[Attrition]] = "Yes",1,0)</f>
        <v>0</v>
      </c>
      <c r="AJ1439">
        <f>IF(tbl_HRData[[#This Row],[Attrition]] = "No",1,0)</f>
        <v>1</v>
      </c>
      <c r="AK1439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439" s="1" t="str">
        <f>IF(tbl_HRData[[#This Row],[MonthlyIncome]]&lt;5000,"Low",
IF(tbl_HRData[[#This Row],[MonthlyIncome]]&lt;10000,"Medium",
IF(tbl_HRData[[#This Row],[MonthlyIncome]]&lt;15000,"Upper Medium","High")))</f>
        <v>High</v>
      </c>
      <c r="AM1439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440" spans="1:39" x14ac:dyDescent="0.35">
      <c r="A1440" s="1">
        <v>1439</v>
      </c>
      <c r="B1440">
        <v>23</v>
      </c>
      <c r="C1440" s="1" t="s">
        <v>33</v>
      </c>
      <c r="D1440" s="1" t="s">
        <v>41</v>
      </c>
      <c r="E1440">
        <v>638</v>
      </c>
      <c r="F1440" s="1" t="s">
        <v>35</v>
      </c>
      <c r="G1440">
        <v>9</v>
      </c>
      <c r="H1440">
        <v>3</v>
      </c>
      <c r="I1440" s="1" t="s">
        <v>56</v>
      </c>
      <c r="J1440">
        <v>2023</v>
      </c>
      <c r="K1440">
        <v>4</v>
      </c>
      <c r="L1440" s="1" t="s">
        <v>43</v>
      </c>
      <c r="M1440">
        <v>33</v>
      </c>
      <c r="N1440">
        <v>3</v>
      </c>
      <c r="O1440">
        <v>1</v>
      </c>
      <c r="P1440" s="1" t="s">
        <v>54</v>
      </c>
      <c r="Q1440">
        <v>1</v>
      </c>
      <c r="R1440" s="1" t="s">
        <v>45</v>
      </c>
      <c r="S1440">
        <v>1790</v>
      </c>
      <c r="T1440">
        <v>26956</v>
      </c>
      <c r="U1440">
        <v>1</v>
      </c>
      <c r="V1440" s="1" t="s">
        <v>40</v>
      </c>
      <c r="W1440">
        <v>19</v>
      </c>
      <c r="X1440">
        <v>3</v>
      </c>
      <c r="Y1440">
        <v>1</v>
      </c>
      <c r="Z1440">
        <v>80</v>
      </c>
      <c r="AA1440">
        <v>1</v>
      </c>
      <c r="AB1440">
        <v>1</v>
      </c>
      <c r="AC1440">
        <v>3</v>
      </c>
      <c r="AD1440">
        <v>2</v>
      </c>
      <c r="AE1440">
        <v>1</v>
      </c>
      <c r="AF1440">
        <v>0</v>
      </c>
      <c r="AG1440">
        <v>1</v>
      </c>
      <c r="AH1440">
        <v>0</v>
      </c>
      <c r="AI1440">
        <f>IF(tbl_HRData[[#This Row],[Attrition]] = "Yes",1,0)</f>
        <v>1</v>
      </c>
      <c r="AJ1440">
        <f>IF(tbl_HRData[[#This Row],[Attrition]] = "No",1,0)</f>
        <v>0</v>
      </c>
      <c r="AK1440" t="str">
        <f>IF(tbl_HRData[[#This Row],[Age]] &lt; 25, "Under 25", IF(tbl_HRData[[#This Row],[Age]] &lt;= 34, "25-34", IF(tbl_HRData[[#This Row],[Age]] &lt;= 44, "35-44", IF(tbl_HRData[[#This Row],[Age]] &lt;= 54, "45-54", "55+"))))</f>
        <v>Under 25</v>
      </c>
      <c r="AL1440" s="1" t="str">
        <f>IF(tbl_HRData[[#This Row],[MonthlyIncome]]&lt;5000,"Low",
IF(tbl_HRData[[#This Row],[MonthlyIncome]]&lt;10000,"Medium",
IF(tbl_HRData[[#This Row],[MonthlyIncome]]&lt;15000,"Upper Medium","High")))</f>
        <v>Low</v>
      </c>
      <c r="AM1440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441" spans="1:39" x14ac:dyDescent="0.35">
      <c r="A1441" s="1">
        <v>1440</v>
      </c>
      <c r="B1441">
        <v>36</v>
      </c>
      <c r="C1441" s="1" t="s">
        <v>40</v>
      </c>
      <c r="D1441" s="1" t="s">
        <v>34</v>
      </c>
      <c r="E1441">
        <v>557</v>
      </c>
      <c r="F1441" s="1" t="s">
        <v>35</v>
      </c>
      <c r="G1441">
        <v>3</v>
      </c>
      <c r="H1441">
        <v>3</v>
      </c>
      <c r="I1441" s="1" t="s">
        <v>48</v>
      </c>
      <c r="J1441">
        <v>2024</v>
      </c>
      <c r="K1441">
        <v>1</v>
      </c>
      <c r="L1441" s="1" t="s">
        <v>37</v>
      </c>
      <c r="M1441">
        <v>94</v>
      </c>
      <c r="N1441">
        <v>2</v>
      </c>
      <c r="O1441">
        <v>3</v>
      </c>
      <c r="P1441" s="1" t="s">
        <v>38</v>
      </c>
      <c r="Q1441">
        <v>4</v>
      </c>
      <c r="R1441" s="1" t="s">
        <v>45</v>
      </c>
      <c r="S1441">
        <v>7644</v>
      </c>
      <c r="T1441">
        <v>12695</v>
      </c>
      <c r="U1441">
        <v>0</v>
      </c>
      <c r="V1441" s="1" t="s">
        <v>40</v>
      </c>
      <c r="W1441">
        <v>19</v>
      </c>
      <c r="X1441">
        <v>3</v>
      </c>
      <c r="Y1441">
        <v>3</v>
      </c>
      <c r="Z1441">
        <v>80</v>
      </c>
      <c r="AA1441">
        <v>2</v>
      </c>
      <c r="AB1441">
        <v>10</v>
      </c>
      <c r="AC1441">
        <v>2</v>
      </c>
      <c r="AD1441">
        <v>3</v>
      </c>
      <c r="AE1441">
        <v>9</v>
      </c>
      <c r="AF1441">
        <v>7</v>
      </c>
      <c r="AG1441">
        <v>3</v>
      </c>
      <c r="AH1441">
        <v>4</v>
      </c>
      <c r="AI1441">
        <f>IF(tbl_HRData[[#This Row],[Attrition]] = "Yes",1,0)</f>
        <v>0</v>
      </c>
      <c r="AJ1441">
        <f>IF(tbl_HRData[[#This Row],[Attrition]] = "No",1,0)</f>
        <v>1</v>
      </c>
      <c r="AK1441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441" s="1" t="str">
        <f>IF(tbl_HRData[[#This Row],[MonthlyIncome]]&lt;5000,"Low",
IF(tbl_HRData[[#This Row],[MonthlyIncome]]&lt;10000,"Medium",
IF(tbl_HRData[[#This Row],[MonthlyIncome]]&lt;15000,"Upper Medium","High")))</f>
        <v>Medium</v>
      </c>
      <c r="AM1441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442" spans="1:39" x14ac:dyDescent="0.35">
      <c r="A1442" s="1">
        <v>1441</v>
      </c>
      <c r="B1442">
        <v>36</v>
      </c>
      <c r="C1442" s="1" t="s">
        <v>40</v>
      </c>
      <c r="D1442" s="1" t="s">
        <v>41</v>
      </c>
      <c r="E1442">
        <v>688</v>
      </c>
      <c r="F1442" s="1" t="s">
        <v>42</v>
      </c>
      <c r="G1442">
        <v>4</v>
      </c>
      <c r="H1442">
        <v>2</v>
      </c>
      <c r="I1442" s="1" t="s">
        <v>36</v>
      </c>
      <c r="J1442">
        <v>2025</v>
      </c>
      <c r="K1442">
        <v>4</v>
      </c>
      <c r="L1442" s="1" t="s">
        <v>37</v>
      </c>
      <c r="M1442">
        <v>97</v>
      </c>
      <c r="N1442">
        <v>3</v>
      </c>
      <c r="O1442">
        <v>2</v>
      </c>
      <c r="P1442" s="1" t="s">
        <v>50</v>
      </c>
      <c r="Q1442">
        <v>2</v>
      </c>
      <c r="R1442" s="1" t="s">
        <v>49</v>
      </c>
      <c r="S1442">
        <v>5131</v>
      </c>
      <c r="T1442">
        <v>9192</v>
      </c>
      <c r="U1442">
        <v>7</v>
      </c>
      <c r="V1442" s="1" t="s">
        <v>40</v>
      </c>
      <c r="W1442">
        <v>13</v>
      </c>
      <c r="X1442">
        <v>3</v>
      </c>
      <c r="Y1442">
        <v>2</v>
      </c>
      <c r="Z1442">
        <v>80</v>
      </c>
      <c r="AA1442">
        <v>3</v>
      </c>
      <c r="AB1442">
        <v>18</v>
      </c>
      <c r="AC1442">
        <v>3</v>
      </c>
      <c r="AD1442">
        <v>3</v>
      </c>
      <c r="AE1442">
        <v>4</v>
      </c>
      <c r="AF1442">
        <v>2</v>
      </c>
      <c r="AG1442">
        <v>0</v>
      </c>
      <c r="AH1442">
        <v>2</v>
      </c>
      <c r="AI1442">
        <f>IF(tbl_HRData[[#This Row],[Attrition]] = "Yes",1,0)</f>
        <v>0</v>
      </c>
      <c r="AJ1442">
        <f>IF(tbl_HRData[[#This Row],[Attrition]] = "No",1,0)</f>
        <v>1</v>
      </c>
      <c r="AK1442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442" s="1" t="str">
        <f>IF(tbl_HRData[[#This Row],[MonthlyIncome]]&lt;5000,"Low",
IF(tbl_HRData[[#This Row],[MonthlyIncome]]&lt;10000,"Medium",
IF(tbl_HRData[[#This Row],[MonthlyIncome]]&lt;15000,"Upper Medium","High")))</f>
        <v>Medium</v>
      </c>
      <c r="AM1442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443" spans="1:39" x14ac:dyDescent="0.35">
      <c r="A1443" s="1">
        <v>1442</v>
      </c>
      <c r="B1443">
        <v>56</v>
      </c>
      <c r="C1443" s="1" t="s">
        <v>40</v>
      </c>
      <c r="D1443" s="1" t="s">
        <v>52</v>
      </c>
      <c r="E1443">
        <v>667</v>
      </c>
      <c r="F1443" s="1" t="s">
        <v>42</v>
      </c>
      <c r="G1443">
        <v>1</v>
      </c>
      <c r="H1443">
        <v>4</v>
      </c>
      <c r="I1443" s="1" t="s">
        <v>36</v>
      </c>
      <c r="J1443">
        <v>2026</v>
      </c>
      <c r="K1443">
        <v>3</v>
      </c>
      <c r="L1443" s="1" t="s">
        <v>43</v>
      </c>
      <c r="M1443">
        <v>57</v>
      </c>
      <c r="N1443">
        <v>3</v>
      </c>
      <c r="O1443">
        <v>2</v>
      </c>
      <c r="P1443" s="1" t="s">
        <v>51</v>
      </c>
      <c r="Q1443">
        <v>3</v>
      </c>
      <c r="R1443" s="1" t="s">
        <v>49</v>
      </c>
      <c r="S1443">
        <v>6306</v>
      </c>
      <c r="T1443">
        <v>26236</v>
      </c>
      <c r="U1443">
        <v>1</v>
      </c>
      <c r="V1443" s="1" t="s">
        <v>40</v>
      </c>
      <c r="W1443">
        <v>21</v>
      </c>
      <c r="X1443">
        <v>4</v>
      </c>
      <c r="Y1443">
        <v>1</v>
      </c>
      <c r="Z1443">
        <v>80</v>
      </c>
      <c r="AA1443">
        <v>1</v>
      </c>
      <c r="AB1443">
        <v>13</v>
      </c>
      <c r="AC1443">
        <v>2</v>
      </c>
      <c r="AD1443">
        <v>2</v>
      </c>
      <c r="AE1443">
        <v>13</v>
      </c>
      <c r="AF1443">
        <v>12</v>
      </c>
      <c r="AG1443">
        <v>1</v>
      </c>
      <c r="AH1443">
        <v>9</v>
      </c>
      <c r="AI1443">
        <f>IF(tbl_HRData[[#This Row],[Attrition]] = "Yes",1,0)</f>
        <v>0</v>
      </c>
      <c r="AJ1443">
        <f>IF(tbl_HRData[[#This Row],[Attrition]] = "No",1,0)</f>
        <v>1</v>
      </c>
      <c r="AK1443" t="str">
        <f>IF(tbl_HRData[[#This Row],[Age]] &lt; 25, "Under 25", IF(tbl_HRData[[#This Row],[Age]] &lt;= 34, "25-34", IF(tbl_HRData[[#This Row],[Age]] &lt;= 44, "35-44", IF(tbl_HRData[[#This Row],[Age]] &lt;= 54, "45-54", "55+"))))</f>
        <v>55+</v>
      </c>
      <c r="AL1443" s="1" t="str">
        <f>IF(tbl_HRData[[#This Row],[MonthlyIncome]]&lt;5000,"Low",
IF(tbl_HRData[[#This Row],[MonthlyIncome]]&lt;10000,"Medium",
IF(tbl_HRData[[#This Row],[MonthlyIncome]]&lt;15000,"Upper Medium","High")))</f>
        <v>Medium</v>
      </c>
      <c r="AM1443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1444" spans="1:39" x14ac:dyDescent="0.35">
      <c r="A1444" s="1">
        <v>1443</v>
      </c>
      <c r="B1444">
        <v>29</v>
      </c>
      <c r="C1444" s="1" t="s">
        <v>33</v>
      </c>
      <c r="D1444" s="1" t="s">
        <v>34</v>
      </c>
      <c r="E1444">
        <v>1092</v>
      </c>
      <c r="F1444" s="1" t="s">
        <v>42</v>
      </c>
      <c r="G1444">
        <v>1</v>
      </c>
      <c r="H1444">
        <v>4</v>
      </c>
      <c r="I1444" s="1" t="s">
        <v>48</v>
      </c>
      <c r="J1444">
        <v>2027</v>
      </c>
      <c r="K1444">
        <v>1</v>
      </c>
      <c r="L1444" s="1" t="s">
        <v>43</v>
      </c>
      <c r="M1444">
        <v>36</v>
      </c>
      <c r="N1444">
        <v>3</v>
      </c>
      <c r="O1444">
        <v>1</v>
      </c>
      <c r="P1444" s="1" t="s">
        <v>44</v>
      </c>
      <c r="Q1444">
        <v>4</v>
      </c>
      <c r="R1444" s="1" t="s">
        <v>45</v>
      </c>
      <c r="S1444">
        <v>4787</v>
      </c>
      <c r="T1444">
        <v>26124</v>
      </c>
      <c r="U1444">
        <v>9</v>
      </c>
      <c r="V1444" s="1" t="s">
        <v>33</v>
      </c>
      <c r="W1444">
        <v>14</v>
      </c>
      <c r="X1444">
        <v>3</v>
      </c>
      <c r="Y1444">
        <v>2</v>
      </c>
      <c r="Z1444">
        <v>80</v>
      </c>
      <c r="AA1444">
        <v>3</v>
      </c>
      <c r="AB1444">
        <v>4</v>
      </c>
      <c r="AC1444">
        <v>3</v>
      </c>
      <c r="AD1444">
        <v>4</v>
      </c>
      <c r="AE1444">
        <v>2</v>
      </c>
      <c r="AF1444">
        <v>2</v>
      </c>
      <c r="AG1444">
        <v>2</v>
      </c>
      <c r="AH1444">
        <v>2</v>
      </c>
      <c r="AI1444">
        <f>IF(tbl_HRData[[#This Row],[Attrition]] = "Yes",1,0)</f>
        <v>1</v>
      </c>
      <c r="AJ1444">
        <f>IF(tbl_HRData[[#This Row],[Attrition]] = "No",1,0)</f>
        <v>0</v>
      </c>
      <c r="AK1444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444" s="1" t="str">
        <f>IF(tbl_HRData[[#This Row],[MonthlyIncome]]&lt;5000,"Low",
IF(tbl_HRData[[#This Row],[MonthlyIncome]]&lt;10000,"Medium",
IF(tbl_HRData[[#This Row],[MonthlyIncome]]&lt;15000,"Upper Medium","High")))</f>
        <v>Low</v>
      </c>
      <c r="AM1444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445" spans="1:39" x14ac:dyDescent="0.35">
      <c r="A1445" s="1">
        <v>1444</v>
      </c>
      <c r="B1445">
        <v>42</v>
      </c>
      <c r="C1445" s="1" t="s">
        <v>40</v>
      </c>
      <c r="D1445" s="1" t="s">
        <v>34</v>
      </c>
      <c r="E1445">
        <v>300</v>
      </c>
      <c r="F1445" s="1" t="s">
        <v>42</v>
      </c>
      <c r="G1445">
        <v>2</v>
      </c>
      <c r="H1445">
        <v>3</v>
      </c>
      <c r="I1445" s="1" t="s">
        <v>36</v>
      </c>
      <c r="J1445">
        <v>2031</v>
      </c>
      <c r="K1445">
        <v>1</v>
      </c>
      <c r="L1445" s="1" t="s">
        <v>43</v>
      </c>
      <c r="M1445">
        <v>56</v>
      </c>
      <c r="N1445">
        <v>3</v>
      </c>
      <c r="O1445">
        <v>5</v>
      </c>
      <c r="P1445" s="1" t="s">
        <v>53</v>
      </c>
      <c r="Q1445">
        <v>3</v>
      </c>
      <c r="R1445" s="1" t="s">
        <v>45</v>
      </c>
      <c r="S1445">
        <v>18880</v>
      </c>
      <c r="T1445">
        <v>17312</v>
      </c>
      <c r="U1445">
        <v>5</v>
      </c>
      <c r="V1445" s="1" t="s">
        <v>40</v>
      </c>
      <c r="W1445">
        <v>11</v>
      </c>
      <c r="X1445">
        <v>3</v>
      </c>
      <c r="Y1445">
        <v>1</v>
      </c>
      <c r="Z1445">
        <v>80</v>
      </c>
      <c r="AA1445">
        <v>0</v>
      </c>
      <c r="AB1445">
        <v>24</v>
      </c>
      <c r="AC1445">
        <v>2</v>
      </c>
      <c r="AD1445">
        <v>2</v>
      </c>
      <c r="AE1445">
        <v>22</v>
      </c>
      <c r="AF1445">
        <v>6</v>
      </c>
      <c r="AG1445">
        <v>4</v>
      </c>
      <c r="AH1445">
        <v>14</v>
      </c>
      <c r="AI1445">
        <f>IF(tbl_HRData[[#This Row],[Attrition]] = "Yes",1,0)</f>
        <v>0</v>
      </c>
      <c r="AJ1445">
        <f>IF(tbl_HRData[[#This Row],[Attrition]] = "No",1,0)</f>
        <v>1</v>
      </c>
      <c r="AK1445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445" s="1" t="str">
        <f>IF(tbl_HRData[[#This Row],[MonthlyIncome]]&lt;5000,"Low",
IF(tbl_HRData[[#This Row],[MonthlyIncome]]&lt;10000,"Medium",
IF(tbl_HRData[[#This Row],[MonthlyIncome]]&lt;15000,"Upper Medium","High")))</f>
        <v>High</v>
      </c>
      <c r="AM1445" s="1" t="str">
        <f>IF(tbl_HRData[[#This Row],[YearsAtCompany]]&lt;=5,"0-5 Years",
IF(tbl_HRData[[#This Row],[YearsAtCompany]]&lt;=10,"6-10 Years",
IF(tbl_HRData[[#This Row],[YearsAtCompany]]&lt;=20,"11-20 Years","21+ Years")))</f>
        <v>21+ Years</v>
      </c>
    </row>
    <row r="1446" spans="1:39" x14ac:dyDescent="0.35">
      <c r="A1446" s="1">
        <v>1445</v>
      </c>
      <c r="B1446">
        <v>56</v>
      </c>
      <c r="C1446" s="1" t="s">
        <v>33</v>
      </c>
      <c r="D1446" s="1" t="s">
        <v>34</v>
      </c>
      <c r="E1446">
        <v>310</v>
      </c>
      <c r="F1446" s="1" t="s">
        <v>42</v>
      </c>
      <c r="G1446">
        <v>7</v>
      </c>
      <c r="H1446">
        <v>2</v>
      </c>
      <c r="I1446" s="1" t="s">
        <v>57</v>
      </c>
      <c r="J1446">
        <v>2032</v>
      </c>
      <c r="K1446">
        <v>4</v>
      </c>
      <c r="L1446" s="1" t="s">
        <v>43</v>
      </c>
      <c r="M1446">
        <v>72</v>
      </c>
      <c r="N1446">
        <v>3</v>
      </c>
      <c r="O1446">
        <v>1</v>
      </c>
      <c r="P1446" s="1" t="s">
        <v>47</v>
      </c>
      <c r="Q1446">
        <v>3</v>
      </c>
      <c r="R1446" s="1" t="s">
        <v>45</v>
      </c>
      <c r="S1446">
        <v>2339</v>
      </c>
      <c r="T1446">
        <v>3666</v>
      </c>
      <c r="U1446">
        <v>8</v>
      </c>
      <c r="V1446" s="1" t="s">
        <v>40</v>
      </c>
      <c r="W1446">
        <v>11</v>
      </c>
      <c r="X1446">
        <v>3</v>
      </c>
      <c r="Y1446">
        <v>4</v>
      </c>
      <c r="Z1446">
        <v>80</v>
      </c>
      <c r="AA1446">
        <v>1</v>
      </c>
      <c r="AB1446">
        <v>14</v>
      </c>
      <c r="AC1446">
        <v>4</v>
      </c>
      <c r="AD1446">
        <v>1</v>
      </c>
      <c r="AE1446">
        <v>10</v>
      </c>
      <c r="AF1446">
        <v>9</v>
      </c>
      <c r="AG1446">
        <v>9</v>
      </c>
      <c r="AH1446">
        <v>8</v>
      </c>
      <c r="AI1446">
        <f>IF(tbl_HRData[[#This Row],[Attrition]] = "Yes",1,0)</f>
        <v>1</v>
      </c>
      <c r="AJ1446">
        <f>IF(tbl_HRData[[#This Row],[Attrition]] = "No",1,0)</f>
        <v>0</v>
      </c>
      <c r="AK1446" t="str">
        <f>IF(tbl_HRData[[#This Row],[Age]] &lt; 25, "Under 25", IF(tbl_HRData[[#This Row],[Age]] &lt;= 34, "25-34", IF(tbl_HRData[[#This Row],[Age]] &lt;= 44, "35-44", IF(tbl_HRData[[#This Row],[Age]] &lt;= 54, "45-54", "55+"))))</f>
        <v>55+</v>
      </c>
      <c r="AL1446" s="1" t="str">
        <f>IF(tbl_HRData[[#This Row],[MonthlyIncome]]&lt;5000,"Low",
IF(tbl_HRData[[#This Row],[MonthlyIncome]]&lt;10000,"Medium",
IF(tbl_HRData[[#This Row],[MonthlyIncome]]&lt;15000,"Upper Medium","High")))</f>
        <v>Low</v>
      </c>
      <c r="AM1446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447" spans="1:39" x14ac:dyDescent="0.35">
      <c r="A1447" s="1">
        <v>1446</v>
      </c>
      <c r="B1447">
        <v>41</v>
      </c>
      <c r="C1447" s="1" t="s">
        <v>40</v>
      </c>
      <c r="D1447" s="1" t="s">
        <v>34</v>
      </c>
      <c r="E1447">
        <v>582</v>
      </c>
      <c r="F1447" s="1" t="s">
        <v>42</v>
      </c>
      <c r="G1447">
        <v>28</v>
      </c>
      <c r="H1447">
        <v>4</v>
      </c>
      <c r="I1447" s="1" t="s">
        <v>36</v>
      </c>
      <c r="J1447">
        <v>2034</v>
      </c>
      <c r="K1447">
        <v>1</v>
      </c>
      <c r="L1447" s="1" t="s">
        <v>37</v>
      </c>
      <c r="M1447">
        <v>60</v>
      </c>
      <c r="N1447">
        <v>2</v>
      </c>
      <c r="O1447">
        <v>4</v>
      </c>
      <c r="P1447" s="1" t="s">
        <v>50</v>
      </c>
      <c r="Q1447">
        <v>2</v>
      </c>
      <c r="R1447" s="1" t="s">
        <v>45</v>
      </c>
      <c r="S1447">
        <v>13570</v>
      </c>
      <c r="T1447">
        <v>5640</v>
      </c>
      <c r="U1447">
        <v>0</v>
      </c>
      <c r="V1447" s="1" t="s">
        <v>40</v>
      </c>
      <c r="W1447">
        <v>23</v>
      </c>
      <c r="X1447">
        <v>4</v>
      </c>
      <c r="Y1447">
        <v>3</v>
      </c>
      <c r="Z1447">
        <v>80</v>
      </c>
      <c r="AA1447">
        <v>1</v>
      </c>
      <c r="AB1447">
        <v>21</v>
      </c>
      <c r="AC1447">
        <v>3</v>
      </c>
      <c r="AD1447">
        <v>3</v>
      </c>
      <c r="AE1447">
        <v>20</v>
      </c>
      <c r="AF1447">
        <v>7</v>
      </c>
      <c r="AG1447">
        <v>0</v>
      </c>
      <c r="AH1447">
        <v>10</v>
      </c>
      <c r="AI1447">
        <f>IF(tbl_HRData[[#This Row],[Attrition]] = "Yes",1,0)</f>
        <v>0</v>
      </c>
      <c r="AJ1447">
        <f>IF(tbl_HRData[[#This Row],[Attrition]] = "No",1,0)</f>
        <v>1</v>
      </c>
      <c r="AK1447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447" s="1" t="str">
        <f>IF(tbl_HRData[[#This Row],[MonthlyIncome]]&lt;5000,"Low",
IF(tbl_HRData[[#This Row],[MonthlyIncome]]&lt;10000,"Medium",
IF(tbl_HRData[[#This Row],[MonthlyIncome]]&lt;15000,"Upper Medium","High")))</f>
        <v>Upper Medium</v>
      </c>
      <c r="AM1447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1448" spans="1:39" x14ac:dyDescent="0.35">
      <c r="A1448" s="1">
        <v>1447</v>
      </c>
      <c r="B1448">
        <v>34</v>
      </c>
      <c r="C1448" s="1" t="s">
        <v>40</v>
      </c>
      <c r="D1448" s="1" t="s">
        <v>34</v>
      </c>
      <c r="E1448">
        <v>704</v>
      </c>
      <c r="F1448" s="1" t="s">
        <v>35</v>
      </c>
      <c r="G1448">
        <v>28</v>
      </c>
      <c r="H1448">
        <v>3</v>
      </c>
      <c r="I1448" s="1" t="s">
        <v>56</v>
      </c>
      <c r="J1448">
        <v>2035</v>
      </c>
      <c r="K1448">
        <v>4</v>
      </c>
      <c r="L1448" s="1" t="s">
        <v>37</v>
      </c>
      <c r="M1448">
        <v>95</v>
      </c>
      <c r="N1448">
        <v>2</v>
      </c>
      <c r="O1448">
        <v>2</v>
      </c>
      <c r="P1448" s="1" t="s">
        <v>38</v>
      </c>
      <c r="Q1448">
        <v>3</v>
      </c>
      <c r="R1448" s="1" t="s">
        <v>45</v>
      </c>
      <c r="S1448">
        <v>6712</v>
      </c>
      <c r="T1448">
        <v>8978</v>
      </c>
      <c r="U1448">
        <v>1</v>
      </c>
      <c r="V1448" s="1" t="s">
        <v>40</v>
      </c>
      <c r="W1448">
        <v>21</v>
      </c>
      <c r="X1448">
        <v>4</v>
      </c>
      <c r="Y1448">
        <v>4</v>
      </c>
      <c r="Z1448">
        <v>80</v>
      </c>
      <c r="AA1448">
        <v>2</v>
      </c>
      <c r="AB1448">
        <v>8</v>
      </c>
      <c r="AC1448">
        <v>2</v>
      </c>
      <c r="AD1448">
        <v>3</v>
      </c>
      <c r="AE1448">
        <v>8</v>
      </c>
      <c r="AF1448">
        <v>7</v>
      </c>
      <c r="AG1448">
        <v>1</v>
      </c>
      <c r="AH1448">
        <v>7</v>
      </c>
      <c r="AI1448">
        <f>IF(tbl_HRData[[#This Row],[Attrition]] = "Yes",1,0)</f>
        <v>0</v>
      </c>
      <c r="AJ1448">
        <f>IF(tbl_HRData[[#This Row],[Attrition]] = "No",1,0)</f>
        <v>1</v>
      </c>
      <c r="AK1448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448" s="1" t="str">
        <f>IF(tbl_HRData[[#This Row],[MonthlyIncome]]&lt;5000,"Low",
IF(tbl_HRData[[#This Row],[MonthlyIncome]]&lt;10000,"Medium",
IF(tbl_HRData[[#This Row],[MonthlyIncome]]&lt;15000,"Upper Medium","High")))</f>
        <v>Medium</v>
      </c>
      <c r="AM1448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449" spans="1:39" x14ac:dyDescent="0.35">
      <c r="A1449" s="1">
        <v>1448</v>
      </c>
      <c r="B1449">
        <v>36</v>
      </c>
      <c r="C1449" s="1" t="s">
        <v>40</v>
      </c>
      <c r="D1449" s="1" t="s">
        <v>52</v>
      </c>
      <c r="E1449">
        <v>301</v>
      </c>
      <c r="F1449" s="1" t="s">
        <v>35</v>
      </c>
      <c r="G1449">
        <v>15</v>
      </c>
      <c r="H1449">
        <v>4</v>
      </c>
      <c r="I1449" s="1" t="s">
        <v>56</v>
      </c>
      <c r="J1449">
        <v>2036</v>
      </c>
      <c r="K1449">
        <v>4</v>
      </c>
      <c r="L1449" s="1" t="s">
        <v>43</v>
      </c>
      <c r="M1449">
        <v>88</v>
      </c>
      <c r="N1449">
        <v>1</v>
      </c>
      <c r="O1449">
        <v>2</v>
      </c>
      <c r="P1449" s="1" t="s">
        <v>38</v>
      </c>
      <c r="Q1449">
        <v>4</v>
      </c>
      <c r="R1449" s="1" t="s">
        <v>49</v>
      </c>
      <c r="S1449">
        <v>5406</v>
      </c>
      <c r="T1449">
        <v>10436</v>
      </c>
      <c r="U1449">
        <v>1</v>
      </c>
      <c r="V1449" s="1" t="s">
        <v>40</v>
      </c>
      <c r="W1449">
        <v>24</v>
      </c>
      <c r="X1449">
        <v>4</v>
      </c>
      <c r="Y1449">
        <v>1</v>
      </c>
      <c r="Z1449">
        <v>80</v>
      </c>
      <c r="AA1449">
        <v>1</v>
      </c>
      <c r="AB1449">
        <v>15</v>
      </c>
      <c r="AC1449">
        <v>4</v>
      </c>
      <c r="AD1449">
        <v>2</v>
      </c>
      <c r="AE1449">
        <v>15</v>
      </c>
      <c r="AF1449">
        <v>12</v>
      </c>
      <c r="AG1449">
        <v>11</v>
      </c>
      <c r="AH1449">
        <v>11</v>
      </c>
      <c r="AI1449">
        <f>IF(tbl_HRData[[#This Row],[Attrition]] = "Yes",1,0)</f>
        <v>0</v>
      </c>
      <c r="AJ1449">
        <f>IF(tbl_HRData[[#This Row],[Attrition]] = "No",1,0)</f>
        <v>1</v>
      </c>
      <c r="AK1449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449" s="1" t="str">
        <f>IF(tbl_HRData[[#This Row],[MonthlyIncome]]&lt;5000,"Low",
IF(tbl_HRData[[#This Row],[MonthlyIncome]]&lt;10000,"Medium",
IF(tbl_HRData[[#This Row],[MonthlyIncome]]&lt;15000,"Upper Medium","High")))</f>
        <v>Medium</v>
      </c>
      <c r="AM1449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1450" spans="1:39" x14ac:dyDescent="0.35">
      <c r="A1450" s="1">
        <v>1449</v>
      </c>
      <c r="B1450">
        <v>41</v>
      </c>
      <c r="C1450" s="1" t="s">
        <v>40</v>
      </c>
      <c r="D1450" s="1" t="s">
        <v>34</v>
      </c>
      <c r="E1450">
        <v>930</v>
      </c>
      <c r="F1450" s="1" t="s">
        <v>35</v>
      </c>
      <c r="G1450">
        <v>3</v>
      </c>
      <c r="H1450">
        <v>3</v>
      </c>
      <c r="I1450" s="1" t="s">
        <v>36</v>
      </c>
      <c r="J1450">
        <v>2037</v>
      </c>
      <c r="K1450">
        <v>3</v>
      </c>
      <c r="L1450" s="1" t="s">
        <v>43</v>
      </c>
      <c r="M1450">
        <v>57</v>
      </c>
      <c r="N1450">
        <v>2</v>
      </c>
      <c r="O1450">
        <v>2</v>
      </c>
      <c r="P1450" s="1" t="s">
        <v>38</v>
      </c>
      <c r="Q1450">
        <v>2</v>
      </c>
      <c r="R1450" s="1" t="s">
        <v>49</v>
      </c>
      <c r="S1450">
        <v>8938</v>
      </c>
      <c r="T1450">
        <v>12227</v>
      </c>
      <c r="U1450">
        <v>2</v>
      </c>
      <c r="V1450" s="1" t="s">
        <v>40</v>
      </c>
      <c r="W1450">
        <v>11</v>
      </c>
      <c r="X1450">
        <v>3</v>
      </c>
      <c r="Y1450">
        <v>3</v>
      </c>
      <c r="Z1450">
        <v>80</v>
      </c>
      <c r="AA1450">
        <v>1</v>
      </c>
      <c r="AB1450">
        <v>14</v>
      </c>
      <c r="AC1450">
        <v>5</v>
      </c>
      <c r="AD1450">
        <v>3</v>
      </c>
      <c r="AE1450">
        <v>5</v>
      </c>
      <c r="AF1450">
        <v>4</v>
      </c>
      <c r="AG1450">
        <v>0</v>
      </c>
      <c r="AH1450">
        <v>4</v>
      </c>
      <c r="AI1450">
        <f>IF(tbl_HRData[[#This Row],[Attrition]] = "Yes",1,0)</f>
        <v>0</v>
      </c>
      <c r="AJ1450">
        <f>IF(tbl_HRData[[#This Row],[Attrition]] = "No",1,0)</f>
        <v>1</v>
      </c>
      <c r="AK1450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450" s="1" t="str">
        <f>IF(tbl_HRData[[#This Row],[MonthlyIncome]]&lt;5000,"Low",
IF(tbl_HRData[[#This Row],[MonthlyIncome]]&lt;10000,"Medium",
IF(tbl_HRData[[#This Row],[MonthlyIncome]]&lt;15000,"Upper Medium","High")))</f>
        <v>Medium</v>
      </c>
      <c r="AM1450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451" spans="1:39" x14ac:dyDescent="0.35">
      <c r="A1451" s="1">
        <v>1450</v>
      </c>
      <c r="B1451">
        <v>32</v>
      </c>
      <c r="C1451" s="1" t="s">
        <v>40</v>
      </c>
      <c r="D1451" s="1" t="s">
        <v>34</v>
      </c>
      <c r="E1451">
        <v>529</v>
      </c>
      <c r="F1451" s="1" t="s">
        <v>42</v>
      </c>
      <c r="G1451">
        <v>2</v>
      </c>
      <c r="H1451">
        <v>3</v>
      </c>
      <c r="I1451" s="1" t="s">
        <v>57</v>
      </c>
      <c r="J1451">
        <v>2038</v>
      </c>
      <c r="K1451">
        <v>4</v>
      </c>
      <c r="L1451" s="1" t="s">
        <v>43</v>
      </c>
      <c r="M1451">
        <v>78</v>
      </c>
      <c r="N1451">
        <v>3</v>
      </c>
      <c r="O1451">
        <v>1</v>
      </c>
      <c r="P1451" s="1" t="s">
        <v>44</v>
      </c>
      <c r="Q1451">
        <v>1</v>
      </c>
      <c r="R1451" s="1" t="s">
        <v>39</v>
      </c>
      <c r="S1451">
        <v>2439</v>
      </c>
      <c r="T1451">
        <v>11288</v>
      </c>
      <c r="U1451">
        <v>1</v>
      </c>
      <c r="V1451" s="1" t="s">
        <v>40</v>
      </c>
      <c r="W1451">
        <v>14</v>
      </c>
      <c r="X1451">
        <v>3</v>
      </c>
      <c r="Y1451">
        <v>4</v>
      </c>
      <c r="Z1451">
        <v>80</v>
      </c>
      <c r="AA1451">
        <v>0</v>
      </c>
      <c r="AB1451">
        <v>4</v>
      </c>
      <c r="AC1451">
        <v>4</v>
      </c>
      <c r="AD1451">
        <v>3</v>
      </c>
      <c r="AE1451">
        <v>4</v>
      </c>
      <c r="AF1451">
        <v>2</v>
      </c>
      <c r="AG1451">
        <v>1</v>
      </c>
      <c r="AH1451">
        <v>2</v>
      </c>
      <c r="AI1451">
        <f>IF(tbl_HRData[[#This Row],[Attrition]] = "Yes",1,0)</f>
        <v>0</v>
      </c>
      <c r="AJ1451">
        <f>IF(tbl_HRData[[#This Row],[Attrition]] = "No",1,0)</f>
        <v>1</v>
      </c>
      <c r="AK1451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451" s="1" t="str">
        <f>IF(tbl_HRData[[#This Row],[MonthlyIncome]]&lt;5000,"Low",
IF(tbl_HRData[[#This Row],[MonthlyIncome]]&lt;10000,"Medium",
IF(tbl_HRData[[#This Row],[MonthlyIncome]]&lt;15000,"Upper Medium","High")))</f>
        <v>Low</v>
      </c>
      <c r="AM1451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452" spans="1:39" x14ac:dyDescent="0.35">
      <c r="A1452" s="1">
        <v>1451</v>
      </c>
      <c r="B1452">
        <v>35</v>
      </c>
      <c r="C1452" s="1" t="s">
        <v>40</v>
      </c>
      <c r="D1452" s="1" t="s">
        <v>34</v>
      </c>
      <c r="E1452">
        <v>1146</v>
      </c>
      <c r="F1452" s="1" t="s">
        <v>58</v>
      </c>
      <c r="G1452">
        <v>26</v>
      </c>
      <c r="H1452">
        <v>4</v>
      </c>
      <c r="I1452" s="1" t="s">
        <v>36</v>
      </c>
      <c r="J1452">
        <v>2040</v>
      </c>
      <c r="K1452">
        <v>3</v>
      </c>
      <c r="L1452" s="1" t="s">
        <v>37</v>
      </c>
      <c r="M1452">
        <v>31</v>
      </c>
      <c r="N1452">
        <v>3</v>
      </c>
      <c r="O1452">
        <v>3</v>
      </c>
      <c r="P1452" s="1" t="s">
        <v>58</v>
      </c>
      <c r="Q1452">
        <v>4</v>
      </c>
      <c r="R1452" s="1" t="s">
        <v>39</v>
      </c>
      <c r="S1452">
        <v>8837</v>
      </c>
      <c r="T1452">
        <v>16642</v>
      </c>
      <c r="U1452">
        <v>1</v>
      </c>
      <c r="V1452" s="1" t="s">
        <v>33</v>
      </c>
      <c r="W1452">
        <v>16</v>
      </c>
      <c r="X1452">
        <v>3</v>
      </c>
      <c r="Y1452">
        <v>3</v>
      </c>
      <c r="Z1452">
        <v>80</v>
      </c>
      <c r="AA1452">
        <v>0</v>
      </c>
      <c r="AB1452">
        <v>9</v>
      </c>
      <c r="AC1452">
        <v>2</v>
      </c>
      <c r="AD1452">
        <v>3</v>
      </c>
      <c r="AE1452">
        <v>9</v>
      </c>
      <c r="AF1452">
        <v>0</v>
      </c>
      <c r="AG1452">
        <v>1</v>
      </c>
      <c r="AH1452">
        <v>7</v>
      </c>
      <c r="AI1452">
        <f>IF(tbl_HRData[[#This Row],[Attrition]] = "Yes",1,0)</f>
        <v>0</v>
      </c>
      <c r="AJ1452">
        <f>IF(tbl_HRData[[#This Row],[Attrition]] = "No",1,0)</f>
        <v>1</v>
      </c>
      <c r="AK1452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452" s="1" t="str">
        <f>IF(tbl_HRData[[#This Row],[MonthlyIncome]]&lt;5000,"Low",
IF(tbl_HRData[[#This Row],[MonthlyIncome]]&lt;10000,"Medium",
IF(tbl_HRData[[#This Row],[MonthlyIncome]]&lt;15000,"Upper Medium","High")))</f>
        <v>Medium</v>
      </c>
      <c r="AM1452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453" spans="1:39" x14ac:dyDescent="0.35">
      <c r="A1453" s="1">
        <v>1452</v>
      </c>
      <c r="B1453">
        <v>38</v>
      </c>
      <c r="C1453" s="1" t="s">
        <v>40</v>
      </c>
      <c r="D1453" s="1" t="s">
        <v>34</v>
      </c>
      <c r="E1453">
        <v>345</v>
      </c>
      <c r="F1453" s="1" t="s">
        <v>35</v>
      </c>
      <c r="G1453">
        <v>10</v>
      </c>
      <c r="H1453">
        <v>2</v>
      </c>
      <c r="I1453" s="1" t="s">
        <v>36</v>
      </c>
      <c r="J1453">
        <v>2041</v>
      </c>
      <c r="K1453">
        <v>1</v>
      </c>
      <c r="L1453" s="1" t="s">
        <v>37</v>
      </c>
      <c r="M1453">
        <v>100</v>
      </c>
      <c r="N1453">
        <v>3</v>
      </c>
      <c r="O1453">
        <v>2</v>
      </c>
      <c r="P1453" s="1" t="s">
        <v>38</v>
      </c>
      <c r="Q1453">
        <v>4</v>
      </c>
      <c r="R1453" s="1" t="s">
        <v>45</v>
      </c>
      <c r="S1453">
        <v>5343</v>
      </c>
      <c r="T1453">
        <v>5982</v>
      </c>
      <c r="U1453">
        <v>1</v>
      </c>
      <c r="V1453" s="1" t="s">
        <v>40</v>
      </c>
      <c r="W1453">
        <v>11</v>
      </c>
      <c r="X1453">
        <v>3</v>
      </c>
      <c r="Y1453">
        <v>3</v>
      </c>
      <c r="Z1453">
        <v>80</v>
      </c>
      <c r="AA1453">
        <v>1</v>
      </c>
      <c r="AB1453">
        <v>10</v>
      </c>
      <c r="AC1453">
        <v>1</v>
      </c>
      <c r="AD1453">
        <v>3</v>
      </c>
      <c r="AE1453">
        <v>10</v>
      </c>
      <c r="AF1453">
        <v>7</v>
      </c>
      <c r="AG1453">
        <v>1</v>
      </c>
      <c r="AH1453">
        <v>9</v>
      </c>
      <c r="AI1453">
        <f>IF(tbl_HRData[[#This Row],[Attrition]] = "Yes",1,0)</f>
        <v>0</v>
      </c>
      <c r="AJ1453">
        <f>IF(tbl_HRData[[#This Row],[Attrition]] = "No",1,0)</f>
        <v>1</v>
      </c>
      <c r="AK1453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453" s="1" t="str">
        <f>IF(tbl_HRData[[#This Row],[MonthlyIncome]]&lt;5000,"Low",
IF(tbl_HRData[[#This Row],[MonthlyIncome]]&lt;10000,"Medium",
IF(tbl_HRData[[#This Row],[MonthlyIncome]]&lt;15000,"Upper Medium","High")))</f>
        <v>Medium</v>
      </c>
      <c r="AM1453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454" spans="1:39" x14ac:dyDescent="0.35">
      <c r="A1454" s="1">
        <v>1453</v>
      </c>
      <c r="B1454">
        <v>50</v>
      </c>
      <c r="C1454" s="1" t="s">
        <v>33</v>
      </c>
      <c r="D1454" s="1" t="s">
        <v>41</v>
      </c>
      <c r="E1454">
        <v>878</v>
      </c>
      <c r="F1454" s="1" t="s">
        <v>35</v>
      </c>
      <c r="G1454">
        <v>1</v>
      </c>
      <c r="H1454">
        <v>4</v>
      </c>
      <c r="I1454" s="1" t="s">
        <v>36</v>
      </c>
      <c r="J1454">
        <v>2044</v>
      </c>
      <c r="K1454">
        <v>2</v>
      </c>
      <c r="L1454" s="1" t="s">
        <v>43</v>
      </c>
      <c r="M1454">
        <v>94</v>
      </c>
      <c r="N1454">
        <v>3</v>
      </c>
      <c r="O1454">
        <v>2</v>
      </c>
      <c r="P1454" s="1" t="s">
        <v>38</v>
      </c>
      <c r="Q1454">
        <v>3</v>
      </c>
      <c r="R1454" s="1" t="s">
        <v>49</v>
      </c>
      <c r="S1454">
        <v>6728</v>
      </c>
      <c r="T1454">
        <v>14255</v>
      </c>
      <c r="U1454">
        <v>7</v>
      </c>
      <c r="V1454" s="1" t="s">
        <v>40</v>
      </c>
      <c r="W1454">
        <v>12</v>
      </c>
      <c r="X1454">
        <v>3</v>
      </c>
      <c r="Y1454">
        <v>4</v>
      </c>
      <c r="Z1454">
        <v>80</v>
      </c>
      <c r="AA1454">
        <v>2</v>
      </c>
      <c r="AB1454">
        <v>12</v>
      </c>
      <c r="AC1454">
        <v>3</v>
      </c>
      <c r="AD1454">
        <v>3</v>
      </c>
      <c r="AE1454">
        <v>6</v>
      </c>
      <c r="AF1454">
        <v>3</v>
      </c>
      <c r="AG1454">
        <v>0</v>
      </c>
      <c r="AH1454">
        <v>1</v>
      </c>
      <c r="AI1454">
        <f>IF(tbl_HRData[[#This Row],[Attrition]] = "Yes",1,0)</f>
        <v>1</v>
      </c>
      <c r="AJ1454">
        <f>IF(tbl_HRData[[#This Row],[Attrition]] = "No",1,0)</f>
        <v>0</v>
      </c>
      <c r="AK1454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1454" s="1" t="str">
        <f>IF(tbl_HRData[[#This Row],[MonthlyIncome]]&lt;5000,"Low",
IF(tbl_HRData[[#This Row],[MonthlyIncome]]&lt;10000,"Medium",
IF(tbl_HRData[[#This Row],[MonthlyIncome]]&lt;15000,"Upper Medium","High")))</f>
        <v>Medium</v>
      </c>
      <c r="AM1454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455" spans="1:39" x14ac:dyDescent="0.35">
      <c r="A1455" s="1">
        <v>1454</v>
      </c>
      <c r="B1455">
        <v>36</v>
      </c>
      <c r="C1455" s="1" t="s">
        <v>40</v>
      </c>
      <c r="D1455" s="1" t="s">
        <v>34</v>
      </c>
      <c r="E1455">
        <v>1120</v>
      </c>
      <c r="F1455" s="1" t="s">
        <v>35</v>
      </c>
      <c r="G1455">
        <v>11</v>
      </c>
      <c r="H1455">
        <v>4</v>
      </c>
      <c r="I1455" s="1" t="s">
        <v>56</v>
      </c>
      <c r="J1455">
        <v>2045</v>
      </c>
      <c r="K1455">
        <v>2</v>
      </c>
      <c r="L1455" s="1" t="s">
        <v>37</v>
      </c>
      <c r="M1455">
        <v>100</v>
      </c>
      <c r="N1455">
        <v>2</v>
      </c>
      <c r="O1455">
        <v>2</v>
      </c>
      <c r="P1455" s="1" t="s">
        <v>38</v>
      </c>
      <c r="Q1455">
        <v>4</v>
      </c>
      <c r="R1455" s="1" t="s">
        <v>45</v>
      </c>
      <c r="S1455">
        <v>6652</v>
      </c>
      <c r="T1455">
        <v>14369</v>
      </c>
      <c r="U1455">
        <v>4</v>
      </c>
      <c r="V1455" s="1" t="s">
        <v>40</v>
      </c>
      <c r="W1455">
        <v>13</v>
      </c>
      <c r="X1455">
        <v>3</v>
      </c>
      <c r="Y1455">
        <v>1</v>
      </c>
      <c r="Z1455">
        <v>80</v>
      </c>
      <c r="AA1455">
        <v>1</v>
      </c>
      <c r="AB1455">
        <v>8</v>
      </c>
      <c r="AC1455">
        <v>2</v>
      </c>
      <c r="AD1455">
        <v>2</v>
      </c>
      <c r="AE1455">
        <v>6</v>
      </c>
      <c r="AF1455">
        <v>3</v>
      </c>
      <c r="AG1455">
        <v>0</v>
      </c>
      <c r="AH1455">
        <v>0</v>
      </c>
      <c r="AI1455">
        <f>IF(tbl_HRData[[#This Row],[Attrition]] = "Yes",1,0)</f>
        <v>0</v>
      </c>
      <c r="AJ1455">
        <f>IF(tbl_HRData[[#This Row],[Attrition]] = "No",1,0)</f>
        <v>1</v>
      </c>
      <c r="AK1455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455" s="1" t="str">
        <f>IF(tbl_HRData[[#This Row],[MonthlyIncome]]&lt;5000,"Low",
IF(tbl_HRData[[#This Row],[MonthlyIncome]]&lt;10000,"Medium",
IF(tbl_HRData[[#This Row],[MonthlyIncome]]&lt;15000,"Upper Medium","High")))</f>
        <v>Medium</v>
      </c>
      <c r="AM1455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456" spans="1:39" x14ac:dyDescent="0.35">
      <c r="A1456" s="1">
        <v>1455</v>
      </c>
      <c r="B1456">
        <v>45</v>
      </c>
      <c r="C1456" s="1" t="s">
        <v>40</v>
      </c>
      <c r="D1456" s="1" t="s">
        <v>34</v>
      </c>
      <c r="E1456">
        <v>374</v>
      </c>
      <c r="F1456" s="1" t="s">
        <v>35</v>
      </c>
      <c r="G1456">
        <v>20</v>
      </c>
      <c r="H1456">
        <v>3</v>
      </c>
      <c r="I1456" s="1" t="s">
        <v>36</v>
      </c>
      <c r="J1456">
        <v>2046</v>
      </c>
      <c r="K1456">
        <v>4</v>
      </c>
      <c r="L1456" s="1" t="s">
        <v>37</v>
      </c>
      <c r="M1456">
        <v>50</v>
      </c>
      <c r="N1456">
        <v>3</v>
      </c>
      <c r="O1456">
        <v>2</v>
      </c>
      <c r="P1456" s="1" t="s">
        <v>38</v>
      </c>
      <c r="Q1456">
        <v>3</v>
      </c>
      <c r="R1456" s="1" t="s">
        <v>39</v>
      </c>
      <c r="S1456">
        <v>4850</v>
      </c>
      <c r="T1456">
        <v>23333</v>
      </c>
      <c r="U1456">
        <v>8</v>
      </c>
      <c r="V1456" s="1" t="s">
        <v>40</v>
      </c>
      <c r="W1456">
        <v>15</v>
      </c>
      <c r="X1456">
        <v>3</v>
      </c>
      <c r="Y1456">
        <v>3</v>
      </c>
      <c r="Z1456">
        <v>80</v>
      </c>
      <c r="AA1456">
        <v>0</v>
      </c>
      <c r="AB1456">
        <v>8</v>
      </c>
      <c r="AC1456">
        <v>3</v>
      </c>
      <c r="AD1456">
        <v>3</v>
      </c>
      <c r="AE1456">
        <v>5</v>
      </c>
      <c r="AF1456">
        <v>3</v>
      </c>
      <c r="AG1456">
        <v>0</v>
      </c>
      <c r="AH1456">
        <v>1</v>
      </c>
      <c r="AI1456">
        <f>IF(tbl_HRData[[#This Row],[Attrition]] = "Yes",1,0)</f>
        <v>0</v>
      </c>
      <c r="AJ1456">
        <f>IF(tbl_HRData[[#This Row],[Attrition]] = "No",1,0)</f>
        <v>1</v>
      </c>
      <c r="AK1456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1456" s="1" t="str">
        <f>IF(tbl_HRData[[#This Row],[MonthlyIncome]]&lt;5000,"Low",
IF(tbl_HRData[[#This Row],[MonthlyIncome]]&lt;10000,"Medium",
IF(tbl_HRData[[#This Row],[MonthlyIncome]]&lt;15000,"Upper Medium","High")))</f>
        <v>Low</v>
      </c>
      <c r="AM1456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457" spans="1:39" x14ac:dyDescent="0.35">
      <c r="A1457" s="1">
        <v>1456</v>
      </c>
      <c r="B1457">
        <v>40</v>
      </c>
      <c r="C1457" s="1" t="s">
        <v>40</v>
      </c>
      <c r="D1457" s="1" t="s">
        <v>34</v>
      </c>
      <c r="E1457">
        <v>1322</v>
      </c>
      <c r="F1457" s="1" t="s">
        <v>42</v>
      </c>
      <c r="G1457">
        <v>2</v>
      </c>
      <c r="H1457">
        <v>4</v>
      </c>
      <c r="I1457" s="1" t="s">
        <v>36</v>
      </c>
      <c r="J1457">
        <v>2048</v>
      </c>
      <c r="K1457">
        <v>3</v>
      </c>
      <c r="L1457" s="1" t="s">
        <v>43</v>
      </c>
      <c r="M1457">
        <v>52</v>
      </c>
      <c r="N1457">
        <v>2</v>
      </c>
      <c r="O1457">
        <v>1</v>
      </c>
      <c r="P1457" s="1" t="s">
        <v>44</v>
      </c>
      <c r="Q1457">
        <v>3</v>
      </c>
      <c r="R1457" s="1" t="s">
        <v>39</v>
      </c>
      <c r="S1457">
        <v>2809</v>
      </c>
      <c r="T1457">
        <v>2725</v>
      </c>
      <c r="U1457">
        <v>2</v>
      </c>
      <c r="V1457" s="1" t="s">
        <v>40</v>
      </c>
      <c r="W1457">
        <v>14</v>
      </c>
      <c r="X1457">
        <v>3</v>
      </c>
      <c r="Y1457">
        <v>4</v>
      </c>
      <c r="Z1457">
        <v>80</v>
      </c>
      <c r="AA1457">
        <v>0</v>
      </c>
      <c r="AB1457">
        <v>8</v>
      </c>
      <c r="AC1457">
        <v>2</v>
      </c>
      <c r="AD1457">
        <v>3</v>
      </c>
      <c r="AE1457">
        <v>2</v>
      </c>
      <c r="AF1457">
        <v>2</v>
      </c>
      <c r="AG1457">
        <v>2</v>
      </c>
      <c r="AH1457">
        <v>2</v>
      </c>
      <c r="AI1457">
        <f>IF(tbl_HRData[[#This Row],[Attrition]] = "Yes",1,0)</f>
        <v>0</v>
      </c>
      <c r="AJ1457">
        <f>IF(tbl_HRData[[#This Row],[Attrition]] = "No",1,0)</f>
        <v>1</v>
      </c>
      <c r="AK1457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457" s="1" t="str">
        <f>IF(tbl_HRData[[#This Row],[MonthlyIncome]]&lt;5000,"Low",
IF(tbl_HRData[[#This Row],[MonthlyIncome]]&lt;10000,"Medium",
IF(tbl_HRData[[#This Row],[MonthlyIncome]]&lt;15000,"Upper Medium","High")))</f>
        <v>Low</v>
      </c>
      <c r="AM1457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458" spans="1:39" x14ac:dyDescent="0.35">
      <c r="A1458" s="1">
        <v>1457</v>
      </c>
      <c r="B1458">
        <v>35</v>
      </c>
      <c r="C1458" s="1" t="s">
        <v>40</v>
      </c>
      <c r="D1458" s="1" t="s">
        <v>41</v>
      </c>
      <c r="E1458">
        <v>1199</v>
      </c>
      <c r="F1458" s="1" t="s">
        <v>42</v>
      </c>
      <c r="G1458">
        <v>18</v>
      </c>
      <c r="H1458">
        <v>4</v>
      </c>
      <c r="I1458" s="1" t="s">
        <v>36</v>
      </c>
      <c r="J1458">
        <v>2049</v>
      </c>
      <c r="K1458">
        <v>3</v>
      </c>
      <c r="L1458" s="1" t="s">
        <v>43</v>
      </c>
      <c r="M1458">
        <v>80</v>
      </c>
      <c r="N1458">
        <v>3</v>
      </c>
      <c r="O1458">
        <v>2</v>
      </c>
      <c r="P1458" s="1" t="s">
        <v>51</v>
      </c>
      <c r="Q1458">
        <v>3</v>
      </c>
      <c r="R1458" s="1" t="s">
        <v>45</v>
      </c>
      <c r="S1458">
        <v>5689</v>
      </c>
      <c r="T1458">
        <v>24594</v>
      </c>
      <c r="U1458">
        <v>1</v>
      </c>
      <c r="V1458" s="1" t="s">
        <v>33</v>
      </c>
      <c r="W1458">
        <v>14</v>
      </c>
      <c r="X1458">
        <v>3</v>
      </c>
      <c r="Y1458">
        <v>4</v>
      </c>
      <c r="Z1458">
        <v>80</v>
      </c>
      <c r="AA1458">
        <v>2</v>
      </c>
      <c r="AB1458">
        <v>10</v>
      </c>
      <c r="AC1458">
        <v>2</v>
      </c>
      <c r="AD1458">
        <v>4</v>
      </c>
      <c r="AE1458">
        <v>10</v>
      </c>
      <c r="AF1458">
        <v>2</v>
      </c>
      <c r="AG1458">
        <v>0</v>
      </c>
      <c r="AH1458">
        <v>2</v>
      </c>
      <c r="AI1458">
        <f>IF(tbl_HRData[[#This Row],[Attrition]] = "Yes",1,0)</f>
        <v>0</v>
      </c>
      <c r="AJ1458">
        <f>IF(tbl_HRData[[#This Row],[Attrition]] = "No",1,0)</f>
        <v>1</v>
      </c>
      <c r="AK1458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458" s="1" t="str">
        <f>IF(tbl_HRData[[#This Row],[MonthlyIncome]]&lt;5000,"Low",
IF(tbl_HRData[[#This Row],[MonthlyIncome]]&lt;10000,"Medium",
IF(tbl_HRData[[#This Row],[MonthlyIncome]]&lt;15000,"Upper Medium","High")))</f>
        <v>Medium</v>
      </c>
      <c r="AM1458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459" spans="1:39" x14ac:dyDescent="0.35">
      <c r="A1459" s="1">
        <v>1458</v>
      </c>
      <c r="B1459">
        <v>40</v>
      </c>
      <c r="C1459" s="1" t="s">
        <v>40</v>
      </c>
      <c r="D1459" s="1" t="s">
        <v>34</v>
      </c>
      <c r="E1459">
        <v>1194</v>
      </c>
      <c r="F1459" s="1" t="s">
        <v>42</v>
      </c>
      <c r="G1459">
        <v>2</v>
      </c>
      <c r="H1459">
        <v>4</v>
      </c>
      <c r="I1459" s="1" t="s">
        <v>48</v>
      </c>
      <c r="J1459">
        <v>2051</v>
      </c>
      <c r="K1459">
        <v>3</v>
      </c>
      <c r="L1459" s="1" t="s">
        <v>37</v>
      </c>
      <c r="M1459">
        <v>98</v>
      </c>
      <c r="N1459">
        <v>3</v>
      </c>
      <c r="O1459">
        <v>1</v>
      </c>
      <c r="P1459" s="1" t="s">
        <v>44</v>
      </c>
      <c r="Q1459">
        <v>3</v>
      </c>
      <c r="R1459" s="1" t="s">
        <v>45</v>
      </c>
      <c r="S1459">
        <v>2001</v>
      </c>
      <c r="T1459">
        <v>12549</v>
      </c>
      <c r="U1459">
        <v>2</v>
      </c>
      <c r="V1459" s="1" t="s">
        <v>40</v>
      </c>
      <c r="W1459">
        <v>14</v>
      </c>
      <c r="X1459">
        <v>3</v>
      </c>
      <c r="Y1459">
        <v>2</v>
      </c>
      <c r="Z1459">
        <v>80</v>
      </c>
      <c r="AA1459">
        <v>3</v>
      </c>
      <c r="AB1459">
        <v>20</v>
      </c>
      <c r="AC1459">
        <v>2</v>
      </c>
      <c r="AD1459">
        <v>3</v>
      </c>
      <c r="AE1459">
        <v>5</v>
      </c>
      <c r="AF1459">
        <v>3</v>
      </c>
      <c r="AG1459">
        <v>0</v>
      </c>
      <c r="AH1459">
        <v>2</v>
      </c>
      <c r="AI1459">
        <f>IF(tbl_HRData[[#This Row],[Attrition]] = "Yes",1,0)</f>
        <v>0</v>
      </c>
      <c r="AJ1459">
        <f>IF(tbl_HRData[[#This Row],[Attrition]] = "No",1,0)</f>
        <v>1</v>
      </c>
      <c r="AK1459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459" s="1" t="str">
        <f>IF(tbl_HRData[[#This Row],[MonthlyIncome]]&lt;5000,"Low",
IF(tbl_HRData[[#This Row],[MonthlyIncome]]&lt;10000,"Medium",
IF(tbl_HRData[[#This Row],[MonthlyIncome]]&lt;15000,"Upper Medium","High")))</f>
        <v>Low</v>
      </c>
      <c r="AM1459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460" spans="1:39" x14ac:dyDescent="0.35">
      <c r="A1460" s="1">
        <v>1459</v>
      </c>
      <c r="B1460">
        <v>35</v>
      </c>
      <c r="C1460" s="1" t="s">
        <v>40</v>
      </c>
      <c r="D1460" s="1" t="s">
        <v>34</v>
      </c>
      <c r="E1460">
        <v>287</v>
      </c>
      <c r="F1460" s="1" t="s">
        <v>42</v>
      </c>
      <c r="G1460">
        <v>1</v>
      </c>
      <c r="H1460">
        <v>4</v>
      </c>
      <c r="I1460" s="1" t="s">
        <v>36</v>
      </c>
      <c r="J1460">
        <v>2052</v>
      </c>
      <c r="K1460">
        <v>3</v>
      </c>
      <c r="L1460" s="1" t="s">
        <v>37</v>
      </c>
      <c r="M1460">
        <v>62</v>
      </c>
      <c r="N1460">
        <v>1</v>
      </c>
      <c r="O1460">
        <v>1</v>
      </c>
      <c r="P1460" s="1" t="s">
        <v>44</v>
      </c>
      <c r="Q1460">
        <v>4</v>
      </c>
      <c r="R1460" s="1" t="s">
        <v>45</v>
      </c>
      <c r="S1460">
        <v>2977</v>
      </c>
      <c r="T1460">
        <v>8952</v>
      </c>
      <c r="U1460">
        <v>1</v>
      </c>
      <c r="V1460" s="1" t="s">
        <v>40</v>
      </c>
      <c r="W1460">
        <v>12</v>
      </c>
      <c r="X1460">
        <v>3</v>
      </c>
      <c r="Y1460">
        <v>4</v>
      </c>
      <c r="Z1460">
        <v>80</v>
      </c>
      <c r="AA1460">
        <v>1</v>
      </c>
      <c r="AB1460">
        <v>4</v>
      </c>
      <c r="AC1460">
        <v>5</v>
      </c>
      <c r="AD1460">
        <v>3</v>
      </c>
      <c r="AE1460">
        <v>4</v>
      </c>
      <c r="AF1460">
        <v>3</v>
      </c>
      <c r="AG1460">
        <v>1</v>
      </c>
      <c r="AH1460">
        <v>1</v>
      </c>
      <c r="AI1460">
        <f>IF(tbl_HRData[[#This Row],[Attrition]] = "Yes",1,0)</f>
        <v>0</v>
      </c>
      <c r="AJ1460">
        <f>IF(tbl_HRData[[#This Row],[Attrition]] = "No",1,0)</f>
        <v>1</v>
      </c>
      <c r="AK1460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460" s="1" t="str">
        <f>IF(tbl_HRData[[#This Row],[MonthlyIncome]]&lt;5000,"Low",
IF(tbl_HRData[[#This Row],[MonthlyIncome]]&lt;10000,"Medium",
IF(tbl_HRData[[#This Row],[MonthlyIncome]]&lt;15000,"Upper Medium","High")))</f>
        <v>Low</v>
      </c>
      <c r="AM1460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461" spans="1:39" x14ac:dyDescent="0.35">
      <c r="A1461" s="1">
        <v>1460</v>
      </c>
      <c r="B1461">
        <v>29</v>
      </c>
      <c r="C1461" s="1" t="s">
        <v>40</v>
      </c>
      <c r="D1461" s="1" t="s">
        <v>34</v>
      </c>
      <c r="E1461">
        <v>1378</v>
      </c>
      <c r="F1461" s="1" t="s">
        <v>42</v>
      </c>
      <c r="G1461">
        <v>13</v>
      </c>
      <c r="H1461">
        <v>2</v>
      </c>
      <c r="I1461" s="1" t="s">
        <v>46</v>
      </c>
      <c r="J1461">
        <v>2053</v>
      </c>
      <c r="K1461">
        <v>4</v>
      </c>
      <c r="L1461" s="1" t="s">
        <v>43</v>
      </c>
      <c r="M1461">
        <v>46</v>
      </c>
      <c r="N1461">
        <v>2</v>
      </c>
      <c r="O1461">
        <v>2</v>
      </c>
      <c r="P1461" s="1" t="s">
        <v>47</v>
      </c>
      <c r="Q1461">
        <v>2</v>
      </c>
      <c r="R1461" s="1" t="s">
        <v>45</v>
      </c>
      <c r="S1461">
        <v>4025</v>
      </c>
      <c r="T1461">
        <v>23679</v>
      </c>
      <c r="U1461">
        <v>4</v>
      </c>
      <c r="V1461" s="1" t="s">
        <v>33</v>
      </c>
      <c r="W1461">
        <v>13</v>
      </c>
      <c r="X1461">
        <v>3</v>
      </c>
      <c r="Y1461">
        <v>1</v>
      </c>
      <c r="Z1461">
        <v>80</v>
      </c>
      <c r="AA1461">
        <v>1</v>
      </c>
      <c r="AB1461">
        <v>10</v>
      </c>
      <c r="AC1461">
        <v>2</v>
      </c>
      <c r="AD1461">
        <v>3</v>
      </c>
      <c r="AE1461">
        <v>4</v>
      </c>
      <c r="AF1461">
        <v>3</v>
      </c>
      <c r="AG1461">
        <v>0</v>
      </c>
      <c r="AH1461">
        <v>3</v>
      </c>
      <c r="AI1461">
        <f>IF(tbl_HRData[[#This Row],[Attrition]] = "Yes",1,0)</f>
        <v>0</v>
      </c>
      <c r="AJ1461">
        <f>IF(tbl_HRData[[#This Row],[Attrition]] = "No",1,0)</f>
        <v>1</v>
      </c>
      <c r="AK1461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461" s="1" t="str">
        <f>IF(tbl_HRData[[#This Row],[MonthlyIncome]]&lt;5000,"Low",
IF(tbl_HRData[[#This Row],[MonthlyIncome]]&lt;10000,"Medium",
IF(tbl_HRData[[#This Row],[MonthlyIncome]]&lt;15000,"Upper Medium","High")))</f>
        <v>Low</v>
      </c>
      <c r="AM1461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462" spans="1:39" x14ac:dyDescent="0.35">
      <c r="A1462" s="1">
        <v>1461</v>
      </c>
      <c r="B1462">
        <v>29</v>
      </c>
      <c r="C1462" s="1" t="s">
        <v>40</v>
      </c>
      <c r="D1462" s="1" t="s">
        <v>34</v>
      </c>
      <c r="E1462">
        <v>468</v>
      </c>
      <c r="F1462" s="1" t="s">
        <v>42</v>
      </c>
      <c r="G1462">
        <v>28</v>
      </c>
      <c r="H1462">
        <v>4</v>
      </c>
      <c r="I1462" s="1" t="s">
        <v>48</v>
      </c>
      <c r="J1462">
        <v>2054</v>
      </c>
      <c r="K1462">
        <v>4</v>
      </c>
      <c r="L1462" s="1" t="s">
        <v>37</v>
      </c>
      <c r="M1462">
        <v>73</v>
      </c>
      <c r="N1462">
        <v>2</v>
      </c>
      <c r="O1462">
        <v>1</v>
      </c>
      <c r="P1462" s="1" t="s">
        <v>44</v>
      </c>
      <c r="Q1462">
        <v>1</v>
      </c>
      <c r="R1462" s="1" t="s">
        <v>39</v>
      </c>
      <c r="S1462">
        <v>3785</v>
      </c>
      <c r="T1462">
        <v>8489</v>
      </c>
      <c r="U1462">
        <v>1</v>
      </c>
      <c r="V1462" s="1" t="s">
        <v>40</v>
      </c>
      <c r="W1462">
        <v>14</v>
      </c>
      <c r="X1462">
        <v>3</v>
      </c>
      <c r="Y1462">
        <v>2</v>
      </c>
      <c r="Z1462">
        <v>80</v>
      </c>
      <c r="AA1462">
        <v>0</v>
      </c>
      <c r="AB1462">
        <v>5</v>
      </c>
      <c r="AC1462">
        <v>3</v>
      </c>
      <c r="AD1462">
        <v>1</v>
      </c>
      <c r="AE1462">
        <v>5</v>
      </c>
      <c r="AF1462">
        <v>4</v>
      </c>
      <c r="AG1462">
        <v>0</v>
      </c>
      <c r="AH1462">
        <v>4</v>
      </c>
      <c r="AI1462">
        <f>IF(tbl_HRData[[#This Row],[Attrition]] = "Yes",1,0)</f>
        <v>0</v>
      </c>
      <c r="AJ1462">
        <f>IF(tbl_HRData[[#This Row],[Attrition]] = "No",1,0)</f>
        <v>1</v>
      </c>
      <c r="AK1462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462" s="1" t="str">
        <f>IF(tbl_HRData[[#This Row],[MonthlyIncome]]&lt;5000,"Low",
IF(tbl_HRData[[#This Row],[MonthlyIncome]]&lt;10000,"Medium",
IF(tbl_HRData[[#This Row],[MonthlyIncome]]&lt;15000,"Upper Medium","High")))</f>
        <v>Low</v>
      </c>
      <c r="AM1462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463" spans="1:39" x14ac:dyDescent="0.35">
      <c r="A1463" s="1">
        <v>1462</v>
      </c>
      <c r="B1463">
        <v>50</v>
      </c>
      <c r="C1463" s="1" t="s">
        <v>33</v>
      </c>
      <c r="D1463" s="1" t="s">
        <v>34</v>
      </c>
      <c r="E1463">
        <v>410</v>
      </c>
      <c r="F1463" s="1" t="s">
        <v>35</v>
      </c>
      <c r="G1463">
        <v>28</v>
      </c>
      <c r="H1463">
        <v>3</v>
      </c>
      <c r="I1463" s="1" t="s">
        <v>56</v>
      </c>
      <c r="J1463">
        <v>2055</v>
      </c>
      <c r="K1463">
        <v>4</v>
      </c>
      <c r="L1463" s="1" t="s">
        <v>43</v>
      </c>
      <c r="M1463">
        <v>39</v>
      </c>
      <c r="N1463">
        <v>2</v>
      </c>
      <c r="O1463">
        <v>3</v>
      </c>
      <c r="P1463" s="1" t="s">
        <v>38</v>
      </c>
      <c r="Q1463">
        <v>1</v>
      </c>
      <c r="R1463" s="1" t="s">
        <v>49</v>
      </c>
      <c r="S1463">
        <v>10854</v>
      </c>
      <c r="T1463">
        <v>16586</v>
      </c>
      <c r="U1463">
        <v>4</v>
      </c>
      <c r="V1463" s="1" t="s">
        <v>33</v>
      </c>
      <c r="W1463">
        <v>13</v>
      </c>
      <c r="X1463">
        <v>3</v>
      </c>
      <c r="Y1463">
        <v>2</v>
      </c>
      <c r="Z1463">
        <v>80</v>
      </c>
      <c r="AA1463">
        <v>1</v>
      </c>
      <c r="AB1463">
        <v>20</v>
      </c>
      <c r="AC1463">
        <v>3</v>
      </c>
      <c r="AD1463">
        <v>3</v>
      </c>
      <c r="AE1463">
        <v>3</v>
      </c>
      <c r="AF1463">
        <v>2</v>
      </c>
      <c r="AG1463">
        <v>2</v>
      </c>
      <c r="AH1463">
        <v>0</v>
      </c>
      <c r="AI1463">
        <f>IF(tbl_HRData[[#This Row],[Attrition]] = "Yes",1,0)</f>
        <v>1</v>
      </c>
      <c r="AJ1463">
        <f>IF(tbl_HRData[[#This Row],[Attrition]] = "No",1,0)</f>
        <v>0</v>
      </c>
      <c r="AK1463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1463" s="1" t="str">
        <f>IF(tbl_HRData[[#This Row],[MonthlyIncome]]&lt;5000,"Low",
IF(tbl_HRData[[#This Row],[MonthlyIncome]]&lt;10000,"Medium",
IF(tbl_HRData[[#This Row],[MonthlyIncome]]&lt;15000,"Upper Medium","High")))</f>
        <v>Upper Medium</v>
      </c>
      <c r="AM1463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464" spans="1:39" x14ac:dyDescent="0.35">
      <c r="A1464" s="1">
        <v>1463</v>
      </c>
      <c r="B1464">
        <v>39</v>
      </c>
      <c r="C1464" s="1" t="s">
        <v>40</v>
      </c>
      <c r="D1464" s="1" t="s">
        <v>34</v>
      </c>
      <c r="E1464">
        <v>722</v>
      </c>
      <c r="F1464" s="1" t="s">
        <v>35</v>
      </c>
      <c r="G1464">
        <v>24</v>
      </c>
      <c r="H1464">
        <v>1</v>
      </c>
      <c r="I1464" s="1" t="s">
        <v>56</v>
      </c>
      <c r="J1464">
        <v>2056</v>
      </c>
      <c r="K1464">
        <v>2</v>
      </c>
      <c r="L1464" s="1" t="s">
        <v>37</v>
      </c>
      <c r="M1464">
        <v>60</v>
      </c>
      <c r="N1464">
        <v>2</v>
      </c>
      <c r="O1464">
        <v>4</v>
      </c>
      <c r="P1464" s="1" t="s">
        <v>38</v>
      </c>
      <c r="Q1464">
        <v>4</v>
      </c>
      <c r="R1464" s="1" t="s">
        <v>45</v>
      </c>
      <c r="S1464">
        <v>12031</v>
      </c>
      <c r="T1464">
        <v>8828</v>
      </c>
      <c r="U1464">
        <v>0</v>
      </c>
      <c r="V1464" s="1" t="s">
        <v>40</v>
      </c>
      <c r="W1464">
        <v>11</v>
      </c>
      <c r="X1464">
        <v>3</v>
      </c>
      <c r="Y1464">
        <v>1</v>
      </c>
      <c r="Z1464">
        <v>80</v>
      </c>
      <c r="AA1464">
        <v>1</v>
      </c>
      <c r="AB1464">
        <v>21</v>
      </c>
      <c r="AC1464">
        <v>2</v>
      </c>
      <c r="AD1464">
        <v>2</v>
      </c>
      <c r="AE1464">
        <v>20</v>
      </c>
      <c r="AF1464">
        <v>9</v>
      </c>
      <c r="AG1464">
        <v>9</v>
      </c>
      <c r="AH1464">
        <v>6</v>
      </c>
      <c r="AI1464">
        <f>IF(tbl_HRData[[#This Row],[Attrition]] = "Yes",1,0)</f>
        <v>0</v>
      </c>
      <c r="AJ1464">
        <f>IF(tbl_HRData[[#This Row],[Attrition]] = "No",1,0)</f>
        <v>1</v>
      </c>
      <c r="AK1464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464" s="1" t="str">
        <f>IF(tbl_HRData[[#This Row],[MonthlyIncome]]&lt;5000,"Low",
IF(tbl_HRData[[#This Row],[MonthlyIncome]]&lt;10000,"Medium",
IF(tbl_HRData[[#This Row],[MonthlyIncome]]&lt;15000,"Upper Medium","High")))</f>
        <v>Upper Medium</v>
      </c>
      <c r="AM1464" s="1" t="str">
        <f>IF(tbl_HRData[[#This Row],[YearsAtCompany]]&lt;=5,"0-5 Years",
IF(tbl_HRData[[#This Row],[YearsAtCompany]]&lt;=10,"6-10 Years",
IF(tbl_HRData[[#This Row],[YearsAtCompany]]&lt;=20,"11-20 Years","21+ Years")))</f>
        <v>11-20 Years</v>
      </c>
    </row>
    <row r="1465" spans="1:39" x14ac:dyDescent="0.35">
      <c r="A1465" s="1">
        <v>1464</v>
      </c>
      <c r="B1465">
        <v>31</v>
      </c>
      <c r="C1465" s="1" t="s">
        <v>40</v>
      </c>
      <c r="D1465" s="1" t="s">
        <v>52</v>
      </c>
      <c r="E1465">
        <v>325</v>
      </c>
      <c r="F1465" s="1" t="s">
        <v>42</v>
      </c>
      <c r="G1465">
        <v>5</v>
      </c>
      <c r="H1465">
        <v>3</v>
      </c>
      <c r="I1465" s="1" t="s">
        <v>48</v>
      </c>
      <c r="J1465">
        <v>2057</v>
      </c>
      <c r="K1465">
        <v>2</v>
      </c>
      <c r="L1465" s="1" t="s">
        <v>43</v>
      </c>
      <c r="M1465">
        <v>74</v>
      </c>
      <c r="N1465">
        <v>3</v>
      </c>
      <c r="O1465">
        <v>2</v>
      </c>
      <c r="P1465" s="1" t="s">
        <v>50</v>
      </c>
      <c r="Q1465">
        <v>1</v>
      </c>
      <c r="R1465" s="1" t="s">
        <v>39</v>
      </c>
      <c r="S1465">
        <v>9936</v>
      </c>
      <c r="T1465">
        <v>3787</v>
      </c>
      <c r="U1465">
        <v>0</v>
      </c>
      <c r="V1465" s="1" t="s">
        <v>40</v>
      </c>
      <c r="W1465">
        <v>19</v>
      </c>
      <c r="X1465">
        <v>3</v>
      </c>
      <c r="Y1465">
        <v>2</v>
      </c>
      <c r="Z1465">
        <v>80</v>
      </c>
      <c r="AA1465">
        <v>0</v>
      </c>
      <c r="AB1465">
        <v>10</v>
      </c>
      <c r="AC1465">
        <v>2</v>
      </c>
      <c r="AD1465">
        <v>3</v>
      </c>
      <c r="AE1465">
        <v>9</v>
      </c>
      <c r="AF1465">
        <v>4</v>
      </c>
      <c r="AG1465">
        <v>1</v>
      </c>
      <c r="AH1465">
        <v>7</v>
      </c>
      <c r="AI1465">
        <f>IF(tbl_HRData[[#This Row],[Attrition]] = "Yes",1,0)</f>
        <v>0</v>
      </c>
      <c r="AJ1465">
        <f>IF(tbl_HRData[[#This Row],[Attrition]] = "No",1,0)</f>
        <v>1</v>
      </c>
      <c r="AK1465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465" s="1" t="str">
        <f>IF(tbl_HRData[[#This Row],[MonthlyIncome]]&lt;5000,"Low",
IF(tbl_HRData[[#This Row],[MonthlyIncome]]&lt;10000,"Medium",
IF(tbl_HRData[[#This Row],[MonthlyIncome]]&lt;15000,"Upper Medium","High")))</f>
        <v>Medium</v>
      </c>
      <c r="AM1465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466" spans="1:39" x14ac:dyDescent="0.35">
      <c r="A1466" s="1">
        <v>1465</v>
      </c>
      <c r="B1466">
        <v>26</v>
      </c>
      <c r="C1466" s="1" t="s">
        <v>40</v>
      </c>
      <c r="D1466" s="1" t="s">
        <v>34</v>
      </c>
      <c r="E1466">
        <v>1167</v>
      </c>
      <c r="F1466" s="1" t="s">
        <v>35</v>
      </c>
      <c r="G1466">
        <v>5</v>
      </c>
      <c r="H1466">
        <v>3</v>
      </c>
      <c r="I1466" s="1" t="s">
        <v>46</v>
      </c>
      <c r="J1466">
        <v>2060</v>
      </c>
      <c r="K1466">
        <v>4</v>
      </c>
      <c r="L1466" s="1" t="s">
        <v>37</v>
      </c>
      <c r="M1466">
        <v>30</v>
      </c>
      <c r="N1466">
        <v>2</v>
      </c>
      <c r="O1466">
        <v>1</v>
      </c>
      <c r="P1466" s="1" t="s">
        <v>54</v>
      </c>
      <c r="Q1466">
        <v>3</v>
      </c>
      <c r="R1466" s="1" t="s">
        <v>39</v>
      </c>
      <c r="S1466">
        <v>2966</v>
      </c>
      <c r="T1466">
        <v>21378</v>
      </c>
      <c r="U1466">
        <v>0</v>
      </c>
      <c r="V1466" s="1" t="s">
        <v>40</v>
      </c>
      <c r="W1466">
        <v>18</v>
      </c>
      <c r="X1466">
        <v>3</v>
      </c>
      <c r="Y1466">
        <v>4</v>
      </c>
      <c r="Z1466">
        <v>80</v>
      </c>
      <c r="AA1466">
        <v>0</v>
      </c>
      <c r="AB1466">
        <v>5</v>
      </c>
      <c r="AC1466">
        <v>2</v>
      </c>
      <c r="AD1466">
        <v>3</v>
      </c>
      <c r="AE1466">
        <v>4</v>
      </c>
      <c r="AF1466">
        <v>2</v>
      </c>
      <c r="AG1466">
        <v>0</v>
      </c>
      <c r="AH1466">
        <v>0</v>
      </c>
      <c r="AI1466">
        <f>IF(tbl_HRData[[#This Row],[Attrition]] = "Yes",1,0)</f>
        <v>0</v>
      </c>
      <c r="AJ1466">
        <f>IF(tbl_HRData[[#This Row],[Attrition]] = "No",1,0)</f>
        <v>1</v>
      </c>
      <c r="AK1466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466" s="1" t="str">
        <f>IF(tbl_HRData[[#This Row],[MonthlyIncome]]&lt;5000,"Low",
IF(tbl_HRData[[#This Row],[MonthlyIncome]]&lt;10000,"Medium",
IF(tbl_HRData[[#This Row],[MonthlyIncome]]&lt;15000,"Upper Medium","High")))</f>
        <v>Low</v>
      </c>
      <c r="AM1466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467" spans="1:39" x14ac:dyDescent="0.35">
      <c r="A1467" s="1">
        <v>1466</v>
      </c>
      <c r="B1467">
        <v>36</v>
      </c>
      <c r="C1467" s="1" t="s">
        <v>40</v>
      </c>
      <c r="D1467" s="1" t="s">
        <v>41</v>
      </c>
      <c r="E1467">
        <v>884</v>
      </c>
      <c r="F1467" s="1" t="s">
        <v>42</v>
      </c>
      <c r="G1467">
        <v>23</v>
      </c>
      <c r="H1467">
        <v>2</v>
      </c>
      <c r="I1467" s="1" t="s">
        <v>48</v>
      </c>
      <c r="J1467">
        <v>2061</v>
      </c>
      <c r="K1467">
        <v>3</v>
      </c>
      <c r="L1467" s="1" t="s">
        <v>43</v>
      </c>
      <c r="M1467">
        <v>41</v>
      </c>
      <c r="N1467">
        <v>4</v>
      </c>
      <c r="O1467">
        <v>2</v>
      </c>
      <c r="P1467" s="1" t="s">
        <v>47</v>
      </c>
      <c r="Q1467">
        <v>4</v>
      </c>
      <c r="R1467" s="1" t="s">
        <v>45</v>
      </c>
      <c r="S1467">
        <v>2571</v>
      </c>
      <c r="T1467">
        <v>12290</v>
      </c>
      <c r="U1467">
        <v>4</v>
      </c>
      <c r="V1467" s="1" t="s">
        <v>40</v>
      </c>
      <c r="W1467">
        <v>17</v>
      </c>
      <c r="X1467">
        <v>3</v>
      </c>
      <c r="Y1467">
        <v>3</v>
      </c>
      <c r="Z1467">
        <v>80</v>
      </c>
      <c r="AA1467">
        <v>1</v>
      </c>
      <c r="AB1467">
        <v>17</v>
      </c>
      <c r="AC1467">
        <v>3</v>
      </c>
      <c r="AD1467">
        <v>3</v>
      </c>
      <c r="AE1467">
        <v>5</v>
      </c>
      <c r="AF1467">
        <v>2</v>
      </c>
      <c r="AG1467">
        <v>0</v>
      </c>
      <c r="AH1467">
        <v>3</v>
      </c>
      <c r="AI1467">
        <f>IF(tbl_HRData[[#This Row],[Attrition]] = "Yes",1,0)</f>
        <v>0</v>
      </c>
      <c r="AJ1467">
        <f>IF(tbl_HRData[[#This Row],[Attrition]] = "No",1,0)</f>
        <v>1</v>
      </c>
      <c r="AK1467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467" s="1" t="str">
        <f>IF(tbl_HRData[[#This Row],[MonthlyIncome]]&lt;5000,"Low",
IF(tbl_HRData[[#This Row],[MonthlyIncome]]&lt;10000,"Medium",
IF(tbl_HRData[[#This Row],[MonthlyIncome]]&lt;15000,"Upper Medium","High")))</f>
        <v>Low</v>
      </c>
      <c r="AM1467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  <row r="1468" spans="1:39" x14ac:dyDescent="0.35">
      <c r="A1468" s="1">
        <v>1467</v>
      </c>
      <c r="B1468">
        <v>39</v>
      </c>
      <c r="C1468" s="1" t="s">
        <v>40</v>
      </c>
      <c r="D1468" s="1" t="s">
        <v>34</v>
      </c>
      <c r="E1468">
        <v>613</v>
      </c>
      <c r="F1468" s="1" t="s">
        <v>42</v>
      </c>
      <c r="G1468">
        <v>6</v>
      </c>
      <c r="H1468">
        <v>1</v>
      </c>
      <c r="I1468" s="1" t="s">
        <v>48</v>
      </c>
      <c r="J1468">
        <v>2062</v>
      </c>
      <c r="K1468">
        <v>4</v>
      </c>
      <c r="L1468" s="1" t="s">
        <v>43</v>
      </c>
      <c r="M1468">
        <v>42</v>
      </c>
      <c r="N1468">
        <v>2</v>
      </c>
      <c r="O1468">
        <v>3</v>
      </c>
      <c r="P1468" s="1" t="s">
        <v>51</v>
      </c>
      <c r="Q1468">
        <v>1</v>
      </c>
      <c r="R1468" s="1" t="s">
        <v>45</v>
      </c>
      <c r="S1468">
        <v>9991</v>
      </c>
      <c r="T1468">
        <v>21457</v>
      </c>
      <c r="U1468">
        <v>4</v>
      </c>
      <c r="V1468" s="1" t="s">
        <v>40</v>
      </c>
      <c r="W1468">
        <v>15</v>
      </c>
      <c r="X1468">
        <v>3</v>
      </c>
      <c r="Y1468">
        <v>1</v>
      </c>
      <c r="Z1468">
        <v>80</v>
      </c>
      <c r="AA1468">
        <v>1</v>
      </c>
      <c r="AB1468">
        <v>9</v>
      </c>
      <c r="AC1468">
        <v>5</v>
      </c>
      <c r="AD1468">
        <v>3</v>
      </c>
      <c r="AE1468">
        <v>7</v>
      </c>
      <c r="AF1468">
        <v>7</v>
      </c>
      <c r="AG1468">
        <v>1</v>
      </c>
      <c r="AH1468">
        <v>7</v>
      </c>
      <c r="AI1468">
        <f>IF(tbl_HRData[[#This Row],[Attrition]] = "Yes",1,0)</f>
        <v>0</v>
      </c>
      <c r="AJ1468">
        <f>IF(tbl_HRData[[#This Row],[Attrition]] = "No",1,0)</f>
        <v>1</v>
      </c>
      <c r="AK1468" t="str">
        <f>IF(tbl_HRData[[#This Row],[Age]] &lt; 25, "Under 25", IF(tbl_HRData[[#This Row],[Age]] &lt;= 34, "25-34", IF(tbl_HRData[[#This Row],[Age]] &lt;= 44, "35-44", IF(tbl_HRData[[#This Row],[Age]] &lt;= 54, "45-54", "55+"))))</f>
        <v>35-44</v>
      </c>
      <c r="AL1468" s="1" t="str">
        <f>IF(tbl_HRData[[#This Row],[MonthlyIncome]]&lt;5000,"Low",
IF(tbl_HRData[[#This Row],[MonthlyIncome]]&lt;10000,"Medium",
IF(tbl_HRData[[#This Row],[MonthlyIncome]]&lt;15000,"Upper Medium","High")))</f>
        <v>Medium</v>
      </c>
      <c r="AM1468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469" spans="1:39" x14ac:dyDescent="0.35">
      <c r="A1469" s="1">
        <v>1468</v>
      </c>
      <c r="B1469">
        <v>27</v>
      </c>
      <c r="C1469" s="1" t="s">
        <v>40</v>
      </c>
      <c r="D1469" s="1" t="s">
        <v>34</v>
      </c>
      <c r="E1469">
        <v>155</v>
      </c>
      <c r="F1469" s="1" t="s">
        <v>42</v>
      </c>
      <c r="G1469">
        <v>4</v>
      </c>
      <c r="H1469">
        <v>3</v>
      </c>
      <c r="I1469" s="1" t="s">
        <v>36</v>
      </c>
      <c r="J1469">
        <v>2064</v>
      </c>
      <c r="K1469">
        <v>2</v>
      </c>
      <c r="L1469" s="1" t="s">
        <v>43</v>
      </c>
      <c r="M1469">
        <v>87</v>
      </c>
      <c r="N1469">
        <v>4</v>
      </c>
      <c r="O1469">
        <v>2</v>
      </c>
      <c r="P1469" s="1" t="s">
        <v>50</v>
      </c>
      <c r="Q1469">
        <v>2</v>
      </c>
      <c r="R1469" s="1" t="s">
        <v>45</v>
      </c>
      <c r="S1469">
        <v>6142</v>
      </c>
      <c r="T1469">
        <v>5174</v>
      </c>
      <c r="U1469">
        <v>1</v>
      </c>
      <c r="V1469" s="1" t="s">
        <v>33</v>
      </c>
      <c r="W1469">
        <v>20</v>
      </c>
      <c r="X1469">
        <v>4</v>
      </c>
      <c r="Y1469">
        <v>2</v>
      </c>
      <c r="Z1469">
        <v>80</v>
      </c>
      <c r="AA1469">
        <v>1</v>
      </c>
      <c r="AB1469">
        <v>6</v>
      </c>
      <c r="AC1469">
        <v>0</v>
      </c>
      <c r="AD1469">
        <v>3</v>
      </c>
      <c r="AE1469">
        <v>6</v>
      </c>
      <c r="AF1469">
        <v>2</v>
      </c>
      <c r="AG1469">
        <v>0</v>
      </c>
      <c r="AH1469">
        <v>3</v>
      </c>
      <c r="AI1469">
        <f>IF(tbl_HRData[[#This Row],[Attrition]] = "Yes",1,0)</f>
        <v>0</v>
      </c>
      <c r="AJ1469">
        <f>IF(tbl_HRData[[#This Row],[Attrition]] = "No",1,0)</f>
        <v>1</v>
      </c>
      <c r="AK1469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469" s="1" t="str">
        <f>IF(tbl_HRData[[#This Row],[MonthlyIncome]]&lt;5000,"Low",
IF(tbl_HRData[[#This Row],[MonthlyIncome]]&lt;10000,"Medium",
IF(tbl_HRData[[#This Row],[MonthlyIncome]]&lt;15000,"Upper Medium","High")))</f>
        <v>Medium</v>
      </c>
      <c r="AM1469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470" spans="1:39" x14ac:dyDescent="0.35">
      <c r="A1470" s="1">
        <v>1469</v>
      </c>
      <c r="B1470">
        <v>49</v>
      </c>
      <c r="C1470" s="1" t="s">
        <v>40</v>
      </c>
      <c r="D1470" s="1" t="s">
        <v>41</v>
      </c>
      <c r="E1470">
        <v>1023</v>
      </c>
      <c r="F1470" s="1" t="s">
        <v>35</v>
      </c>
      <c r="G1470">
        <v>2</v>
      </c>
      <c r="H1470">
        <v>3</v>
      </c>
      <c r="I1470" s="1" t="s">
        <v>48</v>
      </c>
      <c r="J1470">
        <v>2065</v>
      </c>
      <c r="K1470">
        <v>4</v>
      </c>
      <c r="L1470" s="1" t="s">
        <v>43</v>
      </c>
      <c r="M1470">
        <v>63</v>
      </c>
      <c r="N1470">
        <v>2</v>
      </c>
      <c r="O1470">
        <v>2</v>
      </c>
      <c r="P1470" s="1" t="s">
        <v>38</v>
      </c>
      <c r="Q1470">
        <v>2</v>
      </c>
      <c r="R1470" s="1" t="s">
        <v>45</v>
      </c>
      <c r="S1470">
        <v>5390</v>
      </c>
      <c r="T1470">
        <v>13243</v>
      </c>
      <c r="U1470">
        <v>2</v>
      </c>
      <c r="V1470" s="1" t="s">
        <v>40</v>
      </c>
      <c r="W1470">
        <v>14</v>
      </c>
      <c r="X1470">
        <v>3</v>
      </c>
      <c r="Y1470">
        <v>4</v>
      </c>
      <c r="Z1470">
        <v>80</v>
      </c>
      <c r="AA1470">
        <v>0</v>
      </c>
      <c r="AB1470">
        <v>17</v>
      </c>
      <c r="AC1470">
        <v>3</v>
      </c>
      <c r="AD1470">
        <v>2</v>
      </c>
      <c r="AE1470">
        <v>9</v>
      </c>
      <c r="AF1470">
        <v>6</v>
      </c>
      <c r="AG1470">
        <v>0</v>
      </c>
      <c r="AH1470">
        <v>8</v>
      </c>
      <c r="AI1470">
        <f>IF(tbl_HRData[[#This Row],[Attrition]] = "Yes",1,0)</f>
        <v>0</v>
      </c>
      <c r="AJ1470">
        <f>IF(tbl_HRData[[#This Row],[Attrition]] = "No",1,0)</f>
        <v>1</v>
      </c>
      <c r="AK1470" t="str">
        <f>IF(tbl_HRData[[#This Row],[Age]] &lt; 25, "Under 25", IF(tbl_HRData[[#This Row],[Age]] &lt;= 34, "25-34", IF(tbl_HRData[[#This Row],[Age]] &lt;= 44, "35-44", IF(tbl_HRData[[#This Row],[Age]] &lt;= 54, "45-54", "55+"))))</f>
        <v>45-54</v>
      </c>
      <c r="AL1470" s="1" t="str">
        <f>IF(tbl_HRData[[#This Row],[MonthlyIncome]]&lt;5000,"Low",
IF(tbl_HRData[[#This Row],[MonthlyIncome]]&lt;10000,"Medium",
IF(tbl_HRData[[#This Row],[MonthlyIncome]]&lt;15000,"Upper Medium","High")))</f>
        <v>Medium</v>
      </c>
      <c r="AM1470" s="1" t="str">
        <f>IF(tbl_HRData[[#This Row],[YearsAtCompany]]&lt;=5,"0-5 Years",
IF(tbl_HRData[[#This Row],[YearsAtCompany]]&lt;=10,"6-10 Years",
IF(tbl_HRData[[#This Row],[YearsAtCompany]]&lt;=20,"11-20 Years","21+ Years")))</f>
        <v>6-10 Years</v>
      </c>
    </row>
    <row r="1471" spans="1:39" x14ac:dyDescent="0.35">
      <c r="A1471" s="1">
        <v>1470</v>
      </c>
      <c r="B1471">
        <v>34</v>
      </c>
      <c r="C1471" s="1" t="s">
        <v>40</v>
      </c>
      <c r="D1471" s="1" t="s">
        <v>34</v>
      </c>
      <c r="E1471">
        <v>628</v>
      </c>
      <c r="F1471" s="1" t="s">
        <v>42</v>
      </c>
      <c r="G1471">
        <v>8</v>
      </c>
      <c r="H1471">
        <v>3</v>
      </c>
      <c r="I1471" s="1" t="s">
        <v>48</v>
      </c>
      <c r="J1471">
        <v>2068</v>
      </c>
      <c r="K1471">
        <v>2</v>
      </c>
      <c r="L1471" s="1" t="s">
        <v>43</v>
      </c>
      <c r="M1471">
        <v>82</v>
      </c>
      <c r="N1471">
        <v>4</v>
      </c>
      <c r="O1471">
        <v>2</v>
      </c>
      <c r="P1471" s="1" t="s">
        <v>47</v>
      </c>
      <c r="Q1471">
        <v>3</v>
      </c>
      <c r="R1471" s="1" t="s">
        <v>45</v>
      </c>
      <c r="S1471">
        <v>4404</v>
      </c>
      <c r="T1471">
        <v>10228</v>
      </c>
      <c r="U1471">
        <v>2</v>
      </c>
      <c r="V1471" s="1" t="s">
        <v>40</v>
      </c>
      <c r="W1471">
        <v>12</v>
      </c>
      <c r="X1471">
        <v>3</v>
      </c>
      <c r="Y1471">
        <v>1</v>
      </c>
      <c r="Z1471">
        <v>80</v>
      </c>
      <c r="AA1471">
        <v>0</v>
      </c>
      <c r="AB1471">
        <v>6</v>
      </c>
      <c r="AC1471">
        <v>3</v>
      </c>
      <c r="AD1471">
        <v>4</v>
      </c>
      <c r="AE1471">
        <v>4</v>
      </c>
      <c r="AF1471">
        <v>3</v>
      </c>
      <c r="AG1471">
        <v>1</v>
      </c>
      <c r="AH1471">
        <v>2</v>
      </c>
      <c r="AI1471">
        <f>IF(tbl_HRData[[#This Row],[Attrition]] = "Yes",1,0)</f>
        <v>0</v>
      </c>
      <c r="AJ1471">
        <f>IF(tbl_HRData[[#This Row],[Attrition]] = "No",1,0)</f>
        <v>1</v>
      </c>
      <c r="AK1471" t="str">
        <f>IF(tbl_HRData[[#This Row],[Age]] &lt; 25, "Under 25", IF(tbl_HRData[[#This Row],[Age]] &lt;= 34, "25-34", IF(tbl_HRData[[#This Row],[Age]] &lt;= 44, "35-44", IF(tbl_HRData[[#This Row],[Age]] &lt;= 54, "45-54", "55+"))))</f>
        <v>25-34</v>
      </c>
      <c r="AL1471" s="1" t="str">
        <f>IF(tbl_HRData[[#This Row],[MonthlyIncome]]&lt;5000,"Low",
IF(tbl_HRData[[#This Row],[MonthlyIncome]]&lt;10000,"Medium",
IF(tbl_HRData[[#This Row],[MonthlyIncome]]&lt;15000,"Upper Medium","High")))</f>
        <v>Low</v>
      </c>
      <c r="AM1471" s="1" t="str">
        <f>IF(tbl_HRData[[#This Row],[YearsAtCompany]]&lt;=5,"0-5 Years",
IF(tbl_HRData[[#This Row],[YearsAtCompany]]&lt;=10,"6-10 Years",
IF(tbl_HRData[[#This Row],[YearsAtCompany]]&lt;=20,"11-20 Years","21+ Years")))</f>
        <v>0-5 Years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035AA1-9B63-43E8-A569-699FE40AAF94}">
  <dimension ref="A2:C5"/>
  <sheetViews>
    <sheetView workbookViewId="0">
      <selection activeCell="C7" sqref="C7"/>
    </sheetView>
  </sheetViews>
  <sheetFormatPr defaultRowHeight="14.5" x14ac:dyDescent="0.35"/>
  <cols>
    <col min="1" max="1" width="12.36328125" bestFit="1" customWidth="1"/>
    <col min="2" max="2" width="10.36328125" bestFit="1" customWidth="1"/>
    <col min="3" max="3" width="12.26953125" bestFit="1" customWidth="1"/>
  </cols>
  <sheetData>
    <row r="2" spans="1:3" x14ac:dyDescent="0.35">
      <c r="A2" s="2" t="s">
        <v>65</v>
      </c>
      <c r="B2" t="s">
        <v>67</v>
      </c>
      <c r="C2" s="4" t="s">
        <v>68</v>
      </c>
    </row>
    <row r="3" spans="1:3" x14ac:dyDescent="0.35">
      <c r="A3" s="3" t="s">
        <v>40</v>
      </c>
      <c r="B3" s="1">
        <v>1233</v>
      </c>
    </row>
    <row r="4" spans="1:3" x14ac:dyDescent="0.35">
      <c r="A4" s="3" t="s">
        <v>33</v>
      </c>
      <c r="B4" s="1">
        <v>237</v>
      </c>
      <c r="C4" s="5">
        <f>GETPIVOTDATA("ID",$A$2,"Attrition","Yes")/GETPIVOTDATA("ID",$A$2)</f>
        <v>0.16122448979591836</v>
      </c>
    </row>
    <row r="5" spans="1:3" x14ac:dyDescent="0.35">
      <c r="A5" s="3" t="s">
        <v>66</v>
      </c>
      <c r="B5" s="1">
        <v>1470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CB00A2-E6DD-4C6E-8DD1-3BE5C1DC67BE}">
  <dimension ref="A1"/>
  <sheetViews>
    <sheetView workbookViewId="0">
      <selection sqref="A1:A1048576"/>
    </sheetView>
  </sheetViews>
  <sheetFormatPr defaultRowHeight="14.5" x14ac:dyDescent="0.35"/>
  <sheetData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7D759E3-E54B-43A0-8BC4-EA458FDAE4E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HR_Clean_Data</vt:lpstr>
      <vt:lpstr>Basic_Pivots</vt:lpstr>
      <vt:lpstr>Basic_Analysis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Utkarsh Dhangar</dc:creator>
  <cp:lastModifiedBy>Utkarsh Dhangar</cp:lastModifiedBy>
  <dcterms:created xsi:type="dcterms:W3CDTF">2026-07-19T09:01:06Z</dcterms:created>
  <dcterms:modified xsi:type="dcterms:W3CDTF">2026-07-19T09:39:20Z</dcterms:modified>
</cp:coreProperties>
</file>